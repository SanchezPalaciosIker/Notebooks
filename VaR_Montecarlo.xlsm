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AAR\3. Riesgo de Mercado\"/>
    </mc:Choice>
  </mc:AlternateContent>
  <xr:revisionPtr revIDLastSave="0" documentId="13_ncr:1_{4849FFC4-FA90-471A-931C-F81D3A5A479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AP" sheetId="2" r:id="rId1"/>
    <sheet name="VAR SM" sheetId="4" r:id="rId2"/>
  </sheets>
  <externalReferences>
    <externalReference r:id="rId3"/>
  </externalReferences>
  <definedNames>
    <definedName name="_xlchart.v1.0" hidden="1">'VAR SM'!$D$7:$D$1261</definedName>
    <definedName name="_xlchart.v1.1" hidden="1">'VAR SM'!$I$7:$I$1261</definedName>
    <definedName name="_xlchart.v1.2" hidden="1">'VAR SM'!$L$7:$L$1261</definedName>
    <definedName name="_xlchart.v1.3" hidden="1">'VAR SM'!$H$6:$H$1261</definedName>
    <definedName name="_xlchart.v1.4" hidden="1">'VAR SM'!$C$6:$C$1261</definedName>
    <definedName name="_xlchart.v1.5" hidden="1">'VAR SM'!$G$7:$G$1261</definedName>
    <definedName name="_xlchart.v1.6" hidden="1">'VAR SM'!$M$7:$M$1261</definedName>
    <definedName name="i">'[1]Estimación LGD'!$C$37</definedName>
    <definedName name="PL_Bimbo">'VAR SM'!$G$7:$G$1261</definedName>
    <definedName name="PL_GMex">'VAR SM'!$L$7:$L$1261</definedName>
    <definedName name="PL_Tot">'VAR SM'!$M$7:$M$1261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1" i="4" l="1"/>
  <c r="AG23" i="4"/>
  <c r="AG22" i="4"/>
  <c r="AG21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I7" i="4"/>
  <c r="D7" i="4"/>
  <c r="J4" i="4" l="1"/>
  <c r="J3" i="4"/>
  <c r="E4" i="4"/>
  <c r="E3" i="4"/>
  <c r="J9" i="4" l="1"/>
  <c r="K9" i="4" s="1"/>
  <c r="L9" i="4" s="1"/>
  <c r="J10" i="4"/>
  <c r="K10" i="4" s="1"/>
  <c r="L10" i="4" s="1"/>
  <c r="J14" i="4"/>
  <c r="K14" i="4" s="1"/>
  <c r="L14" i="4" s="1"/>
  <c r="J18" i="4"/>
  <c r="K18" i="4" s="1"/>
  <c r="L18" i="4" s="1"/>
  <c r="J22" i="4"/>
  <c r="K22" i="4" s="1"/>
  <c r="L22" i="4" s="1"/>
  <c r="J26" i="4"/>
  <c r="K26" i="4" s="1"/>
  <c r="L26" i="4" s="1"/>
  <c r="J30" i="4"/>
  <c r="K30" i="4" s="1"/>
  <c r="L30" i="4" s="1"/>
  <c r="J34" i="4"/>
  <c r="K34" i="4" s="1"/>
  <c r="L34" i="4" s="1"/>
  <c r="J38" i="4"/>
  <c r="K38" i="4" s="1"/>
  <c r="L38" i="4" s="1"/>
  <c r="J42" i="4"/>
  <c r="K42" i="4" s="1"/>
  <c r="L42" i="4" s="1"/>
  <c r="J46" i="4"/>
  <c r="K46" i="4" s="1"/>
  <c r="L46" i="4" s="1"/>
  <c r="J50" i="4"/>
  <c r="K50" i="4" s="1"/>
  <c r="L50" i="4" s="1"/>
  <c r="J54" i="4"/>
  <c r="K54" i="4" s="1"/>
  <c r="L54" i="4" s="1"/>
  <c r="J58" i="4"/>
  <c r="K58" i="4" s="1"/>
  <c r="L58" i="4" s="1"/>
  <c r="J62" i="4"/>
  <c r="K62" i="4" s="1"/>
  <c r="L62" i="4" s="1"/>
  <c r="J66" i="4"/>
  <c r="K66" i="4" s="1"/>
  <c r="L66" i="4" s="1"/>
  <c r="J70" i="4"/>
  <c r="K70" i="4" s="1"/>
  <c r="L70" i="4" s="1"/>
  <c r="J74" i="4"/>
  <c r="K74" i="4" s="1"/>
  <c r="L74" i="4" s="1"/>
  <c r="J78" i="4"/>
  <c r="K78" i="4" s="1"/>
  <c r="L78" i="4" s="1"/>
  <c r="J82" i="4"/>
  <c r="K82" i="4" s="1"/>
  <c r="L82" i="4" s="1"/>
  <c r="J86" i="4"/>
  <c r="K86" i="4" s="1"/>
  <c r="L86" i="4" s="1"/>
  <c r="J90" i="4"/>
  <c r="K90" i="4" s="1"/>
  <c r="L90" i="4" s="1"/>
  <c r="J94" i="4"/>
  <c r="K94" i="4" s="1"/>
  <c r="L94" i="4" s="1"/>
  <c r="J98" i="4"/>
  <c r="K98" i="4" s="1"/>
  <c r="L98" i="4" s="1"/>
  <c r="J102" i="4"/>
  <c r="K102" i="4" s="1"/>
  <c r="L102" i="4" s="1"/>
  <c r="J106" i="4"/>
  <c r="K106" i="4" s="1"/>
  <c r="L106" i="4" s="1"/>
  <c r="J110" i="4"/>
  <c r="K110" i="4" s="1"/>
  <c r="L110" i="4" s="1"/>
  <c r="J114" i="4"/>
  <c r="K114" i="4" s="1"/>
  <c r="L114" i="4" s="1"/>
  <c r="J118" i="4"/>
  <c r="K118" i="4" s="1"/>
  <c r="L118" i="4" s="1"/>
  <c r="J122" i="4"/>
  <c r="K122" i="4" s="1"/>
  <c r="L122" i="4" s="1"/>
  <c r="J126" i="4"/>
  <c r="K126" i="4" s="1"/>
  <c r="L126" i="4" s="1"/>
  <c r="J130" i="4"/>
  <c r="K130" i="4" s="1"/>
  <c r="L130" i="4" s="1"/>
  <c r="J134" i="4"/>
  <c r="K134" i="4" s="1"/>
  <c r="L134" i="4" s="1"/>
  <c r="J138" i="4"/>
  <c r="K138" i="4" s="1"/>
  <c r="L138" i="4" s="1"/>
  <c r="J142" i="4"/>
  <c r="K142" i="4" s="1"/>
  <c r="L142" i="4" s="1"/>
  <c r="J146" i="4"/>
  <c r="K146" i="4" s="1"/>
  <c r="L146" i="4" s="1"/>
  <c r="J150" i="4"/>
  <c r="K150" i="4" s="1"/>
  <c r="L150" i="4" s="1"/>
  <c r="J154" i="4"/>
  <c r="K154" i="4" s="1"/>
  <c r="L154" i="4" s="1"/>
  <c r="J158" i="4"/>
  <c r="K158" i="4" s="1"/>
  <c r="L158" i="4" s="1"/>
  <c r="J162" i="4"/>
  <c r="K162" i="4" s="1"/>
  <c r="L162" i="4" s="1"/>
  <c r="J166" i="4"/>
  <c r="K166" i="4" s="1"/>
  <c r="L166" i="4" s="1"/>
  <c r="J170" i="4"/>
  <c r="K170" i="4" s="1"/>
  <c r="L170" i="4" s="1"/>
  <c r="J174" i="4"/>
  <c r="K174" i="4" s="1"/>
  <c r="L174" i="4" s="1"/>
  <c r="J178" i="4"/>
  <c r="K178" i="4" s="1"/>
  <c r="L178" i="4" s="1"/>
  <c r="J182" i="4"/>
  <c r="K182" i="4" s="1"/>
  <c r="L182" i="4" s="1"/>
  <c r="J186" i="4"/>
  <c r="K186" i="4" s="1"/>
  <c r="L186" i="4" s="1"/>
  <c r="J190" i="4"/>
  <c r="K190" i="4" s="1"/>
  <c r="L190" i="4" s="1"/>
  <c r="J194" i="4"/>
  <c r="K194" i="4" s="1"/>
  <c r="L194" i="4" s="1"/>
  <c r="J198" i="4"/>
  <c r="K198" i="4" s="1"/>
  <c r="L198" i="4" s="1"/>
  <c r="J202" i="4"/>
  <c r="K202" i="4" s="1"/>
  <c r="L202" i="4" s="1"/>
  <c r="J206" i="4"/>
  <c r="K206" i="4" s="1"/>
  <c r="L206" i="4" s="1"/>
  <c r="J210" i="4"/>
  <c r="K210" i="4" s="1"/>
  <c r="L210" i="4" s="1"/>
  <c r="J214" i="4"/>
  <c r="K214" i="4" s="1"/>
  <c r="L214" i="4" s="1"/>
  <c r="J218" i="4"/>
  <c r="K218" i="4" s="1"/>
  <c r="L218" i="4" s="1"/>
  <c r="J222" i="4"/>
  <c r="K222" i="4" s="1"/>
  <c r="L222" i="4" s="1"/>
  <c r="J226" i="4"/>
  <c r="K226" i="4" s="1"/>
  <c r="L226" i="4" s="1"/>
  <c r="J230" i="4"/>
  <c r="K230" i="4" s="1"/>
  <c r="L230" i="4" s="1"/>
  <c r="J234" i="4"/>
  <c r="K234" i="4" s="1"/>
  <c r="L234" i="4" s="1"/>
  <c r="J238" i="4"/>
  <c r="K238" i="4" s="1"/>
  <c r="L238" i="4" s="1"/>
  <c r="J242" i="4"/>
  <c r="K242" i="4" s="1"/>
  <c r="L242" i="4" s="1"/>
  <c r="J246" i="4"/>
  <c r="K246" i="4" s="1"/>
  <c r="L246" i="4" s="1"/>
  <c r="J250" i="4"/>
  <c r="K250" i="4" s="1"/>
  <c r="L250" i="4" s="1"/>
  <c r="J254" i="4"/>
  <c r="K254" i="4" s="1"/>
  <c r="L254" i="4" s="1"/>
  <c r="J258" i="4"/>
  <c r="K258" i="4" s="1"/>
  <c r="L258" i="4" s="1"/>
  <c r="J262" i="4"/>
  <c r="K262" i="4" s="1"/>
  <c r="L262" i="4" s="1"/>
  <c r="J266" i="4"/>
  <c r="K266" i="4" s="1"/>
  <c r="L266" i="4" s="1"/>
  <c r="J270" i="4"/>
  <c r="K270" i="4" s="1"/>
  <c r="L270" i="4" s="1"/>
  <c r="J274" i="4"/>
  <c r="K274" i="4" s="1"/>
  <c r="L274" i="4" s="1"/>
  <c r="J278" i="4"/>
  <c r="K278" i="4" s="1"/>
  <c r="L278" i="4" s="1"/>
  <c r="J282" i="4"/>
  <c r="K282" i="4" s="1"/>
  <c r="L282" i="4" s="1"/>
  <c r="J286" i="4"/>
  <c r="K286" i="4" s="1"/>
  <c r="L286" i="4" s="1"/>
  <c r="J290" i="4"/>
  <c r="K290" i="4" s="1"/>
  <c r="L290" i="4" s="1"/>
  <c r="J294" i="4"/>
  <c r="K294" i="4" s="1"/>
  <c r="L294" i="4" s="1"/>
  <c r="J298" i="4"/>
  <c r="K298" i="4" s="1"/>
  <c r="L298" i="4" s="1"/>
  <c r="J302" i="4"/>
  <c r="K302" i="4" s="1"/>
  <c r="L302" i="4" s="1"/>
  <c r="J306" i="4"/>
  <c r="K306" i="4" s="1"/>
  <c r="L306" i="4" s="1"/>
  <c r="J310" i="4"/>
  <c r="K310" i="4" s="1"/>
  <c r="L310" i="4" s="1"/>
  <c r="J314" i="4"/>
  <c r="K314" i="4" s="1"/>
  <c r="L314" i="4" s="1"/>
  <c r="J318" i="4"/>
  <c r="K318" i="4" s="1"/>
  <c r="L318" i="4" s="1"/>
  <c r="J322" i="4"/>
  <c r="K322" i="4" s="1"/>
  <c r="L322" i="4" s="1"/>
  <c r="J326" i="4"/>
  <c r="K326" i="4" s="1"/>
  <c r="L326" i="4" s="1"/>
  <c r="J330" i="4"/>
  <c r="K330" i="4" s="1"/>
  <c r="L330" i="4" s="1"/>
  <c r="J334" i="4"/>
  <c r="K334" i="4" s="1"/>
  <c r="L334" i="4" s="1"/>
  <c r="J338" i="4"/>
  <c r="K338" i="4" s="1"/>
  <c r="L338" i="4" s="1"/>
  <c r="J342" i="4"/>
  <c r="K342" i="4" s="1"/>
  <c r="L342" i="4" s="1"/>
  <c r="J346" i="4"/>
  <c r="K346" i="4" s="1"/>
  <c r="L346" i="4" s="1"/>
  <c r="J11" i="4"/>
  <c r="K11" i="4" s="1"/>
  <c r="L11" i="4" s="1"/>
  <c r="J8" i="4"/>
  <c r="K8" i="4" s="1"/>
  <c r="L8" i="4" s="1"/>
  <c r="J12" i="4"/>
  <c r="K12" i="4" s="1"/>
  <c r="L12" i="4" s="1"/>
  <c r="J16" i="4"/>
  <c r="K16" i="4" s="1"/>
  <c r="L16" i="4" s="1"/>
  <c r="J20" i="4"/>
  <c r="K20" i="4" s="1"/>
  <c r="L20" i="4" s="1"/>
  <c r="J24" i="4"/>
  <c r="K24" i="4" s="1"/>
  <c r="L24" i="4" s="1"/>
  <c r="J28" i="4"/>
  <c r="K28" i="4" s="1"/>
  <c r="L28" i="4" s="1"/>
  <c r="J32" i="4"/>
  <c r="K32" i="4" s="1"/>
  <c r="L32" i="4" s="1"/>
  <c r="J36" i="4"/>
  <c r="K36" i="4" s="1"/>
  <c r="L36" i="4" s="1"/>
  <c r="J40" i="4"/>
  <c r="K40" i="4" s="1"/>
  <c r="L40" i="4" s="1"/>
  <c r="J44" i="4"/>
  <c r="K44" i="4" s="1"/>
  <c r="L44" i="4" s="1"/>
  <c r="J48" i="4"/>
  <c r="K48" i="4" s="1"/>
  <c r="L48" i="4" s="1"/>
  <c r="J52" i="4"/>
  <c r="K52" i="4" s="1"/>
  <c r="L52" i="4" s="1"/>
  <c r="J56" i="4"/>
  <c r="K56" i="4" s="1"/>
  <c r="L56" i="4" s="1"/>
  <c r="J60" i="4"/>
  <c r="K60" i="4" s="1"/>
  <c r="L60" i="4" s="1"/>
  <c r="J64" i="4"/>
  <c r="K64" i="4" s="1"/>
  <c r="L64" i="4" s="1"/>
  <c r="J68" i="4"/>
  <c r="K68" i="4" s="1"/>
  <c r="L68" i="4" s="1"/>
  <c r="J72" i="4"/>
  <c r="K72" i="4" s="1"/>
  <c r="L72" i="4" s="1"/>
  <c r="J76" i="4"/>
  <c r="K76" i="4" s="1"/>
  <c r="L76" i="4" s="1"/>
  <c r="J80" i="4"/>
  <c r="K80" i="4" s="1"/>
  <c r="L80" i="4" s="1"/>
  <c r="J84" i="4"/>
  <c r="K84" i="4" s="1"/>
  <c r="L84" i="4" s="1"/>
  <c r="J88" i="4"/>
  <c r="K88" i="4" s="1"/>
  <c r="L88" i="4" s="1"/>
  <c r="J92" i="4"/>
  <c r="K92" i="4" s="1"/>
  <c r="L92" i="4" s="1"/>
  <c r="J96" i="4"/>
  <c r="K96" i="4" s="1"/>
  <c r="L96" i="4" s="1"/>
  <c r="J100" i="4"/>
  <c r="K100" i="4" s="1"/>
  <c r="L100" i="4" s="1"/>
  <c r="J104" i="4"/>
  <c r="K104" i="4" s="1"/>
  <c r="L104" i="4" s="1"/>
  <c r="J108" i="4"/>
  <c r="K108" i="4" s="1"/>
  <c r="L108" i="4" s="1"/>
  <c r="J112" i="4"/>
  <c r="K112" i="4" s="1"/>
  <c r="L112" i="4" s="1"/>
  <c r="J116" i="4"/>
  <c r="K116" i="4" s="1"/>
  <c r="L116" i="4" s="1"/>
  <c r="J120" i="4"/>
  <c r="K120" i="4" s="1"/>
  <c r="L120" i="4" s="1"/>
  <c r="J124" i="4"/>
  <c r="K124" i="4" s="1"/>
  <c r="L124" i="4" s="1"/>
  <c r="J128" i="4"/>
  <c r="K128" i="4" s="1"/>
  <c r="L128" i="4" s="1"/>
  <c r="J132" i="4"/>
  <c r="K132" i="4" s="1"/>
  <c r="L132" i="4" s="1"/>
  <c r="J136" i="4"/>
  <c r="K136" i="4" s="1"/>
  <c r="L136" i="4" s="1"/>
  <c r="J140" i="4"/>
  <c r="K140" i="4" s="1"/>
  <c r="L140" i="4" s="1"/>
  <c r="J144" i="4"/>
  <c r="K144" i="4" s="1"/>
  <c r="L144" i="4" s="1"/>
  <c r="J148" i="4"/>
  <c r="K148" i="4" s="1"/>
  <c r="L148" i="4" s="1"/>
  <c r="J152" i="4"/>
  <c r="K152" i="4" s="1"/>
  <c r="L152" i="4" s="1"/>
  <c r="J156" i="4"/>
  <c r="K156" i="4" s="1"/>
  <c r="L156" i="4" s="1"/>
  <c r="J160" i="4"/>
  <c r="K160" i="4" s="1"/>
  <c r="L160" i="4" s="1"/>
  <c r="J164" i="4"/>
  <c r="K164" i="4" s="1"/>
  <c r="L164" i="4" s="1"/>
  <c r="J168" i="4"/>
  <c r="K168" i="4" s="1"/>
  <c r="L168" i="4" s="1"/>
  <c r="J172" i="4"/>
  <c r="K172" i="4" s="1"/>
  <c r="L172" i="4" s="1"/>
  <c r="J176" i="4"/>
  <c r="K176" i="4" s="1"/>
  <c r="L176" i="4" s="1"/>
  <c r="J180" i="4"/>
  <c r="K180" i="4" s="1"/>
  <c r="L180" i="4" s="1"/>
  <c r="J184" i="4"/>
  <c r="K184" i="4" s="1"/>
  <c r="L184" i="4" s="1"/>
  <c r="J188" i="4"/>
  <c r="K188" i="4" s="1"/>
  <c r="L188" i="4" s="1"/>
  <c r="J192" i="4"/>
  <c r="K192" i="4" s="1"/>
  <c r="L192" i="4" s="1"/>
  <c r="J196" i="4"/>
  <c r="K196" i="4" s="1"/>
  <c r="L196" i="4" s="1"/>
  <c r="J200" i="4"/>
  <c r="K200" i="4" s="1"/>
  <c r="L200" i="4" s="1"/>
  <c r="J204" i="4"/>
  <c r="K204" i="4" s="1"/>
  <c r="L204" i="4" s="1"/>
  <c r="J208" i="4"/>
  <c r="K208" i="4" s="1"/>
  <c r="L208" i="4" s="1"/>
  <c r="J212" i="4"/>
  <c r="K212" i="4" s="1"/>
  <c r="L212" i="4" s="1"/>
  <c r="J216" i="4"/>
  <c r="K216" i="4" s="1"/>
  <c r="L216" i="4" s="1"/>
  <c r="J220" i="4"/>
  <c r="K220" i="4" s="1"/>
  <c r="L220" i="4" s="1"/>
  <c r="J224" i="4"/>
  <c r="K224" i="4" s="1"/>
  <c r="L224" i="4" s="1"/>
  <c r="J228" i="4"/>
  <c r="K228" i="4" s="1"/>
  <c r="L228" i="4" s="1"/>
  <c r="J232" i="4"/>
  <c r="K232" i="4" s="1"/>
  <c r="L232" i="4" s="1"/>
  <c r="J236" i="4"/>
  <c r="K236" i="4" s="1"/>
  <c r="L236" i="4" s="1"/>
  <c r="J240" i="4"/>
  <c r="K240" i="4" s="1"/>
  <c r="L240" i="4" s="1"/>
  <c r="J244" i="4"/>
  <c r="K244" i="4" s="1"/>
  <c r="L244" i="4" s="1"/>
  <c r="J248" i="4"/>
  <c r="K248" i="4" s="1"/>
  <c r="L248" i="4" s="1"/>
  <c r="J252" i="4"/>
  <c r="K252" i="4" s="1"/>
  <c r="L252" i="4" s="1"/>
  <c r="J256" i="4"/>
  <c r="K256" i="4" s="1"/>
  <c r="L256" i="4" s="1"/>
  <c r="J260" i="4"/>
  <c r="K260" i="4" s="1"/>
  <c r="L260" i="4" s="1"/>
  <c r="J264" i="4"/>
  <c r="K264" i="4" s="1"/>
  <c r="L264" i="4" s="1"/>
  <c r="J268" i="4"/>
  <c r="K268" i="4" s="1"/>
  <c r="L268" i="4" s="1"/>
  <c r="J272" i="4"/>
  <c r="K272" i="4" s="1"/>
  <c r="L272" i="4" s="1"/>
  <c r="J276" i="4"/>
  <c r="K276" i="4" s="1"/>
  <c r="L276" i="4" s="1"/>
  <c r="J280" i="4"/>
  <c r="K280" i="4" s="1"/>
  <c r="L280" i="4" s="1"/>
  <c r="J284" i="4"/>
  <c r="K284" i="4" s="1"/>
  <c r="L284" i="4" s="1"/>
  <c r="J288" i="4"/>
  <c r="K288" i="4" s="1"/>
  <c r="L288" i="4" s="1"/>
  <c r="J292" i="4"/>
  <c r="K292" i="4" s="1"/>
  <c r="L292" i="4" s="1"/>
  <c r="J296" i="4"/>
  <c r="K296" i="4" s="1"/>
  <c r="L296" i="4" s="1"/>
  <c r="J300" i="4"/>
  <c r="K300" i="4" s="1"/>
  <c r="L300" i="4" s="1"/>
  <c r="J304" i="4"/>
  <c r="K304" i="4" s="1"/>
  <c r="L304" i="4" s="1"/>
  <c r="J308" i="4"/>
  <c r="K308" i="4" s="1"/>
  <c r="L308" i="4" s="1"/>
  <c r="J312" i="4"/>
  <c r="K312" i="4" s="1"/>
  <c r="L312" i="4" s="1"/>
  <c r="J316" i="4"/>
  <c r="K316" i="4" s="1"/>
  <c r="L316" i="4" s="1"/>
  <c r="J320" i="4"/>
  <c r="K320" i="4" s="1"/>
  <c r="L320" i="4" s="1"/>
  <c r="J324" i="4"/>
  <c r="K324" i="4" s="1"/>
  <c r="L324" i="4" s="1"/>
  <c r="J328" i="4"/>
  <c r="K328" i="4" s="1"/>
  <c r="L328" i="4" s="1"/>
  <c r="J332" i="4"/>
  <c r="K332" i="4" s="1"/>
  <c r="L332" i="4" s="1"/>
  <c r="J336" i="4"/>
  <c r="K336" i="4" s="1"/>
  <c r="L336" i="4" s="1"/>
  <c r="J340" i="4"/>
  <c r="K340" i="4" s="1"/>
  <c r="L340" i="4" s="1"/>
  <c r="J344" i="4"/>
  <c r="K344" i="4" s="1"/>
  <c r="L344" i="4" s="1"/>
  <c r="J15" i="4"/>
  <c r="K15" i="4" s="1"/>
  <c r="L15" i="4" s="1"/>
  <c r="J23" i="4"/>
  <c r="K23" i="4" s="1"/>
  <c r="L23" i="4" s="1"/>
  <c r="J31" i="4"/>
  <c r="K31" i="4" s="1"/>
  <c r="L31" i="4" s="1"/>
  <c r="J39" i="4"/>
  <c r="K39" i="4" s="1"/>
  <c r="L39" i="4" s="1"/>
  <c r="J47" i="4"/>
  <c r="K47" i="4" s="1"/>
  <c r="L47" i="4" s="1"/>
  <c r="J55" i="4"/>
  <c r="K55" i="4" s="1"/>
  <c r="L55" i="4" s="1"/>
  <c r="J63" i="4"/>
  <c r="K63" i="4" s="1"/>
  <c r="L63" i="4" s="1"/>
  <c r="J71" i="4"/>
  <c r="K71" i="4" s="1"/>
  <c r="L71" i="4" s="1"/>
  <c r="J79" i="4"/>
  <c r="K79" i="4" s="1"/>
  <c r="L79" i="4" s="1"/>
  <c r="J87" i="4"/>
  <c r="K87" i="4" s="1"/>
  <c r="L87" i="4" s="1"/>
  <c r="J95" i="4"/>
  <c r="K95" i="4" s="1"/>
  <c r="L95" i="4" s="1"/>
  <c r="J103" i="4"/>
  <c r="K103" i="4" s="1"/>
  <c r="L103" i="4" s="1"/>
  <c r="J111" i="4"/>
  <c r="K111" i="4" s="1"/>
  <c r="L111" i="4" s="1"/>
  <c r="J119" i="4"/>
  <c r="K119" i="4" s="1"/>
  <c r="L119" i="4" s="1"/>
  <c r="J127" i="4"/>
  <c r="K127" i="4" s="1"/>
  <c r="L127" i="4" s="1"/>
  <c r="J135" i="4"/>
  <c r="K135" i="4" s="1"/>
  <c r="L135" i="4" s="1"/>
  <c r="J143" i="4"/>
  <c r="K143" i="4" s="1"/>
  <c r="L143" i="4" s="1"/>
  <c r="J151" i="4"/>
  <c r="K151" i="4" s="1"/>
  <c r="L151" i="4" s="1"/>
  <c r="J159" i="4"/>
  <c r="K159" i="4" s="1"/>
  <c r="L159" i="4" s="1"/>
  <c r="J167" i="4"/>
  <c r="K167" i="4" s="1"/>
  <c r="L167" i="4" s="1"/>
  <c r="J175" i="4"/>
  <c r="K175" i="4" s="1"/>
  <c r="L175" i="4" s="1"/>
  <c r="J183" i="4"/>
  <c r="K183" i="4" s="1"/>
  <c r="L183" i="4" s="1"/>
  <c r="J191" i="4"/>
  <c r="K191" i="4" s="1"/>
  <c r="L191" i="4" s="1"/>
  <c r="J199" i="4"/>
  <c r="K199" i="4" s="1"/>
  <c r="L199" i="4" s="1"/>
  <c r="J207" i="4"/>
  <c r="K207" i="4" s="1"/>
  <c r="L207" i="4" s="1"/>
  <c r="J215" i="4"/>
  <c r="K215" i="4" s="1"/>
  <c r="L215" i="4" s="1"/>
  <c r="J223" i="4"/>
  <c r="K223" i="4" s="1"/>
  <c r="L223" i="4" s="1"/>
  <c r="J231" i="4"/>
  <c r="K231" i="4" s="1"/>
  <c r="L231" i="4" s="1"/>
  <c r="J239" i="4"/>
  <c r="K239" i="4" s="1"/>
  <c r="L239" i="4" s="1"/>
  <c r="J247" i="4"/>
  <c r="K247" i="4" s="1"/>
  <c r="L247" i="4" s="1"/>
  <c r="J255" i="4"/>
  <c r="K255" i="4" s="1"/>
  <c r="L255" i="4" s="1"/>
  <c r="J263" i="4"/>
  <c r="K263" i="4" s="1"/>
  <c r="L263" i="4" s="1"/>
  <c r="J271" i="4"/>
  <c r="K271" i="4" s="1"/>
  <c r="L271" i="4" s="1"/>
  <c r="J279" i="4"/>
  <c r="K279" i="4" s="1"/>
  <c r="L279" i="4" s="1"/>
  <c r="J287" i="4"/>
  <c r="K287" i="4" s="1"/>
  <c r="L287" i="4" s="1"/>
  <c r="J295" i="4"/>
  <c r="K295" i="4" s="1"/>
  <c r="L295" i="4" s="1"/>
  <c r="J303" i="4"/>
  <c r="K303" i="4" s="1"/>
  <c r="L303" i="4" s="1"/>
  <c r="J311" i="4"/>
  <c r="K311" i="4" s="1"/>
  <c r="L311" i="4" s="1"/>
  <c r="J319" i="4"/>
  <c r="K319" i="4" s="1"/>
  <c r="L319" i="4" s="1"/>
  <c r="J327" i="4"/>
  <c r="K327" i="4" s="1"/>
  <c r="L327" i="4" s="1"/>
  <c r="J335" i="4"/>
  <c r="K335" i="4" s="1"/>
  <c r="L335" i="4" s="1"/>
  <c r="J343" i="4"/>
  <c r="K343" i="4" s="1"/>
  <c r="L343" i="4" s="1"/>
  <c r="J349" i="4"/>
  <c r="K349" i="4" s="1"/>
  <c r="L349" i="4" s="1"/>
  <c r="J353" i="4"/>
  <c r="K353" i="4" s="1"/>
  <c r="L353" i="4" s="1"/>
  <c r="J357" i="4"/>
  <c r="K357" i="4" s="1"/>
  <c r="L357" i="4" s="1"/>
  <c r="J361" i="4"/>
  <c r="K361" i="4" s="1"/>
  <c r="L361" i="4" s="1"/>
  <c r="J365" i="4"/>
  <c r="K365" i="4" s="1"/>
  <c r="L365" i="4" s="1"/>
  <c r="J369" i="4"/>
  <c r="K369" i="4" s="1"/>
  <c r="L369" i="4" s="1"/>
  <c r="J373" i="4"/>
  <c r="K373" i="4" s="1"/>
  <c r="L373" i="4" s="1"/>
  <c r="J377" i="4"/>
  <c r="K377" i="4" s="1"/>
  <c r="L377" i="4" s="1"/>
  <c r="J381" i="4"/>
  <c r="K381" i="4" s="1"/>
  <c r="L381" i="4" s="1"/>
  <c r="J385" i="4"/>
  <c r="K385" i="4" s="1"/>
  <c r="L385" i="4" s="1"/>
  <c r="J389" i="4"/>
  <c r="K389" i="4" s="1"/>
  <c r="L389" i="4" s="1"/>
  <c r="J393" i="4"/>
  <c r="K393" i="4" s="1"/>
  <c r="L393" i="4" s="1"/>
  <c r="J397" i="4"/>
  <c r="K397" i="4" s="1"/>
  <c r="L397" i="4" s="1"/>
  <c r="J401" i="4"/>
  <c r="K401" i="4" s="1"/>
  <c r="L401" i="4" s="1"/>
  <c r="J405" i="4"/>
  <c r="K405" i="4" s="1"/>
  <c r="L405" i="4" s="1"/>
  <c r="J409" i="4"/>
  <c r="K409" i="4" s="1"/>
  <c r="L409" i="4" s="1"/>
  <c r="J413" i="4"/>
  <c r="K413" i="4" s="1"/>
  <c r="L413" i="4" s="1"/>
  <c r="J417" i="4"/>
  <c r="K417" i="4" s="1"/>
  <c r="L417" i="4" s="1"/>
  <c r="J421" i="4"/>
  <c r="K421" i="4" s="1"/>
  <c r="L421" i="4" s="1"/>
  <c r="J425" i="4"/>
  <c r="K425" i="4" s="1"/>
  <c r="L425" i="4" s="1"/>
  <c r="J429" i="4"/>
  <c r="K429" i="4" s="1"/>
  <c r="L429" i="4" s="1"/>
  <c r="J433" i="4"/>
  <c r="K433" i="4" s="1"/>
  <c r="L433" i="4" s="1"/>
  <c r="J437" i="4"/>
  <c r="K437" i="4" s="1"/>
  <c r="L437" i="4" s="1"/>
  <c r="J441" i="4"/>
  <c r="K441" i="4" s="1"/>
  <c r="L441" i="4" s="1"/>
  <c r="J445" i="4"/>
  <c r="K445" i="4" s="1"/>
  <c r="L445" i="4" s="1"/>
  <c r="J449" i="4"/>
  <c r="K449" i="4" s="1"/>
  <c r="L449" i="4" s="1"/>
  <c r="J453" i="4"/>
  <c r="K453" i="4" s="1"/>
  <c r="L453" i="4" s="1"/>
  <c r="J457" i="4"/>
  <c r="K457" i="4" s="1"/>
  <c r="L457" i="4" s="1"/>
  <c r="J461" i="4"/>
  <c r="K461" i="4" s="1"/>
  <c r="L461" i="4" s="1"/>
  <c r="J465" i="4"/>
  <c r="K465" i="4" s="1"/>
  <c r="L465" i="4" s="1"/>
  <c r="J469" i="4"/>
  <c r="K469" i="4" s="1"/>
  <c r="L469" i="4" s="1"/>
  <c r="J473" i="4"/>
  <c r="K473" i="4" s="1"/>
  <c r="L473" i="4" s="1"/>
  <c r="J477" i="4"/>
  <c r="K477" i="4" s="1"/>
  <c r="L477" i="4" s="1"/>
  <c r="J481" i="4"/>
  <c r="K481" i="4" s="1"/>
  <c r="L481" i="4" s="1"/>
  <c r="J485" i="4"/>
  <c r="K485" i="4" s="1"/>
  <c r="L485" i="4" s="1"/>
  <c r="J489" i="4"/>
  <c r="K489" i="4" s="1"/>
  <c r="L489" i="4" s="1"/>
  <c r="J493" i="4"/>
  <c r="K493" i="4" s="1"/>
  <c r="L493" i="4" s="1"/>
  <c r="J497" i="4"/>
  <c r="K497" i="4" s="1"/>
  <c r="L497" i="4" s="1"/>
  <c r="J501" i="4"/>
  <c r="K501" i="4" s="1"/>
  <c r="L501" i="4" s="1"/>
  <c r="J505" i="4"/>
  <c r="K505" i="4" s="1"/>
  <c r="L505" i="4" s="1"/>
  <c r="J509" i="4"/>
  <c r="K509" i="4" s="1"/>
  <c r="L509" i="4" s="1"/>
  <c r="J513" i="4"/>
  <c r="K513" i="4" s="1"/>
  <c r="L513" i="4" s="1"/>
  <c r="J517" i="4"/>
  <c r="K517" i="4" s="1"/>
  <c r="L517" i="4" s="1"/>
  <c r="J17" i="4"/>
  <c r="K17" i="4" s="1"/>
  <c r="L17" i="4" s="1"/>
  <c r="J27" i="4"/>
  <c r="K27" i="4" s="1"/>
  <c r="L27" i="4" s="1"/>
  <c r="J37" i="4"/>
  <c r="K37" i="4" s="1"/>
  <c r="L37" i="4" s="1"/>
  <c r="J49" i="4"/>
  <c r="K49" i="4" s="1"/>
  <c r="L49" i="4" s="1"/>
  <c r="J59" i="4"/>
  <c r="K59" i="4" s="1"/>
  <c r="L59" i="4" s="1"/>
  <c r="J69" i="4"/>
  <c r="K69" i="4" s="1"/>
  <c r="L69" i="4" s="1"/>
  <c r="J81" i="4"/>
  <c r="K81" i="4" s="1"/>
  <c r="L81" i="4" s="1"/>
  <c r="J91" i="4"/>
  <c r="K91" i="4" s="1"/>
  <c r="L91" i="4" s="1"/>
  <c r="J101" i="4"/>
  <c r="K101" i="4" s="1"/>
  <c r="L101" i="4" s="1"/>
  <c r="J113" i="4"/>
  <c r="K113" i="4" s="1"/>
  <c r="L113" i="4" s="1"/>
  <c r="J123" i="4"/>
  <c r="K123" i="4" s="1"/>
  <c r="L123" i="4" s="1"/>
  <c r="J133" i="4"/>
  <c r="K133" i="4" s="1"/>
  <c r="L133" i="4" s="1"/>
  <c r="J145" i="4"/>
  <c r="K145" i="4" s="1"/>
  <c r="L145" i="4" s="1"/>
  <c r="J155" i="4"/>
  <c r="K155" i="4" s="1"/>
  <c r="L155" i="4" s="1"/>
  <c r="J165" i="4"/>
  <c r="K165" i="4" s="1"/>
  <c r="L165" i="4" s="1"/>
  <c r="J177" i="4"/>
  <c r="K177" i="4" s="1"/>
  <c r="L177" i="4" s="1"/>
  <c r="J187" i="4"/>
  <c r="K187" i="4" s="1"/>
  <c r="L187" i="4" s="1"/>
  <c r="J197" i="4"/>
  <c r="K197" i="4" s="1"/>
  <c r="L197" i="4" s="1"/>
  <c r="J209" i="4"/>
  <c r="K209" i="4" s="1"/>
  <c r="L209" i="4" s="1"/>
  <c r="J219" i="4"/>
  <c r="K219" i="4" s="1"/>
  <c r="L219" i="4" s="1"/>
  <c r="J229" i="4"/>
  <c r="K229" i="4" s="1"/>
  <c r="L229" i="4" s="1"/>
  <c r="J241" i="4"/>
  <c r="K241" i="4" s="1"/>
  <c r="L241" i="4" s="1"/>
  <c r="J251" i="4"/>
  <c r="K251" i="4" s="1"/>
  <c r="L251" i="4" s="1"/>
  <c r="J261" i="4"/>
  <c r="K261" i="4" s="1"/>
  <c r="L261" i="4" s="1"/>
  <c r="J273" i="4"/>
  <c r="K273" i="4" s="1"/>
  <c r="L273" i="4" s="1"/>
  <c r="J283" i="4"/>
  <c r="K283" i="4" s="1"/>
  <c r="L283" i="4" s="1"/>
  <c r="J293" i="4"/>
  <c r="K293" i="4" s="1"/>
  <c r="L293" i="4" s="1"/>
  <c r="J305" i="4"/>
  <c r="K305" i="4" s="1"/>
  <c r="L305" i="4" s="1"/>
  <c r="J315" i="4"/>
  <c r="K315" i="4" s="1"/>
  <c r="L315" i="4" s="1"/>
  <c r="J325" i="4"/>
  <c r="K325" i="4" s="1"/>
  <c r="L325" i="4" s="1"/>
  <c r="J337" i="4"/>
  <c r="K337" i="4" s="1"/>
  <c r="L337" i="4" s="1"/>
  <c r="J347" i="4"/>
  <c r="K347" i="4" s="1"/>
  <c r="L347" i="4" s="1"/>
  <c r="J352" i="4"/>
  <c r="K352" i="4" s="1"/>
  <c r="L352" i="4" s="1"/>
  <c r="J358" i="4"/>
  <c r="K358" i="4" s="1"/>
  <c r="L358" i="4" s="1"/>
  <c r="J363" i="4"/>
  <c r="K363" i="4" s="1"/>
  <c r="L363" i="4" s="1"/>
  <c r="J368" i="4"/>
  <c r="K368" i="4" s="1"/>
  <c r="L368" i="4" s="1"/>
  <c r="J374" i="4"/>
  <c r="K374" i="4" s="1"/>
  <c r="L374" i="4" s="1"/>
  <c r="J379" i="4"/>
  <c r="K379" i="4" s="1"/>
  <c r="L379" i="4" s="1"/>
  <c r="J384" i="4"/>
  <c r="K384" i="4" s="1"/>
  <c r="L384" i="4" s="1"/>
  <c r="J390" i="4"/>
  <c r="K390" i="4" s="1"/>
  <c r="L390" i="4" s="1"/>
  <c r="J395" i="4"/>
  <c r="K395" i="4" s="1"/>
  <c r="L395" i="4" s="1"/>
  <c r="J400" i="4"/>
  <c r="K400" i="4" s="1"/>
  <c r="L400" i="4" s="1"/>
  <c r="J406" i="4"/>
  <c r="K406" i="4" s="1"/>
  <c r="L406" i="4" s="1"/>
  <c r="J411" i="4"/>
  <c r="K411" i="4" s="1"/>
  <c r="L411" i="4" s="1"/>
  <c r="J416" i="4"/>
  <c r="K416" i="4" s="1"/>
  <c r="L416" i="4" s="1"/>
  <c r="J422" i="4"/>
  <c r="K422" i="4" s="1"/>
  <c r="L422" i="4" s="1"/>
  <c r="J427" i="4"/>
  <c r="K427" i="4" s="1"/>
  <c r="L427" i="4" s="1"/>
  <c r="J432" i="4"/>
  <c r="K432" i="4" s="1"/>
  <c r="L432" i="4" s="1"/>
  <c r="J438" i="4"/>
  <c r="K438" i="4" s="1"/>
  <c r="L438" i="4" s="1"/>
  <c r="J443" i="4"/>
  <c r="K443" i="4" s="1"/>
  <c r="L443" i="4" s="1"/>
  <c r="J448" i="4"/>
  <c r="K448" i="4" s="1"/>
  <c r="L448" i="4" s="1"/>
  <c r="J454" i="4"/>
  <c r="K454" i="4" s="1"/>
  <c r="L454" i="4" s="1"/>
  <c r="J459" i="4"/>
  <c r="K459" i="4" s="1"/>
  <c r="L459" i="4" s="1"/>
  <c r="J464" i="4"/>
  <c r="K464" i="4" s="1"/>
  <c r="L464" i="4" s="1"/>
  <c r="J470" i="4"/>
  <c r="K470" i="4" s="1"/>
  <c r="L470" i="4" s="1"/>
  <c r="J475" i="4"/>
  <c r="K475" i="4" s="1"/>
  <c r="L475" i="4" s="1"/>
  <c r="J480" i="4"/>
  <c r="K480" i="4" s="1"/>
  <c r="L480" i="4" s="1"/>
  <c r="J486" i="4"/>
  <c r="K486" i="4" s="1"/>
  <c r="L486" i="4" s="1"/>
  <c r="J491" i="4"/>
  <c r="K491" i="4" s="1"/>
  <c r="L491" i="4" s="1"/>
  <c r="J496" i="4"/>
  <c r="K496" i="4" s="1"/>
  <c r="L496" i="4" s="1"/>
  <c r="J502" i="4"/>
  <c r="K502" i="4" s="1"/>
  <c r="L502" i="4" s="1"/>
  <c r="J507" i="4"/>
  <c r="K507" i="4" s="1"/>
  <c r="L507" i="4" s="1"/>
  <c r="J512" i="4"/>
  <c r="K512" i="4" s="1"/>
  <c r="L512" i="4" s="1"/>
  <c r="J518" i="4"/>
  <c r="K518" i="4" s="1"/>
  <c r="L518" i="4" s="1"/>
  <c r="J522" i="4"/>
  <c r="K522" i="4" s="1"/>
  <c r="L522" i="4" s="1"/>
  <c r="J526" i="4"/>
  <c r="K526" i="4" s="1"/>
  <c r="L526" i="4" s="1"/>
  <c r="J530" i="4"/>
  <c r="K530" i="4" s="1"/>
  <c r="L530" i="4" s="1"/>
  <c r="J534" i="4"/>
  <c r="K534" i="4" s="1"/>
  <c r="L534" i="4" s="1"/>
  <c r="J538" i="4"/>
  <c r="K538" i="4" s="1"/>
  <c r="L538" i="4" s="1"/>
  <c r="J542" i="4"/>
  <c r="K542" i="4" s="1"/>
  <c r="L542" i="4" s="1"/>
  <c r="J546" i="4"/>
  <c r="K546" i="4" s="1"/>
  <c r="L546" i="4" s="1"/>
  <c r="J550" i="4"/>
  <c r="K550" i="4" s="1"/>
  <c r="L550" i="4" s="1"/>
  <c r="J554" i="4"/>
  <c r="K554" i="4" s="1"/>
  <c r="L554" i="4" s="1"/>
  <c r="J558" i="4"/>
  <c r="K558" i="4" s="1"/>
  <c r="L558" i="4" s="1"/>
  <c r="J562" i="4"/>
  <c r="K562" i="4" s="1"/>
  <c r="L562" i="4" s="1"/>
  <c r="J566" i="4"/>
  <c r="K566" i="4" s="1"/>
  <c r="L566" i="4" s="1"/>
  <c r="J570" i="4"/>
  <c r="K570" i="4" s="1"/>
  <c r="L570" i="4" s="1"/>
  <c r="J574" i="4"/>
  <c r="K574" i="4" s="1"/>
  <c r="L574" i="4" s="1"/>
  <c r="J578" i="4"/>
  <c r="K578" i="4" s="1"/>
  <c r="L578" i="4" s="1"/>
  <c r="J582" i="4"/>
  <c r="K582" i="4" s="1"/>
  <c r="L582" i="4" s="1"/>
  <c r="J586" i="4"/>
  <c r="K586" i="4" s="1"/>
  <c r="L586" i="4" s="1"/>
  <c r="J590" i="4"/>
  <c r="K590" i="4" s="1"/>
  <c r="L590" i="4" s="1"/>
  <c r="J594" i="4"/>
  <c r="K594" i="4" s="1"/>
  <c r="L594" i="4" s="1"/>
  <c r="J598" i="4"/>
  <c r="K598" i="4" s="1"/>
  <c r="L598" i="4" s="1"/>
  <c r="J602" i="4"/>
  <c r="K602" i="4" s="1"/>
  <c r="L602" i="4" s="1"/>
  <c r="J606" i="4"/>
  <c r="K606" i="4" s="1"/>
  <c r="L606" i="4" s="1"/>
  <c r="J610" i="4"/>
  <c r="K610" i="4" s="1"/>
  <c r="L610" i="4" s="1"/>
  <c r="J614" i="4"/>
  <c r="K614" i="4" s="1"/>
  <c r="L614" i="4" s="1"/>
  <c r="J618" i="4"/>
  <c r="K618" i="4" s="1"/>
  <c r="L618" i="4" s="1"/>
  <c r="J622" i="4"/>
  <c r="K622" i="4" s="1"/>
  <c r="L622" i="4" s="1"/>
  <c r="J626" i="4"/>
  <c r="K626" i="4" s="1"/>
  <c r="L626" i="4" s="1"/>
  <c r="J630" i="4"/>
  <c r="K630" i="4" s="1"/>
  <c r="L630" i="4" s="1"/>
  <c r="J634" i="4"/>
  <c r="K634" i="4" s="1"/>
  <c r="L634" i="4" s="1"/>
  <c r="J638" i="4"/>
  <c r="K638" i="4" s="1"/>
  <c r="L638" i="4" s="1"/>
  <c r="J642" i="4"/>
  <c r="K642" i="4" s="1"/>
  <c r="L642" i="4" s="1"/>
  <c r="J646" i="4"/>
  <c r="K646" i="4" s="1"/>
  <c r="L646" i="4" s="1"/>
  <c r="J650" i="4"/>
  <c r="K650" i="4" s="1"/>
  <c r="L650" i="4" s="1"/>
  <c r="J654" i="4"/>
  <c r="K654" i="4" s="1"/>
  <c r="L654" i="4" s="1"/>
  <c r="J658" i="4"/>
  <c r="K658" i="4" s="1"/>
  <c r="L658" i="4" s="1"/>
  <c r="J662" i="4"/>
  <c r="K662" i="4" s="1"/>
  <c r="L662" i="4" s="1"/>
  <c r="J666" i="4"/>
  <c r="K666" i="4" s="1"/>
  <c r="L666" i="4" s="1"/>
  <c r="J670" i="4"/>
  <c r="K670" i="4" s="1"/>
  <c r="L670" i="4" s="1"/>
  <c r="J674" i="4"/>
  <c r="K674" i="4" s="1"/>
  <c r="L674" i="4" s="1"/>
  <c r="J678" i="4"/>
  <c r="K678" i="4" s="1"/>
  <c r="L678" i="4" s="1"/>
  <c r="J682" i="4"/>
  <c r="K682" i="4" s="1"/>
  <c r="L682" i="4" s="1"/>
  <c r="J686" i="4"/>
  <c r="K686" i="4" s="1"/>
  <c r="L686" i="4" s="1"/>
  <c r="J690" i="4"/>
  <c r="K690" i="4" s="1"/>
  <c r="L690" i="4" s="1"/>
  <c r="J694" i="4"/>
  <c r="K694" i="4" s="1"/>
  <c r="L694" i="4" s="1"/>
  <c r="J698" i="4"/>
  <c r="K698" i="4" s="1"/>
  <c r="L698" i="4" s="1"/>
  <c r="J702" i="4"/>
  <c r="K702" i="4" s="1"/>
  <c r="L702" i="4" s="1"/>
  <c r="J706" i="4"/>
  <c r="K706" i="4" s="1"/>
  <c r="L706" i="4" s="1"/>
  <c r="J710" i="4"/>
  <c r="K710" i="4" s="1"/>
  <c r="L710" i="4" s="1"/>
  <c r="J714" i="4"/>
  <c r="K714" i="4" s="1"/>
  <c r="L714" i="4" s="1"/>
  <c r="J718" i="4"/>
  <c r="K718" i="4" s="1"/>
  <c r="L718" i="4" s="1"/>
  <c r="J722" i="4"/>
  <c r="K722" i="4" s="1"/>
  <c r="L722" i="4" s="1"/>
  <c r="J726" i="4"/>
  <c r="K726" i="4" s="1"/>
  <c r="L726" i="4" s="1"/>
  <c r="J730" i="4"/>
  <c r="K730" i="4" s="1"/>
  <c r="L730" i="4" s="1"/>
  <c r="J734" i="4"/>
  <c r="K734" i="4" s="1"/>
  <c r="L734" i="4" s="1"/>
  <c r="J738" i="4"/>
  <c r="K738" i="4" s="1"/>
  <c r="L738" i="4" s="1"/>
  <c r="J742" i="4"/>
  <c r="K742" i="4" s="1"/>
  <c r="L742" i="4" s="1"/>
  <c r="J746" i="4"/>
  <c r="K746" i="4" s="1"/>
  <c r="L746" i="4" s="1"/>
  <c r="J750" i="4"/>
  <c r="K750" i="4" s="1"/>
  <c r="L750" i="4" s="1"/>
  <c r="J754" i="4"/>
  <c r="K754" i="4" s="1"/>
  <c r="L754" i="4" s="1"/>
  <c r="J758" i="4"/>
  <c r="K758" i="4" s="1"/>
  <c r="L758" i="4" s="1"/>
  <c r="J762" i="4"/>
  <c r="K762" i="4" s="1"/>
  <c r="L762" i="4" s="1"/>
  <c r="J766" i="4"/>
  <c r="K766" i="4" s="1"/>
  <c r="L766" i="4" s="1"/>
  <c r="J770" i="4"/>
  <c r="K770" i="4" s="1"/>
  <c r="L770" i="4" s="1"/>
  <c r="J774" i="4"/>
  <c r="K774" i="4" s="1"/>
  <c r="L774" i="4" s="1"/>
  <c r="J778" i="4"/>
  <c r="K778" i="4" s="1"/>
  <c r="L778" i="4" s="1"/>
  <c r="J782" i="4"/>
  <c r="K782" i="4" s="1"/>
  <c r="L782" i="4" s="1"/>
  <c r="J786" i="4"/>
  <c r="K786" i="4" s="1"/>
  <c r="L786" i="4" s="1"/>
  <c r="J790" i="4"/>
  <c r="K790" i="4" s="1"/>
  <c r="L790" i="4" s="1"/>
  <c r="J794" i="4"/>
  <c r="K794" i="4" s="1"/>
  <c r="L794" i="4" s="1"/>
  <c r="J798" i="4"/>
  <c r="K798" i="4" s="1"/>
  <c r="L798" i="4" s="1"/>
  <c r="J802" i="4"/>
  <c r="K802" i="4" s="1"/>
  <c r="L802" i="4" s="1"/>
  <c r="J806" i="4"/>
  <c r="K806" i="4" s="1"/>
  <c r="L806" i="4" s="1"/>
  <c r="J810" i="4"/>
  <c r="K810" i="4" s="1"/>
  <c r="L810" i="4" s="1"/>
  <c r="J814" i="4"/>
  <c r="K814" i="4" s="1"/>
  <c r="L814" i="4" s="1"/>
  <c r="J818" i="4"/>
  <c r="K818" i="4" s="1"/>
  <c r="L818" i="4" s="1"/>
  <c r="J822" i="4"/>
  <c r="K822" i="4" s="1"/>
  <c r="L822" i="4" s="1"/>
  <c r="J826" i="4"/>
  <c r="K826" i="4" s="1"/>
  <c r="L826" i="4" s="1"/>
  <c r="J830" i="4"/>
  <c r="K830" i="4" s="1"/>
  <c r="L830" i="4" s="1"/>
  <c r="J834" i="4"/>
  <c r="K834" i="4" s="1"/>
  <c r="L834" i="4" s="1"/>
  <c r="J838" i="4"/>
  <c r="K838" i="4" s="1"/>
  <c r="L838" i="4" s="1"/>
  <c r="J842" i="4"/>
  <c r="K842" i="4" s="1"/>
  <c r="L842" i="4" s="1"/>
  <c r="J846" i="4"/>
  <c r="K846" i="4" s="1"/>
  <c r="L846" i="4" s="1"/>
  <c r="J850" i="4"/>
  <c r="K850" i="4" s="1"/>
  <c r="L850" i="4" s="1"/>
  <c r="J854" i="4"/>
  <c r="K854" i="4" s="1"/>
  <c r="L854" i="4" s="1"/>
  <c r="J858" i="4"/>
  <c r="K858" i="4" s="1"/>
  <c r="L858" i="4" s="1"/>
  <c r="J862" i="4"/>
  <c r="K862" i="4" s="1"/>
  <c r="L862" i="4" s="1"/>
  <c r="J866" i="4"/>
  <c r="K866" i="4" s="1"/>
  <c r="L866" i="4" s="1"/>
  <c r="J870" i="4"/>
  <c r="K870" i="4" s="1"/>
  <c r="L870" i="4" s="1"/>
  <c r="J874" i="4"/>
  <c r="K874" i="4" s="1"/>
  <c r="L874" i="4" s="1"/>
  <c r="J878" i="4"/>
  <c r="K878" i="4" s="1"/>
  <c r="L878" i="4" s="1"/>
  <c r="J882" i="4"/>
  <c r="K882" i="4" s="1"/>
  <c r="L882" i="4" s="1"/>
  <c r="J886" i="4"/>
  <c r="K886" i="4" s="1"/>
  <c r="L886" i="4" s="1"/>
  <c r="J890" i="4"/>
  <c r="K890" i="4" s="1"/>
  <c r="L890" i="4" s="1"/>
  <c r="J894" i="4"/>
  <c r="K894" i="4" s="1"/>
  <c r="L894" i="4" s="1"/>
  <c r="J898" i="4"/>
  <c r="K898" i="4" s="1"/>
  <c r="L898" i="4" s="1"/>
  <c r="J902" i="4"/>
  <c r="K902" i="4" s="1"/>
  <c r="L902" i="4" s="1"/>
  <c r="J906" i="4"/>
  <c r="K906" i="4" s="1"/>
  <c r="L906" i="4" s="1"/>
  <c r="J910" i="4"/>
  <c r="K910" i="4" s="1"/>
  <c r="L910" i="4" s="1"/>
  <c r="J914" i="4"/>
  <c r="K914" i="4" s="1"/>
  <c r="L914" i="4" s="1"/>
  <c r="J918" i="4"/>
  <c r="K918" i="4" s="1"/>
  <c r="L918" i="4" s="1"/>
  <c r="J922" i="4"/>
  <c r="K922" i="4" s="1"/>
  <c r="L922" i="4" s="1"/>
  <c r="J926" i="4"/>
  <c r="K926" i="4" s="1"/>
  <c r="L926" i="4" s="1"/>
  <c r="J930" i="4"/>
  <c r="K930" i="4" s="1"/>
  <c r="L930" i="4" s="1"/>
  <c r="J934" i="4"/>
  <c r="K934" i="4" s="1"/>
  <c r="L934" i="4" s="1"/>
  <c r="J938" i="4"/>
  <c r="K938" i="4" s="1"/>
  <c r="L938" i="4" s="1"/>
  <c r="J942" i="4"/>
  <c r="K942" i="4" s="1"/>
  <c r="L942" i="4" s="1"/>
  <c r="J19" i="4"/>
  <c r="K19" i="4" s="1"/>
  <c r="L19" i="4" s="1"/>
  <c r="J29" i="4"/>
  <c r="K29" i="4" s="1"/>
  <c r="L29" i="4" s="1"/>
  <c r="J41" i="4"/>
  <c r="K41" i="4" s="1"/>
  <c r="L41" i="4" s="1"/>
  <c r="J51" i="4"/>
  <c r="K51" i="4" s="1"/>
  <c r="L51" i="4" s="1"/>
  <c r="J61" i="4"/>
  <c r="K61" i="4" s="1"/>
  <c r="L61" i="4" s="1"/>
  <c r="J73" i="4"/>
  <c r="K73" i="4" s="1"/>
  <c r="L73" i="4" s="1"/>
  <c r="J83" i="4"/>
  <c r="K83" i="4" s="1"/>
  <c r="L83" i="4" s="1"/>
  <c r="J93" i="4"/>
  <c r="K93" i="4" s="1"/>
  <c r="L93" i="4" s="1"/>
  <c r="J105" i="4"/>
  <c r="K105" i="4" s="1"/>
  <c r="L105" i="4" s="1"/>
  <c r="J115" i="4"/>
  <c r="K115" i="4" s="1"/>
  <c r="L115" i="4" s="1"/>
  <c r="J125" i="4"/>
  <c r="K125" i="4" s="1"/>
  <c r="L125" i="4" s="1"/>
  <c r="J137" i="4"/>
  <c r="K137" i="4" s="1"/>
  <c r="L137" i="4" s="1"/>
  <c r="J147" i="4"/>
  <c r="K147" i="4" s="1"/>
  <c r="L147" i="4" s="1"/>
  <c r="J157" i="4"/>
  <c r="K157" i="4" s="1"/>
  <c r="L157" i="4" s="1"/>
  <c r="J169" i="4"/>
  <c r="K169" i="4" s="1"/>
  <c r="L169" i="4" s="1"/>
  <c r="J179" i="4"/>
  <c r="K179" i="4" s="1"/>
  <c r="L179" i="4" s="1"/>
  <c r="J189" i="4"/>
  <c r="K189" i="4" s="1"/>
  <c r="L189" i="4" s="1"/>
  <c r="J201" i="4"/>
  <c r="K201" i="4" s="1"/>
  <c r="L201" i="4" s="1"/>
  <c r="J211" i="4"/>
  <c r="K211" i="4" s="1"/>
  <c r="L211" i="4" s="1"/>
  <c r="J221" i="4"/>
  <c r="K221" i="4" s="1"/>
  <c r="L221" i="4" s="1"/>
  <c r="J233" i="4"/>
  <c r="K233" i="4" s="1"/>
  <c r="L233" i="4" s="1"/>
  <c r="J243" i="4"/>
  <c r="K243" i="4" s="1"/>
  <c r="L243" i="4" s="1"/>
  <c r="J253" i="4"/>
  <c r="K253" i="4" s="1"/>
  <c r="L253" i="4" s="1"/>
  <c r="J265" i="4"/>
  <c r="K265" i="4" s="1"/>
  <c r="L265" i="4" s="1"/>
  <c r="J275" i="4"/>
  <c r="K275" i="4" s="1"/>
  <c r="L275" i="4" s="1"/>
  <c r="J285" i="4"/>
  <c r="K285" i="4" s="1"/>
  <c r="L285" i="4" s="1"/>
  <c r="J297" i="4"/>
  <c r="K297" i="4" s="1"/>
  <c r="L297" i="4" s="1"/>
  <c r="J307" i="4"/>
  <c r="K307" i="4" s="1"/>
  <c r="L307" i="4" s="1"/>
  <c r="J317" i="4"/>
  <c r="K317" i="4" s="1"/>
  <c r="L317" i="4" s="1"/>
  <c r="J329" i="4"/>
  <c r="K329" i="4" s="1"/>
  <c r="L329" i="4" s="1"/>
  <c r="J339" i="4"/>
  <c r="K339" i="4" s="1"/>
  <c r="L339" i="4" s="1"/>
  <c r="J348" i="4"/>
  <c r="K348" i="4" s="1"/>
  <c r="L348" i="4" s="1"/>
  <c r="J354" i="4"/>
  <c r="K354" i="4" s="1"/>
  <c r="L354" i="4" s="1"/>
  <c r="J359" i="4"/>
  <c r="K359" i="4" s="1"/>
  <c r="L359" i="4" s="1"/>
  <c r="J364" i="4"/>
  <c r="K364" i="4" s="1"/>
  <c r="L364" i="4" s="1"/>
  <c r="J370" i="4"/>
  <c r="K370" i="4" s="1"/>
  <c r="L370" i="4" s="1"/>
  <c r="J375" i="4"/>
  <c r="K375" i="4" s="1"/>
  <c r="L375" i="4" s="1"/>
  <c r="J380" i="4"/>
  <c r="K380" i="4" s="1"/>
  <c r="L380" i="4" s="1"/>
  <c r="J386" i="4"/>
  <c r="K386" i="4" s="1"/>
  <c r="L386" i="4" s="1"/>
  <c r="J391" i="4"/>
  <c r="K391" i="4" s="1"/>
  <c r="L391" i="4" s="1"/>
  <c r="J396" i="4"/>
  <c r="K396" i="4" s="1"/>
  <c r="L396" i="4" s="1"/>
  <c r="J402" i="4"/>
  <c r="K402" i="4" s="1"/>
  <c r="L402" i="4" s="1"/>
  <c r="J407" i="4"/>
  <c r="K407" i="4" s="1"/>
  <c r="L407" i="4" s="1"/>
  <c r="J412" i="4"/>
  <c r="K412" i="4" s="1"/>
  <c r="L412" i="4" s="1"/>
  <c r="J418" i="4"/>
  <c r="K418" i="4" s="1"/>
  <c r="L418" i="4" s="1"/>
  <c r="J423" i="4"/>
  <c r="K423" i="4" s="1"/>
  <c r="L423" i="4" s="1"/>
  <c r="J428" i="4"/>
  <c r="K428" i="4" s="1"/>
  <c r="L428" i="4" s="1"/>
  <c r="J434" i="4"/>
  <c r="K434" i="4" s="1"/>
  <c r="L434" i="4" s="1"/>
  <c r="J439" i="4"/>
  <c r="K439" i="4" s="1"/>
  <c r="L439" i="4" s="1"/>
  <c r="J444" i="4"/>
  <c r="K444" i="4" s="1"/>
  <c r="L444" i="4" s="1"/>
  <c r="J450" i="4"/>
  <c r="K450" i="4" s="1"/>
  <c r="L450" i="4" s="1"/>
  <c r="J455" i="4"/>
  <c r="K455" i="4" s="1"/>
  <c r="L455" i="4" s="1"/>
  <c r="J460" i="4"/>
  <c r="K460" i="4" s="1"/>
  <c r="L460" i="4" s="1"/>
  <c r="J466" i="4"/>
  <c r="K466" i="4" s="1"/>
  <c r="L466" i="4" s="1"/>
  <c r="J471" i="4"/>
  <c r="K471" i="4" s="1"/>
  <c r="L471" i="4" s="1"/>
  <c r="J476" i="4"/>
  <c r="K476" i="4" s="1"/>
  <c r="L476" i="4" s="1"/>
  <c r="J482" i="4"/>
  <c r="K482" i="4" s="1"/>
  <c r="L482" i="4" s="1"/>
  <c r="J487" i="4"/>
  <c r="K487" i="4" s="1"/>
  <c r="L487" i="4" s="1"/>
  <c r="J492" i="4"/>
  <c r="K492" i="4" s="1"/>
  <c r="L492" i="4" s="1"/>
  <c r="J498" i="4"/>
  <c r="K498" i="4" s="1"/>
  <c r="L498" i="4" s="1"/>
  <c r="J503" i="4"/>
  <c r="K503" i="4" s="1"/>
  <c r="L503" i="4" s="1"/>
  <c r="J21" i="4"/>
  <c r="K21" i="4" s="1"/>
  <c r="L21" i="4" s="1"/>
  <c r="J43" i="4"/>
  <c r="K43" i="4" s="1"/>
  <c r="L43" i="4" s="1"/>
  <c r="J65" i="4"/>
  <c r="K65" i="4" s="1"/>
  <c r="L65" i="4" s="1"/>
  <c r="J85" i="4"/>
  <c r="K85" i="4" s="1"/>
  <c r="L85" i="4" s="1"/>
  <c r="J107" i="4"/>
  <c r="K107" i="4" s="1"/>
  <c r="L107" i="4" s="1"/>
  <c r="J129" i="4"/>
  <c r="K129" i="4" s="1"/>
  <c r="L129" i="4" s="1"/>
  <c r="J149" i="4"/>
  <c r="K149" i="4" s="1"/>
  <c r="L149" i="4" s="1"/>
  <c r="J171" i="4"/>
  <c r="K171" i="4" s="1"/>
  <c r="L171" i="4" s="1"/>
  <c r="J193" i="4"/>
  <c r="K193" i="4" s="1"/>
  <c r="L193" i="4" s="1"/>
  <c r="J213" i="4"/>
  <c r="K213" i="4" s="1"/>
  <c r="L213" i="4" s="1"/>
  <c r="J235" i="4"/>
  <c r="K235" i="4" s="1"/>
  <c r="L235" i="4" s="1"/>
  <c r="J257" i="4"/>
  <c r="K257" i="4" s="1"/>
  <c r="L257" i="4" s="1"/>
  <c r="J277" i="4"/>
  <c r="K277" i="4" s="1"/>
  <c r="L277" i="4" s="1"/>
  <c r="J299" i="4"/>
  <c r="K299" i="4" s="1"/>
  <c r="L299" i="4" s="1"/>
  <c r="J321" i="4"/>
  <c r="K321" i="4" s="1"/>
  <c r="L321" i="4" s="1"/>
  <c r="J341" i="4"/>
  <c r="K341" i="4" s="1"/>
  <c r="L341" i="4" s="1"/>
  <c r="J355" i="4"/>
  <c r="K355" i="4" s="1"/>
  <c r="L355" i="4" s="1"/>
  <c r="J366" i="4"/>
  <c r="K366" i="4" s="1"/>
  <c r="L366" i="4" s="1"/>
  <c r="J376" i="4"/>
  <c r="K376" i="4" s="1"/>
  <c r="L376" i="4" s="1"/>
  <c r="J387" i="4"/>
  <c r="K387" i="4" s="1"/>
  <c r="L387" i="4" s="1"/>
  <c r="J398" i="4"/>
  <c r="K398" i="4" s="1"/>
  <c r="L398" i="4" s="1"/>
  <c r="J408" i="4"/>
  <c r="K408" i="4" s="1"/>
  <c r="L408" i="4" s="1"/>
  <c r="J419" i="4"/>
  <c r="K419" i="4" s="1"/>
  <c r="L419" i="4" s="1"/>
  <c r="J430" i="4"/>
  <c r="K430" i="4" s="1"/>
  <c r="L430" i="4" s="1"/>
  <c r="J440" i="4"/>
  <c r="K440" i="4" s="1"/>
  <c r="L440" i="4" s="1"/>
  <c r="J451" i="4"/>
  <c r="K451" i="4" s="1"/>
  <c r="L451" i="4" s="1"/>
  <c r="J462" i="4"/>
  <c r="K462" i="4" s="1"/>
  <c r="L462" i="4" s="1"/>
  <c r="J472" i="4"/>
  <c r="K472" i="4" s="1"/>
  <c r="L472" i="4" s="1"/>
  <c r="J483" i="4"/>
  <c r="K483" i="4" s="1"/>
  <c r="L483" i="4" s="1"/>
  <c r="J494" i="4"/>
  <c r="K494" i="4" s="1"/>
  <c r="L494" i="4" s="1"/>
  <c r="J504" i="4"/>
  <c r="K504" i="4" s="1"/>
  <c r="L504" i="4" s="1"/>
  <c r="J511" i="4"/>
  <c r="K511" i="4" s="1"/>
  <c r="L511" i="4" s="1"/>
  <c r="J519" i="4"/>
  <c r="K519" i="4" s="1"/>
  <c r="L519" i="4" s="1"/>
  <c r="J524" i="4"/>
  <c r="K524" i="4" s="1"/>
  <c r="L524" i="4" s="1"/>
  <c r="J529" i="4"/>
  <c r="K529" i="4" s="1"/>
  <c r="L529" i="4" s="1"/>
  <c r="J535" i="4"/>
  <c r="K535" i="4" s="1"/>
  <c r="L535" i="4" s="1"/>
  <c r="J540" i="4"/>
  <c r="K540" i="4" s="1"/>
  <c r="L540" i="4" s="1"/>
  <c r="J545" i="4"/>
  <c r="K545" i="4" s="1"/>
  <c r="L545" i="4" s="1"/>
  <c r="J551" i="4"/>
  <c r="K551" i="4" s="1"/>
  <c r="L551" i="4" s="1"/>
  <c r="J556" i="4"/>
  <c r="K556" i="4" s="1"/>
  <c r="L556" i="4" s="1"/>
  <c r="J561" i="4"/>
  <c r="K561" i="4" s="1"/>
  <c r="L561" i="4" s="1"/>
  <c r="J567" i="4"/>
  <c r="K567" i="4" s="1"/>
  <c r="L567" i="4" s="1"/>
  <c r="J572" i="4"/>
  <c r="K572" i="4" s="1"/>
  <c r="L572" i="4" s="1"/>
  <c r="J577" i="4"/>
  <c r="K577" i="4" s="1"/>
  <c r="L577" i="4" s="1"/>
  <c r="J583" i="4"/>
  <c r="K583" i="4" s="1"/>
  <c r="L583" i="4" s="1"/>
  <c r="J588" i="4"/>
  <c r="K588" i="4" s="1"/>
  <c r="L588" i="4" s="1"/>
  <c r="J593" i="4"/>
  <c r="K593" i="4" s="1"/>
  <c r="L593" i="4" s="1"/>
  <c r="J599" i="4"/>
  <c r="K599" i="4" s="1"/>
  <c r="L599" i="4" s="1"/>
  <c r="J604" i="4"/>
  <c r="K604" i="4" s="1"/>
  <c r="L604" i="4" s="1"/>
  <c r="J609" i="4"/>
  <c r="K609" i="4" s="1"/>
  <c r="L609" i="4" s="1"/>
  <c r="J615" i="4"/>
  <c r="K615" i="4" s="1"/>
  <c r="L615" i="4" s="1"/>
  <c r="J620" i="4"/>
  <c r="K620" i="4" s="1"/>
  <c r="L620" i="4" s="1"/>
  <c r="J625" i="4"/>
  <c r="K625" i="4" s="1"/>
  <c r="L625" i="4" s="1"/>
  <c r="J631" i="4"/>
  <c r="K631" i="4" s="1"/>
  <c r="L631" i="4" s="1"/>
  <c r="J636" i="4"/>
  <c r="K636" i="4" s="1"/>
  <c r="L636" i="4" s="1"/>
  <c r="J641" i="4"/>
  <c r="K641" i="4" s="1"/>
  <c r="L641" i="4" s="1"/>
  <c r="J647" i="4"/>
  <c r="K647" i="4" s="1"/>
  <c r="L647" i="4" s="1"/>
  <c r="J652" i="4"/>
  <c r="K652" i="4" s="1"/>
  <c r="L652" i="4" s="1"/>
  <c r="J657" i="4"/>
  <c r="K657" i="4" s="1"/>
  <c r="L657" i="4" s="1"/>
  <c r="J663" i="4"/>
  <c r="K663" i="4" s="1"/>
  <c r="L663" i="4" s="1"/>
  <c r="J668" i="4"/>
  <c r="K668" i="4" s="1"/>
  <c r="L668" i="4" s="1"/>
  <c r="J673" i="4"/>
  <c r="K673" i="4" s="1"/>
  <c r="L673" i="4" s="1"/>
  <c r="J679" i="4"/>
  <c r="K679" i="4" s="1"/>
  <c r="L679" i="4" s="1"/>
  <c r="J684" i="4"/>
  <c r="K684" i="4" s="1"/>
  <c r="L684" i="4" s="1"/>
  <c r="J689" i="4"/>
  <c r="K689" i="4" s="1"/>
  <c r="L689" i="4" s="1"/>
  <c r="J695" i="4"/>
  <c r="K695" i="4" s="1"/>
  <c r="L695" i="4" s="1"/>
  <c r="J700" i="4"/>
  <c r="K700" i="4" s="1"/>
  <c r="L700" i="4" s="1"/>
  <c r="J705" i="4"/>
  <c r="K705" i="4" s="1"/>
  <c r="L705" i="4" s="1"/>
  <c r="J711" i="4"/>
  <c r="K711" i="4" s="1"/>
  <c r="L711" i="4" s="1"/>
  <c r="J716" i="4"/>
  <c r="K716" i="4" s="1"/>
  <c r="L716" i="4" s="1"/>
  <c r="J721" i="4"/>
  <c r="K721" i="4" s="1"/>
  <c r="L721" i="4" s="1"/>
  <c r="J727" i="4"/>
  <c r="K727" i="4" s="1"/>
  <c r="L727" i="4" s="1"/>
  <c r="J732" i="4"/>
  <c r="K732" i="4" s="1"/>
  <c r="L732" i="4" s="1"/>
  <c r="J737" i="4"/>
  <c r="K737" i="4" s="1"/>
  <c r="L737" i="4" s="1"/>
  <c r="J743" i="4"/>
  <c r="K743" i="4" s="1"/>
  <c r="L743" i="4" s="1"/>
  <c r="J748" i="4"/>
  <c r="K748" i="4" s="1"/>
  <c r="L748" i="4" s="1"/>
  <c r="J753" i="4"/>
  <c r="K753" i="4" s="1"/>
  <c r="L753" i="4" s="1"/>
  <c r="J759" i="4"/>
  <c r="K759" i="4" s="1"/>
  <c r="L759" i="4" s="1"/>
  <c r="J764" i="4"/>
  <c r="K764" i="4" s="1"/>
  <c r="L764" i="4" s="1"/>
  <c r="J769" i="4"/>
  <c r="K769" i="4" s="1"/>
  <c r="L769" i="4" s="1"/>
  <c r="J775" i="4"/>
  <c r="K775" i="4" s="1"/>
  <c r="L775" i="4" s="1"/>
  <c r="J780" i="4"/>
  <c r="K780" i="4" s="1"/>
  <c r="L780" i="4" s="1"/>
  <c r="J785" i="4"/>
  <c r="K785" i="4" s="1"/>
  <c r="L785" i="4" s="1"/>
  <c r="J791" i="4"/>
  <c r="K791" i="4" s="1"/>
  <c r="L791" i="4" s="1"/>
  <c r="J796" i="4"/>
  <c r="K796" i="4" s="1"/>
  <c r="L796" i="4" s="1"/>
  <c r="J801" i="4"/>
  <c r="K801" i="4" s="1"/>
  <c r="L801" i="4" s="1"/>
  <c r="J807" i="4"/>
  <c r="K807" i="4" s="1"/>
  <c r="L807" i="4" s="1"/>
  <c r="J812" i="4"/>
  <c r="K812" i="4" s="1"/>
  <c r="L812" i="4" s="1"/>
  <c r="J817" i="4"/>
  <c r="K817" i="4" s="1"/>
  <c r="L817" i="4" s="1"/>
  <c r="J823" i="4"/>
  <c r="K823" i="4" s="1"/>
  <c r="L823" i="4" s="1"/>
  <c r="J828" i="4"/>
  <c r="K828" i="4" s="1"/>
  <c r="L828" i="4" s="1"/>
  <c r="J833" i="4"/>
  <c r="K833" i="4" s="1"/>
  <c r="L833" i="4" s="1"/>
  <c r="J839" i="4"/>
  <c r="K839" i="4" s="1"/>
  <c r="L839" i="4" s="1"/>
  <c r="J844" i="4"/>
  <c r="K844" i="4" s="1"/>
  <c r="L844" i="4" s="1"/>
  <c r="J849" i="4"/>
  <c r="K849" i="4" s="1"/>
  <c r="L849" i="4" s="1"/>
  <c r="J855" i="4"/>
  <c r="K855" i="4" s="1"/>
  <c r="L855" i="4" s="1"/>
  <c r="J860" i="4"/>
  <c r="K860" i="4" s="1"/>
  <c r="L860" i="4" s="1"/>
  <c r="J865" i="4"/>
  <c r="K865" i="4" s="1"/>
  <c r="L865" i="4" s="1"/>
  <c r="J871" i="4"/>
  <c r="K871" i="4" s="1"/>
  <c r="L871" i="4" s="1"/>
  <c r="J876" i="4"/>
  <c r="K876" i="4" s="1"/>
  <c r="L876" i="4" s="1"/>
  <c r="J881" i="4"/>
  <c r="K881" i="4" s="1"/>
  <c r="L881" i="4" s="1"/>
  <c r="J887" i="4"/>
  <c r="K887" i="4" s="1"/>
  <c r="L887" i="4" s="1"/>
  <c r="J892" i="4"/>
  <c r="K892" i="4" s="1"/>
  <c r="L892" i="4" s="1"/>
  <c r="J897" i="4"/>
  <c r="K897" i="4" s="1"/>
  <c r="L897" i="4" s="1"/>
  <c r="J903" i="4"/>
  <c r="K903" i="4" s="1"/>
  <c r="L903" i="4" s="1"/>
  <c r="J908" i="4"/>
  <c r="K908" i="4" s="1"/>
  <c r="L908" i="4" s="1"/>
  <c r="J913" i="4"/>
  <c r="K913" i="4" s="1"/>
  <c r="L913" i="4" s="1"/>
  <c r="J919" i="4"/>
  <c r="K919" i="4" s="1"/>
  <c r="L919" i="4" s="1"/>
  <c r="J924" i="4"/>
  <c r="K924" i="4" s="1"/>
  <c r="L924" i="4" s="1"/>
  <c r="J929" i="4"/>
  <c r="K929" i="4" s="1"/>
  <c r="L929" i="4" s="1"/>
  <c r="J935" i="4"/>
  <c r="K935" i="4" s="1"/>
  <c r="L935" i="4" s="1"/>
  <c r="J940" i="4"/>
  <c r="K940" i="4" s="1"/>
  <c r="L940" i="4" s="1"/>
  <c r="J945" i="4"/>
  <c r="K945" i="4" s="1"/>
  <c r="L945" i="4" s="1"/>
  <c r="J949" i="4"/>
  <c r="K949" i="4" s="1"/>
  <c r="L949" i="4" s="1"/>
  <c r="J953" i="4"/>
  <c r="K953" i="4" s="1"/>
  <c r="L953" i="4" s="1"/>
  <c r="J957" i="4"/>
  <c r="K957" i="4" s="1"/>
  <c r="L957" i="4" s="1"/>
  <c r="J961" i="4"/>
  <c r="K961" i="4" s="1"/>
  <c r="L961" i="4" s="1"/>
  <c r="J965" i="4"/>
  <c r="K965" i="4" s="1"/>
  <c r="L965" i="4" s="1"/>
  <c r="J969" i="4"/>
  <c r="K969" i="4" s="1"/>
  <c r="L969" i="4" s="1"/>
  <c r="J973" i="4"/>
  <c r="K973" i="4" s="1"/>
  <c r="L973" i="4" s="1"/>
  <c r="J977" i="4"/>
  <c r="K977" i="4" s="1"/>
  <c r="L977" i="4" s="1"/>
  <c r="J981" i="4"/>
  <c r="K981" i="4" s="1"/>
  <c r="L981" i="4" s="1"/>
  <c r="J985" i="4"/>
  <c r="K985" i="4" s="1"/>
  <c r="L985" i="4" s="1"/>
  <c r="J989" i="4"/>
  <c r="K989" i="4" s="1"/>
  <c r="L989" i="4" s="1"/>
  <c r="J993" i="4"/>
  <c r="K993" i="4" s="1"/>
  <c r="L993" i="4" s="1"/>
  <c r="J997" i="4"/>
  <c r="K997" i="4" s="1"/>
  <c r="L997" i="4" s="1"/>
  <c r="J1001" i="4"/>
  <c r="K1001" i="4" s="1"/>
  <c r="L1001" i="4" s="1"/>
  <c r="J1005" i="4"/>
  <c r="K1005" i="4" s="1"/>
  <c r="L1005" i="4" s="1"/>
  <c r="J1009" i="4"/>
  <c r="K1009" i="4" s="1"/>
  <c r="L1009" i="4" s="1"/>
  <c r="J1013" i="4"/>
  <c r="K1013" i="4" s="1"/>
  <c r="L1013" i="4" s="1"/>
  <c r="J1017" i="4"/>
  <c r="K1017" i="4" s="1"/>
  <c r="L1017" i="4" s="1"/>
  <c r="J1021" i="4"/>
  <c r="K1021" i="4" s="1"/>
  <c r="L1021" i="4" s="1"/>
  <c r="J1025" i="4"/>
  <c r="K1025" i="4" s="1"/>
  <c r="L1025" i="4" s="1"/>
  <c r="J1029" i="4"/>
  <c r="K1029" i="4" s="1"/>
  <c r="L1029" i="4" s="1"/>
  <c r="J1033" i="4"/>
  <c r="K1033" i="4" s="1"/>
  <c r="L1033" i="4" s="1"/>
  <c r="J1037" i="4"/>
  <c r="K1037" i="4" s="1"/>
  <c r="L1037" i="4" s="1"/>
  <c r="J1041" i="4"/>
  <c r="K1041" i="4" s="1"/>
  <c r="L1041" i="4" s="1"/>
  <c r="J1045" i="4"/>
  <c r="K1045" i="4" s="1"/>
  <c r="L1045" i="4" s="1"/>
  <c r="J1049" i="4"/>
  <c r="K1049" i="4" s="1"/>
  <c r="L1049" i="4" s="1"/>
  <c r="J1053" i="4"/>
  <c r="K1053" i="4" s="1"/>
  <c r="L1053" i="4" s="1"/>
  <c r="J1057" i="4"/>
  <c r="K1057" i="4" s="1"/>
  <c r="L1057" i="4" s="1"/>
  <c r="J1061" i="4"/>
  <c r="K1061" i="4" s="1"/>
  <c r="L1061" i="4" s="1"/>
  <c r="J1065" i="4"/>
  <c r="K1065" i="4" s="1"/>
  <c r="L1065" i="4" s="1"/>
  <c r="J1069" i="4"/>
  <c r="K1069" i="4" s="1"/>
  <c r="L1069" i="4" s="1"/>
  <c r="J1073" i="4"/>
  <c r="K1073" i="4" s="1"/>
  <c r="L1073" i="4" s="1"/>
  <c r="J1077" i="4"/>
  <c r="K1077" i="4" s="1"/>
  <c r="L1077" i="4" s="1"/>
  <c r="J1081" i="4"/>
  <c r="K1081" i="4" s="1"/>
  <c r="L1081" i="4" s="1"/>
  <c r="J1085" i="4"/>
  <c r="K1085" i="4" s="1"/>
  <c r="L1085" i="4" s="1"/>
  <c r="J1089" i="4"/>
  <c r="K1089" i="4" s="1"/>
  <c r="L1089" i="4" s="1"/>
  <c r="J1093" i="4"/>
  <c r="K1093" i="4" s="1"/>
  <c r="L1093" i="4" s="1"/>
  <c r="J1097" i="4"/>
  <c r="K1097" i="4" s="1"/>
  <c r="L1097" i="4" s="1"/>
  <c r="J1101" i="4"/>
  <c r="K1101" i="4" s="1"/>
  <c r="L1101" i="4" s="1"/>
  <c r="J1105" i="4"/>
  <c r="K1105" i="4" s="1"/>
  <c r="L1105" i="4" s="1"/>
  <c r="J1109" i="4"/>
  <c r="K1109" i="4" s="1"/>
  <c r="L1109" i="4" s="1"/>
  <c r="J1113" i="4"/>
  <c r="K1113" i="4" s="1"/>
  <c r="L1113" i="4" s="1"/>
  <c r="J1117" i="4"/>
  <c r="K1117" i="4" s="1"/>
  <c r="L1117" i="4" s="1"/>
  <c r="J1121" i="4"/>
  <c r="K1121" i="4" s="1"/>
  <c r="L1121" i="4" s="1"/>
  <c r="J1125" i="4"/>
  <c r="K1125" i="4" s="1"/>
  <c r="L1125" i="4" s="1"/>
  <c r="J1129" i="4"/>
  <c r="K1129" i="4" s="1"/>
  <c r="L1129" i="4" s="1"/>
  <c r="J1133" i="4"/>
  <c r="K1133" i="4" s="1"/>
  <c r="L1133" i="4" s="1"/>
  <c r="J1137" i="4"/>
  <c r="K1137" i="4" s="1"/>
  <c r="L1137" i="4" s="1"/>
  <c r="J1141" i="4"/>
  <c r="K1141" i="4" s="1"/>
  <c r="L1141" i="4" s="1"/>
  <c r="J1145" i="4"/>
  <c r="K1145" i="4" s="1"/>
  <c r="L1145" i="4" s="1"/>
  <c r="J1149" i="4"/>
  <c r="K1149" i="4" s="1"/>
  <c r="L1149" i="4" s="1"/>
  <c r="J1153" i="4"/>
  <c r="K1153" i="4" s="1"/>
  <c r="L1153" i="4" s="1"/>
  <c r="J1157" i="4"/>
  <c r="K1157" i="4" s="1"/>
  <c r="L1157" i="4" s="1"/>
  <c r="J1161" i="4"/>
  <c r="K1161" i="4" s="1"/>
  <c r="L1161" i="4" s="1"/>
  <c r="J1165" i="4"/>
  <c r="K1165" i="4" s="1"/>
  <c r="L1165" i="4" s="1"/>
  <c r="J1169" i="4"/>
  <c r="K1169" i="4" s="1"/>
  <c r="L1169" i="4" s="1"/>
  <c r="J1173" i="4"/>
  <c r="K1173" i="4" s="1"/>
  <c r="L1173" i="4" s="1"/>
  <c r="J1177" i="4"/>
  <c r="K1177" i="4" s="1"/>
  <c r="L1177" i="4" s="1"/>
  <c r="J1181" i="4"/>
  <c r="K1181" i="4" s="1"/>
  <c r="L1181" i="4" s="1"/>
  <c r="J1185" i="4"/>
  <c r="K1185" i="4" s="1"/>
  <c r="L1185" i="4" s="1"/>
  <c r="J1189" i="4"/>
  <c r="K1189" i="4" s="1"/>
  <c r="L1189" i="4" s="1"/>
  <c r="J1193" i="4"/>
  <c r="K1193" i="4" s="1"/>
  <c r="L1193" i="4" s="1"/>
  <c r="J1197" i="4"/>
  <c r="K1197" i="4" s="1"/>
  <c r="L1197" i="4" s="1"/>
  <c r="J1201" i="4"/>
  <c r="K1201" i="4" s="1"/>
  <c r="L1201" i="4" s="1"/>
  <c r="J1205" i="4"/>
  <c r="K1205" i="4" s="1"/>
  <c r="L1205" i="4" s="1"/>
  <c r="J1209" i="4"/>
  <c r="K1209" i="4" s="1"/>
  <c r="L1209" i="4" s="1"/>
  <c r="J1213" i="4"/>
  <c r="K1213" i="4" s="1"/>
  <c r="L1213" i="4" s="1"/>
  <c r="J1217" i="4"/>
  <c r="K1217" i="4" s="1"/>
  <c r="L1217" i="4" s="1"/>
  <c r="J1221" i="4"/>
  <c r="K1221" i="4" s="1"/>
  <c r="L1221" i="4" s="1"/>
  <c r="J1225" i="4"/>
  <c r="K1225" i="4" s="1"/>
  <c r="L1225" i="4" s="1"/>
  <c r="J1229" i="4"/>
  <c r="K1229" i="4" s="1"/>
  <c r="L1229" i="4" s="1"/>
  <c r="J1233" i="4"/>
  <c r="K1233" i="4" s="1"/>
  <c r="L1233" i="4" s="1"/>
  <c r="J1237" i="4"/>
  <c r="K1237" i="4" s="1"/>
  <c r="L1237" i="4" s="1"/>
  <c r="J1241" i="4"/>
  <c r="K1241" i="4" s="1"/>
  <c r="L1241" i="4" s="1"/>
  <c r="J1245" i="4"/>
  <c r="K1245" i="4" s="1"/>
  <c r="L1245" i="4" s="1"/>
  <c r="J1249" i="4"/>
  <c r="K1249" i="4" s="1"/>
  <c r="L1249" i="4" s="1"/>
  <c r="J1253" i="4"/>
  <c r="K1253" i="4" s="1"/>
  <c r="L1253" i="4" s="1"/>
  <c r="J1257" i="4"/>
  <c r="K1257" i="4" s="1"/>
  <c r="L1257" i="4" s="1"/>
  <c r="J1261" i="4"/>
  <c r="K1261" i="4" s="1"/>
  <c r="L1261" i="4" s="1"/>
  <c r="J25" i="4"/>
  <c r="K25" i="4" s="1"/>
  <c r="L25" i="4" s="1"/>
  <c r="J45" i="4"/>
  <c r="K45" i="4" s="1"/>
  <c r="L45" i="4" s="1"/>
  <c r="J67" i="4"/>
  <c r="K67" i="4" s="1"/>
  <c r="L67" i="4" s="1"/>
  <c r="J89" i="4"/>
  <c r="K89" i="4" s="1"/>
  <c r="L89" i="4" s="1"/>
  <c r="J109" i="4"/>
  <c r="K109" i="4" s="1"/>
  <c r="L109" i="4" s="1"/>
  <c r="J131" i="4"/>
  <c r="K131" i="4" s="1"/>
  <c r="L131" i="4" s="1"/>
  <c r="J153" i="4"/>
  <c r="K153" i="4" s="1"/>
  <c r="L153" i="4" s="1"/>
  <c r="J173" i="4"/>
  <c r="K173" i="4" s="1"/>
  <c r="L173" i="4" s="1"/>
  <c r="J195" i="4"/>
  <c r="K195" i="4" s="1"/>
  <c r="L195" i="4" s="1"/>
  <c r="J217" i="4"/>
  <c r="K217" i="4" s="1"/>
  <c r="L217" i="4" s="1"/>
  <c r="J237" i="4"/>
  <c r="K237" i="4" s="1"/>
  <c r="L237" i="4" s="1"/>
  <c r="J259" i="4"/>
  <c r="K259" i="4" s="1"/>
  <c r="L259" i="4" s="1"/>
  <c r="J281" i="4"/>
  <c r="K281" i="4" s="1"/>
  <c r="L281" i="4" s="1"/>
  <c r="J301" i="4"/>
  <c r="K301" i="4" s="1"/>
  <c r="L301" i="4" s="1"/>
  <c r="J323" i="4"/>
  <c r="K323" i="4" s="1"/>
  <c r="L323" i="4" s="1"/>
  <c r="J345" i="4"/>
  <c r="K345" i="4" s="1"/>
  <c r="L345" i="4" s="1"/>
  <c r="J356" i="4"/>
  <c r="K356" i="4" s="1"/>
  <c r="L356" i="4" s="1"/>
  <c r="J367" i="4"/>
  <c r="K367" i="4" s="1"/>
  <c r="L367" i="4" s="1"/>
  <c r="J378" i="4"/>
  <c r="K378" i="4" s="1"/>
  <c r="L378" i="4" s="1"/>
  <c r="J388" i="4"/>
  <c r="K388" i="4" s="1"/>
  <c r="L388" i="4" s="1"/>
  <c r="J399" i="4"/>
  <c r="K399" i="4" s="1"/>
  <c r="L399" i="4" s="1"/>
  <c r="J410" i="4"/>
  <c r="K410" i="4" s="1"/>
  <c r="L410" i="4" s="1"/>
  <c r="J420" i="4"/>
  <c r="K420" i="4" s="1"/>
  <c r="L420" i="4" s="1"/>
  <c r="J431" i="4"/>
  <c r="K431" i="4" s="1"/>
  <c r="L431" i="4" s="1"/>
  <c r="J442" i="4"/>
  <c r="K442" i="4" s="1"/>
  <c r="L442" i="4" s="1"/>
  <c r="J452" i="4"/>
  <c r="K452" i="4" s="1"/>
  <c r="L452" i="4" s="1"/>
  <c r="J463" i="4"/>
  <c r="K463" i="4" s="1"/>
  <c r="L463" i="4" s="1"/>
  <c r="J474" i="4"/>
  <c r="K474" i="4" s="1"/>
  <c r="L474" i="4" s="1"/>
  <c r="J484" i="4"/>
  <c r="K484" i="4" s="1"/>
  <c r="L484" i="4" s="1"/>
  <c r="J495" i="4"/>
  <c r="K495" i="4" s="1"/>
  <c r="L495" i="4" s="1"/>
  <c r="J506" i="4"/>
  <c r="K506" i="4" s="1"/>
  <c r="L506" i="4" s="1"/>
  <c r="J514" i="4"/>
  <c r="K514" i="4" s="1"/>
  <c r="L514" i="4" s="1"/>
  <c r="J520" i="4"/>
  <c r="K520" i="4" s="1"/>
  <c r="L520" i="4" s="1"/>
  <c r="J525" i="4"/>
  <c r="K525" i="4" s="1"/>
  <c r="L525" i="4" s="1"/>
  <c r="J531" i="4"/>
  <c r="K531" i="4" s="1"/>
  <c r="L531" i="4" s="1"/>
  <c r="J536" i="4"/>
  <c r="K536" i="4" s="1"/>
  <c r="L536" i="4" s="1"/>
  <c r="J541" i="4"/>
  <c r="K541" i="4" s="1"/>
  <c r="L541" i="4" s="1"/>
  <c r="J547" i="4"/>
  <c r="K547" i="4" s="1"/>
  <c r="L547" i="4" s="1"/>
  <c r="J552" i="4"/>
  <c r="K552" i="4" s="1"/>
  <c r="L552" i="4" s="1"/>
  <c r="J557" i="4"/>
  <c r="K557" i="4" s="1"/>
  <c r="L557" i="4" s="1"/>
  <c r="J563" i="4"/>
  <c r="K563" i="4" s="1"/>
  <c r="L563" i="4" s="1"/>
  <c r="J568" i="4"/>
  <c r="K568" i="4" s="1"/>
  <c r="L568" i="4" s="1"/>
  <c r="J573" i="4"/>
  <c r="K573" i="4" s="1"/>
  <c r="L573" i="4" s="1"/>
  <c r="J579" i="4"/>
  <c r="K579" i="4" s="1"/>
  <c r="L579" i="4" s="1"/>
  <c r="J584" i="4"/>
  <c r="K584" i="4" s="1"/>
  <c r="L584" i="4" s="1"/>
  <c r="J589" i="4"/>
  <c r="K589" i="4" s="1"/>
  <c r="L589" i="4" s="1"/>
  <c r="J595" i="4"/>
  <c r="K595" i="4" s="1"/>
  <c r="L595" i="4" s="1"/>
  <c r="J600" i="4"/>
  <c r="K600" i="4" s="1"/>
  <c r="L600" i="4" s="1"/>
  <c r="J605" i="4"/>
  <c r="K605" i="4" s="1"/>
  <c r="L605" i="4" s="1"/>
  <c r="J611" i="4"/>
  <c r="K611" i="4" s="1"/>
  <c r="L611" i="4" s="1"/>
  <c r="J616" i="4"/>
  <c r="K616" i="4" s="1"/>
  <c r="L616" i="4" s="1"/>
  <c r="J621" i="4"/>
  <c r="K621" i="4" s="1"/>
  <c r="L621" i="4" s="1"/>
  <c r="J627" i="4"/>
  <c r="K627" i="4" s="1"/>
  <c r="L627" i="4" s="1"/>
  <c r="J632" i="4"/>
  <c r="K632" i="4" s="1"/>
  <c r="L632" i="4" s="1"/>
  <c r="J637" i="4"/>
  <c r="K637" i="4" s="1"/>
  <c r="L637" i="4" s="1"/>
  <c r="J643" i="4"/>
  <c r="K643" i="4" s="1"/>
  <c r="L643" i="4" s="1"/>
  <c r="J648" i="4"/>
  <c r="K648" i="4" s="1"/>
  <c r="L648" i="4" s="1"/>
  <c r="J653" i="4"/>
  <c r="K653" i="4" s="1"/>
  <c r="L653" i="4" s="1"/>
  <c r="J659" i="4"/>
  <c r="K659" i="4" s="1"/>
  <c r="L659" i="4" s="1"/>
  <c r="J664" i="4"/>
  <c r="K664" i="4" s="1"/>
  <c r="L664" i="4" s="1"/>
  <c r="J669" i="4"/>
  <c r="K669" i="4" s="1"/>
  <c r="L669" i="4" s="1"/>
  <c r="J675" i="4"/>
  <c r="K675" i="4" s="1"/>
  <c r="L675" i="4" s="1"/>
  <c r="J680" i="4"/>
  <c r="K680" i="4" s="1"/>
  <c r="L680" i="4" s="1"/>
  <c r="J685" i="4"/>
  <c r="K685" i="4" s="1"/>
  <c r="L685" i="4" s="1"/>
  <c r="J691" i="4"/>
  <c r="K691" i="4" s="1"/>
  <c r="L691" i="4" s="1"/>
  <c r="J696" i="4"/>
  <c r="K696" i="4" s="1"/>
  <c r="L696" i="4" s="1"/>
  <c r="J701" i="4"/>
  <c r="K701" i="4" s="1"/>
  <c r="L701" i="4" s="1"/>
  <c r="J707" i="4"/>
  <c r="K707" i="4" s="1"/>
  <c r="L707" i="4" s="1"/>
  <c r="J712" i="4"/>
  <c r="K712" i="4" s="1"/>
  <c r="L712" i="4" s="1"/>
  <c r="J717" i="4"/>
  <c r="K717" i="4" s="1"/>
  <c r="L717" i="4" s="1"/>
  <c r="J723" i="4"/>
  <c r="K723" i="4" s="1"/>
  <c r="L723" i="4" s="1"/>
  <c r="J728" i="4"/>
  <c r="K728" i="4" s="1"/>
  <c r="L728" i="4" s="1"/>
  <c r="J733" i="4"/>
  <c r="K733" i="4" s="1"/>
  <c r="L733" i="4" s="1"/>
  <c r="J739" i="4"/>
  <c r="K739" i="4" s="1"/>
  <c r="L739" i="4" s="1"/>
  <c r="J744" i="4"/>
  <c r="K744" i="4" s="1"/>
  <c r="L744" i="4" s="1"/>
  <c r="J749" i="4"/>
  <c r="K749" i="4" s="1"/>
  <c r="L749" i="4" s="1"/>
  <c r="J755" i="4"/>
  <c r="K755" i="4" s="1"/>
  <c r="L755" i="4" s="1"/>
  <c r="J760" i="4"/>
  <c r="K760" i="4" s="1"/>
  <c r="L760" i="4" s="1"/>
  <c r="J765" i="4"/>
  <c r="K765" i="4" s="1"/>
  <c r="L765" i="4" s="1"/>
  <c r="J771" i="4"/>
  <c r="K771" i="4" s="1"/>
  <c r="L771" i="4" s="1"/>
  <c r="J776" i="4"/>
  <c r="K776" i="4" s="1"/>
  <c r="L776" i="4" s="1"/>
  <c r="J781" i="4"/>
  <c r="K781" i="4" s="1"/>
  <c r="L781" i="4" s="1"/>
  <c r="J787" i="4"/>
  <c r="K787" i="4" s="1"/>
  <c r="L787" i="4" s="1"/>
  <c r="J792" i="4"/>
  <c r="K792" i="4" s="1"/>
  <c r="L792" i="4" s="1"/>
  <c r="J797" i="4"/>
  <c r="K797" i="4" s="1"/>
  <c r="L797" i="4" s="1"/>
  <c r="J803" i="4"/>
  <c r="K803" i="4" s="1"/>
  <c r="L803" i="4" s="1"/>
  <c r="J808" i="4"/>
  <c r="K808" i="4" s="1"/>
  <c r="L808" i="4" s="1"/>
  <c r="J813" i="4"/>
  <c r="K813" i="4" s="1"/>
  <c r="L813" i="4" s="1"/>
  <c r="J819" i="4"/>
  <c r="K819" i="4" s="1"/>
  <c r="L819" i="4" s="1"/>
  <c r="J824" i="4"/>
  <c r="K824" i="4" s="1"/>
  <c r="L824" i="4" s="1"/>
  <c r="J829" i="4"/>
  <c r="K829" i="4" s="1"/>
  <c r="L829" i="4" s="1"/>
  <c r="J835" i="4"/>
  <c r="K835" i="4" s="1"/>
  <c r="L835" i="4" s="1"/>
  <c r="J840" i="4"/>
  <c r="K840" i="4" s="1"/>
  <c r="L840" i="4" s="1"/>
  <c r="J845" i="4"/>
  <c r="K845" i="4" s="1"/>
  <c r="L845" i="4" s="1"/>
  <c r="J851" i="4"/>
  <c r="K851" i="4" s="1"/>
  <c r="L851" i="4" s="1"/>
  <c r="J856" i="4"/>
  <c r="K856" i="4" s="1"/>
  <c r="L856" i="4" s="1"/>
  <c r="J861" i="4"/>
  <c r="K861" i="4" s="1"/>
  <c r="L861" i="4" s="1"/>
  <c r="J867" i="4"/>
  <c r="K867" i="4" s="1"/>
  <c r="L867" i="4" s="1"/>
  <c r="J872" i="4"/>
  <c r="K872" i="4" s="1"/>
  <c r="L872" i="4" s="1"/>
  <c r="J877" i="4"/>
  <c r="K877" i="4" s="1"/>
  <c r="L877" i="4" s="1"/>
  <c r="J883" i="4"/>
  <c r="K883" i="4" s="1"/>
  <c r="L883" i="4" s="1"/>
  <c r="J888" i="4"/>
  <c r="K888" i="4" s="1"/>
  <c r="L888" i="4" s="1"/>
  <c r="J893" i="4"/>
  <c r="K893" i="4" s="1"/>
  <c r="L893" i="4" s="1"/>
  <c r="J899" i="4"/>
  <c r="K899" i="4" s="1"/>
  <c r="L899" i="4" s="1"/>
  <c r="J904" i="4"/>
  <c r="K904" i="4" s="1"/>
  <c r="L904" i="4" s="1"/>
  <c r="J909" i="4"/>
  <c r="K909" i="4" s="1"/>
  <c r="L909" i="4" s="1"/>
  <c r="J915" i="4"/>
  <c r="K915" i="4" s="1"/>
  <c r="L915" i="4" s="1"/>
  <c r="J920" i="4"/>
  <c r="K920" i="4" s="1"/>
  <c r="L920" i="4" s="1"/>
  <c r="J925" i="4"/>
  <c r="K925" i="4" s="1"/>
  <c r="L925" i="4" s="1"/>
  <c r="J931" i="4"/>
  <c r="K931" i="4" s="1"/>
  <c r="L931" i="4" s="1"/>
  <c r="J936" i="4"/>
  <c r="K936" i="4" s="1"/>
  <c r="L936" i="4" s="1"/>
  <c r="J941" i="4"/>
  <c r="K941" i="4" s="1"/>
  <c r="L941" i="4" s="1"/>
  <c r="J946" i="4"/>
  <c r="K946" i="4" s="1"/>
  <c r="L946" i="4" s="1"/>
  <c r="J950" i="4"/>
  <c r="K950" i="4" s="1"/>
  <c r="L950" i="4" s="1"/>
  <c r="J954" i="4"/>
  <c r="K954" i="4" s="1"/>
  <c r="L954" i="4" s="1"/>
  <c r="J958" i="4"/>
  <c r="K958" i="4" s="1"/>
  <c r="L958" i="4" s="1"/>
  <c r="J962" i="4"/>
  <c r="K962" i="4" s="1"/>
  <c r="L962" i="4" s="1"/>
  <c r="J966" i="4"/>
  <c r="K966" i="4" s="1"/>
  <c r="L966" i="4" s="1"/>
  <c r="J970" i="4"/>
  <c r="K970" i="4" s="1"/>
  <c r="L970" i="4" s="1"/>
  <c r="J974" i="4"/>
  <c r="K974" i="4" s="1"/>
  <c r="L974" i="4" s="1"/>
  <c r="J978" i="4"/>
  <c r="K978" i="4" s="1"/>
  <c r="L978" i="4" s="1"/>
  <c r="J982" i="4"/>
  <c r="K982" i="4" s="1"/>
  <c r="L982" i="4" s="1"/>
  <c r="J986" i="4"/>
  <c r="K986" i="4" s="1"/>
  <c r="L986" i="4" s="1"/>
  <c r="J990" i="4"/>
  <c r="K990" i="4" s="1"/>
  <c r="L990" i="4" s="1"/>
  <c r="J994" i="4"/>
  <c r="K994" i="4" s="1"/>
  <c r="L994" i="4" s="1"/>
  <c r="J998" i="4"/>
  <c r="K998" i="4" s="1"/>
  <c r="L998" i="4" s="1"/>
  <c r="J1002" i="4"/>
  <c r="K1002" i="4" s="1"/>
  <c r="L1002" i="4" s="1"/>
  <c r="J1006" i="4"/>
  <c r="K1006" i="4" s="1"/>
  <c r="L1006" i="4" s="1"/>
  <c r="J1010" i="4"/>
  <c r="K1010" i="4" s="1"/>
  <c r="L1010" i="4" s="1"/>
  <c r="J1014" i="4"/>
  <c r="K1014" i="4" s="1"/>
  <c r="L1014" i="4" s="1"/>
  <c r="J1018" i="4"/>
  <c r="K1018" i="4" s="1"/>
  <c r="L1018" i="4" s="1"/>
  <c r="J1022" i="4"/>
  <c r="K1022" i="4" s="1"/>
  <c r="L1022" i="4" s="1"/>
  <c r="J1026" i="4"/>
  <c r="K1026" i="4" s="1"/>
  <c r="L1026" i="4" s="1"/>
  <c r="J1030" i="4"/>
  <c r="K1030" i="4" s="1"/>
  <c r="L1030" i="4" s="1"/>
  <c r="J1034" i="4"/>
  <c r="K1034" i="4" s="1"/>
  <c r="L1034" i="4" s="1"/>
  <c r="J1038" i="4"/>
  <c r="K1038" i="4" s="1"/>
  <c r="L1038" i="4" s="1"/>
  <c r="J1042" i="4"/>
  <c r="K1042" i="4" s="1"/>
  <c r="L1042" i="4" s="1"/>
  <c r="J1046" i="4"/>
  <c r="K1046" i="4" s="1"/>
  <c r="L1046" i="4" s="1"/>
  <c r="J1050" i="4"/>
  <c r="K1050" i="4" s="1"/>
  <c r="L1050" i="4" s="1"/>
  <c r="J1054" i="4"/>
  <c r="K1054" i="4" s="1"/>
  <c r="L1054" i="4" s="1"/>
  <c r="J1058" i="4"/>
  <c r="K1058" i="4" s="1"/>
  <c r="L1058" i="4" s="1"/>
  <c r="J1062" i="4"/>
  <c r="K1062" i="4" s="1"/>
  <c r="L1062" i="4" s="1"/>
  <c r="J1066" i="4"/>
  <c r="K1066" i="4" s="1"/>
  <c r="L1066" i="4" s="1"/>
  <c r="J1070" i="4"/>
  <c r="K1070" i="4" s="1"/>
  <c r="L1070" i="4" s="1"/>
  <c r="J1074" i="4"/>
  <c r="K1074" i="4" s="1"/>
  <c r="L1074" i="4" s="1"/>
  <c r="J1078" i="4"/>
  <c r="K1078" i="4" s="1"/>
  <c r="L1078" i="4" s="1"/>
  <c r="J1082" i="4"/>
  <c r="K1082" i="4" s="1"/>
  <c r="L1082" i="4" s="1"/>
  <c r="J1086" i="4"/>
  <c r="K1086" i="4" s="1"/>
  <c r="L1086" i="4" s="1"/>
  <c r="J1090" i="4"/>
  <c r="K1090" i="4" s="1"/>
  <c r="L1090" i="4" s="1"/>
  <c r="J1094" i="4"/>
  <c r="K1094" i="4" s="1"/>
  <c r="L1094" i="4" s="1"/>
  <c r="J1098" i="4"/>
  <c r="K1098" i="4" s="1"/>
  <c r="L1098" i="4" s="1"/>
  <c r="J1102" i="4"/>
  <c r="K1102" i="4" s="1"/>
  <c r="L1102" i="4" s="1"/>
  <c r="J1106" i="4"/>
  <c r="K1106" i="4" s="1"/>
  <c r="L1106" i="4" s="1"/>
  <c r="J1110" i="4"/>
  <c r="K1110" i="4" s="1"/>
  <c r="L1110" i="4" s="1"/>
  <c r="J1114" i="4"/>
  <c r="K1114" i="4" s="1"/>
  <c r="L1114" i="4" s="1"/>
  <c r="J1118" i="4"/>
  <c r="K1118" i="4" s="1"/>
  <c r="L1118" i="4" s="1"/>
  <c r="J1122" i="4"/>
  <c r="K1122" i="4" s="1"/>
  <c r="L1122" i="4" s="1"/>
  <c r="J1126" i="4"/>
  <c r="K1126" i="4" s="1"/>
  <c r="L1126" i="4" s="1"/>
  <c r="J1130" i="4"/>
  <c r="K1130" i="4" s="1"/>
  <c r="L1130" i="4" s="1"/>
  <c r="J1134" i="4"/>
  <c r="K1134" i="4" s="1"/>
  <c r="L1134" i="4" s="1"/>
  <c r="J1138" i="4"/>
  <c r="K1138" i="4" s="1"/>
  <c r="L1138" i="4" s="1"/>
  <c r="J1142" i="4"/>
  <c r="K1142" i="4" s="1"/>
  <c r="L1142" i="4" s="1"/>
  <c r="J1146" i="4"/>
  <c r="K1146" i="4" s="1"/>
  <c r="L1146" i="4" s="1"/>
  <c r="J1150" i="4"/>
  <c r="K1150" i="4" s="1"/>
  <c r="L1150" i="4" s="1"/>
  <c r="J1154" i="4"/>
  <c r="K1154" i="4" s="1"/>
  <c r="L1154" i="4" s="1"/>
  <c r="J1158" i="4"/>
  <c r="K1158" i="4" s="1"/>
  <c r="L1158" i="4" s="1"/>
  <c r="J1162" i="4"/>
  <c r="K1162" i="4" s="1"/>
  <c r="L1162" i="4" s="1"/>
  <c r="J1166" i="4"/>
  <c r="K1166" i="4" s="1"/>
  <c r="L1166" i="4" s="1"/>
  <c r="J1170" i="4"/>
  <c r="K1170" i="4" s="1"/>
  <c r="L1170" i="4" s="1"/>
  <c r="J1174" i="4"/>
  <c r="K1174" i="4" s="1"/>
  <c r="L1174" i="4" s="1"/>
  <c r="J33" i="4"/>
  <c r="K33" i="4" s="1"/>
  <c r="L33" i="4" s="1"/>
  <c r="J75" i="4"/>
  <c r="K75" i="4" s="1"/>
  <c r="L75" i="4" s="1"/>
  <c r="J117" i="4"/>
  <c r="K117" i="4" s="1"/>
  <c r="L117" i="4" s="1"/>
  <c r="J161" i="4"/>
  <c r="K161" i="4" s="1"/>
  <c r="L161" i="4" s="1"/>
  <c r="J203" i="4"/>
  <c r="K203" i="4" s="1"/>
  <c r="L203" i="4" s="1"/>
  <c r="J245" i="4"/>
  <c r="K245" i="4" s="1"/>
  <c r="L245" i="4" s="1"/>
  <c r="J289" i="4"/>
  <c r="K289" i="4" s="1"/>
  <c r="L289" i="4" s="1"/>
  <c r="J331" i="4"/>
  <c r="K331" i="4" s="1"/>
  <c r="L331" i="4" s="1"/>
  <c r="J360" i="4"/>
  <c r="K360" i="4" s="1"/>
  <c r="L360" i="4" s="1"/>
  <c r="J382" i="4"/>
  <c r="K382" i="4" s="1"/>
  <c r="L382" i="4" s="1"/>
  <c r="J403" i="4"/>
  <c r="K403" i="4" s="1"/>
  <c r="L403" i="4" s="1"/>
  <c r="J424" i="4"/>
  <c r="K424" i="4" s="1"/>
  <c r="L424" i="4" s="1"/>
  <c r="J446" i="4"/>
  <c r="K446" i="4" s="1"/>
  <c r="L446" i="4" s="1"/>
  <c r="J467" i="4"/>
  <c r="K467" i="4" s="1"/>
  <c r="L467" i="4" s="1"/>
  <c r="J488" i="4"/>
  <c r="K488" i="4" s="1"/>
  <c r="L488" i="4" s="1"/>
  <c r="J508" i="4"/>
  <c r="K508" i="4" s="1"/>
  <c r="L508" i="4" s="1"/>
  <c r="J521" i="4"/>
  <c r="K521" i="4" s="1"/>
  <c r="L521" i="4" s="1"/>
  <c r="J532" i="4"/>
  <c r="K532" i="4" s="1"/>
  <c r="L532" i="4" s="1"/>
  <c r="J543" i="4"/>
  <c r="K543" i="4" s="1"/>
  <c r="L543" i="4" s="1"/>
  <c r="J553" i="4"/>
  <c r="K553" i="4" s="1"/>
  <c r="L553" i="4" s="1"/>
  <c r="J564" i="4"/>
  <c r="K564" i="4" s="1"/>
  <c r="L564" i="4" s="1"/>
  <c r="J575" i="4"/>
  <c r="K575" i="4" s="1"/>
  <c r="L575" i="4" s="1"/>
  <c r="J585" i="4"/>
  <c r="K585" i="4" s="1"/>
  <c r="L585" i="4" s="1"/>
  <c r="J596" i="4"/>
  <c r="K596" i="4" s="1"/>
  <c r="L596" i="4" s="1"/>
  <c r="J607" i="4"/>
  <c r="K607" i="4" s="1"/>
  <c r="L607" i="4" s="1"/>
  <c r="J617" i="4"/>
  <c r="K617" i="4" s="1"/>
  <c r="L617" i="4" s="1"/>
  <c r="J628" i="4"/>
  <c r="K628" i="4" s="1"/>
  <c r="L628" i="4" s="1"/>
  <c r="J639" i="4"/>
  <c r="K639" i="4" s="1"/>
  <c r="L639" i="4" s="1"/>
  <c r="J649" i="4"/>
  <c r="K649" i="4" s="1"/>
  <c r="L649" i="4" s="1"/>
  <c r="J660" i="4"/>
  <c r="K660" i="4" s="1"/>
  <c r="L660" i="4" s="1"/>
  <c r="J671" i="4"/>
  <c r="K671" i="4" s="1"/>
  <c r="L671" i="4" s="1"/>
  <c r="J681" i="4"/>
  <c r="K681" i="4" s="1"/>
  <c r="L681" i="4" s="1"/>
  <c r="J692" i="4"/>
  <c r="K692" i="4" s="1"/>
  <c r="L692" i="4" s="1"/>
  <c r="J703" i="4"/>
  <c r="K703" i="4" s="1"/>
  <c r="L703" i="4" s="1"/>
  <c r="J713" i="4"/>
  <c r="K713" i="4" s="1"/>
  <c r="L713" i="4" s="1"/>
  <c r="J724" i="4"/>
  <c r="K724" i="4" s="1"/>
  <c r="L724" i="4" s="1"/>
  <c r="J735" i="4"/>
  <c r="K735" i="4" s="1"/>
  <c r="L735" i="4" s="1"/>
  <c r="J745" i="4"/>
  <c r="K745" i="4" s="1"/>
  <c r="L745" i="4" s="1"/>
  <c r="J756" i="4"/>
  <c r="K756" i="4" s="1"/>
  <c r="L756" i="4" s="1"/>
  <c r="J767" i="4"/>
  <c r="K767" i="4" s="1"/>
  <c r="L767" i="4" s="1"/>
  <c r="J777" i="4"/>
  <c r="K777" i="4" s="1"/>
  <c r="L777" i="4" s="1"/>
  <c r="J788" i="4"/>
  <c r="K788" i="4" s="1"/>
  <c r="L788" i="4" s="1"/>
  <c r="J799" i="4"/>
  <c r="K799" i="4" s="1"/>
  <c r="L799" i="4" s="1"/>
  <c r="J809" i="4"/>
  <c r="K809" i="4" s="1"/>
  <c r="L809" i="4" s="1"/>
  <c r="J820" i="4"/>
  <c r="K820" i="4" s="1"/>
  <c r="L820" i="4" s="1"/>
  <c r="J831" i="4"/>
  <c r="K831" i="4" s="1"/>
  <c r="L831" i="4" s="1"/>
  <c r="J841" i="4"/>
  <c r="K841" i="4" s="1"/>
  <c r="L841" i="4" s="1"/>
  <c r="J852" i="4"/>
  <c r="K852" i="4" s="1"/>
  <c r="L852" i="4" s="1"/>
  <c r="J863" i="4"/>
  <c r="K863" i="4" s="1"/>
  <c r="L863" i="4" s="1"/>
  <c r="J873" i="4"/>
  <c r="K873" i="4" s="1"/>
  <c r="L873" i="4" s="1"/>
  <c r="J884" i="4"/>
  <c r="K884" i="4" s="1"/>
  <c r="L884" i="4" s="1"/>
  <c r="J895" i="4"/>
  <c r="K895" i="4" s="1"/>
  <c r="L895" i="4" s="1"/>
  <c r="J905" i="4"/>
  <c r="K905" i="4" s="1"/>
  <c r="L905" i="4" s="1"/>
  <c r="J916" i="4"/>
  <c r="K916" i="4" s="1"/>
  <c r="L916" i="4" s="1"/>
  <c r="J927" i="4"/>
  <c r="K927" i="4" s="1"/>
  <c r="L927" i="4" s="1"/>
  <c r="J937" i="4"/>
  <c r="K937" i="4" s="1"/>
  <c r="L937" i="4" s="1"/>
  <c r="J947" i="4"/>
  <c r="K947" i="4" s="1"/>
  <c r="L947" i="4" s="1"/>
  <c r="J955" i="4"/>
  <c r="K955" i="4" s="1"/>
  <c r="L955" i="4" s="1"/>
  <c r="J963" i="4"/>
  <c r="K963" i="4" s="1"/>
  <c r="L963" i="4" s="1"/>
  <c r="J971" i="4"/>
  <c r="K971" i="4" s="1"/>
  <c r="L971" i="4" s="1"/>
  <c r="J979" i="4"/>
  <c r="K979" i="4" s="1"/>
  <c r="L979" i="4" s="1"/>
  <c r="J987" i="4"/>
  <c r="K987" i="4" s="1"/>
  <c r="L987" i="4" s="1"/>
  <c r="J995" i="4"/>
  <c r="K995" i="4" s="1"/>
  <c r="L995" i="4" s="1"/>
  <c r="J1003" i="4"/>
  <c r="K1003" i="4" s="1"/>
  <c r="L1003" i="4" s="1"/>
  <c r="J1011" i="4"/>
  <c r="K1011" i="4" s="1"/>
  <c r="L1011" i="4" s="1"/>
  <c r="J1019" i="4"/>
  <c r="K1019" i="4" s="1"/>
  <c r="L1019" i="4" s="1"/>
  <c r="J1027" i="4"/>
  <c r="K1027" i="4" s="1"/>
  <c r="L1027" i="4" s="1"/>
  <c r="J1035" i="4"/>
  <c r="K1035" i="4" s="1"/>
  <c r="L1035" i="4" s="1"/>
  <c r="J1043" i="4"/>
  <c r="K1043" i="4" s="1"/>
  <c r="L1043" i="4" s="1"/>
  <c r="J1051" i="4"/>
  <c r="K1051" i="4" s="1"/>
  <c r="L1051" i="4" s="1"/>
  <c r="J1059" i="4"/>
  <c r="K1059" i="4" s="1"/>
  <c r="L1059" i="4" s="1"/>
  <c r="J1067" i="4"/>
  <c r="K1067" i="4" s="1"/>
  <c r="L1067" i="4" s="1"/>
  <c r="J1075" i="4"/>
  <c r="K1075" i="4" s="1"/>
  <c r="L1075" i="4" s="1"/>
  <c r="J1083" i="4"/>
  <c r="K1083" i="4" s="1"/>
  <c r="L1083" i="4" s="1"/>
  <c r="J1091" i="4"/>
  <c r="K1091" i="4" s="1"/>
  <c r="L1091" i="4" s="1"/>
  <c r="J1099" i="4"/>
  <c r="K1099" i="4" s="1"/>
  <c r="L1099" i="4" s="1"/>
  <c r="J1107" i="4"/>
  <c r="K1107" i="4" s="1"/>
  <c r="L1107" i="4" s="1"/>
  <c r="J1115" i="4"/>
  <c r="K1115" i="4" s="1"/>
  <c r="L1115" i="4" s="1"/>
  <c r="J1123" i="4"/>
  <c r="K1123" i="4" s="1"/>
  <c r="L1123" i="4" s="1"/>
  <c r="J1131" i="4"/>
  <c r="K1131" i="4" s="1"/>
  <c r="L1131" i="4" s="1"/>
  <c r="J1139" i="4"/>
  <c r="K1139" i="4" s="1"/>
  <c r="L1139" i="4" s="1"/>
  <c r="J1147" i="4"/>
  <c r="K1147" i="4" s="1"/>
  <c r="L1147" i="4" s="1"/>
  <c r="J1155" i="4"/>
  <c r="K1155" i="4" s="1"/>
  <c r="L1155" i="4" s="1"/>
  <c r="J1163" i="4"/>
  <c r="K1163" i="4" s="1"/>
  <c r="L1163" i="4" s="1"/>
  <c r="J1171" i="4"/>
  <c r="K1171" i="4" s="1"/>
  <c r="L1171" i="4" s="1"/>
  <c r="J1178" i="4"/>
  <c r="K1178" i="4" s="1"/>
  <c r="L1178" i="4" s="1"/>
  <c r="J1183" i="4"/>
  <c r="K1183" i="4" s="1"/>
  <c r="L1183" i="4" s="1"/>
  <c r="J1188" i="4"/>
  <c r="K1188" i="4" s="1"/>
  <c r="L1188" i="4" s="1"/>
  <c r="J1194" i="4"/>
  <c r="K1194" i="4" s="1"/>
  <c r="L1194" i="4" s="1"/>
  <c r="J1199" i="4"/>
  <c r="K1199" i="4" s="1"/>
  <c r="L1199" i="4" s="1"/>
  <c r="J1204" i="4"/>
  <c r="K1204" i="4" s="1"/>
  <c r="L1204" i="4" s="1"/>
  <c r="J1210" i="4"/>
  <c r="K1210" i="4" s="1"/>
  <c r="L1210" i="4" s="1"/>
  <c r="J1215" i="4"/>
  <c r="K1215" i="4" s="1"/>
  <c r="L1215" i="4" s="1"/>
  <c r="J1220" i="4"/>
  <c r="K1220" i="4" s="1"/>
  <c r="L1220" i="4" s="1"/>
  <c r="J1226" i="4"/>
  <c r="K1226" i="4" s="1"/>
  <c r="L1226" i="4" s="1"/>
  <c r="J1231" i="4"/>
  <c r="K1231" i="4" s="1"/>
  <c r="L1231" i="4" s="1"/>
  <c r="J1236" i="4"/>
  <c r="K1236" i="4" s="1"/>
  <c r="L1236" i="4" s="1"/>
  <c r="J1242" i="4"/>
  <c r="K1242" i="4" s="1"/>
  <c r="L1242" i="4" s="1"/>
  <c r="J1247" i="4"/>
  <c r="K1247" i="4" s="1"/>
  <c r="L1247" i="4" s="1"/>
  <c r="J1252" i="4"/>
  <c r="K1252" i="4" s="1"/>
  <c r="L1252" i="4" s="1"/>
  <c r="J1258" i="4"/>
  <c r="K1258" i="4" s="1"/>
  <c r="L1258" i="4" s="1"/>
  <c r="J456" i="4"/>
  <c r="K456" i="4" s="1"/>
  <c r="L456" i="4" s="1"/>
  <c r="J537" i="4"/>
  <c r="K537" i="4" s="1"/>
  <c r="L537" i="4" s="1"/>
  <c r="J559" i="4"/>
  <c r="K559" i="4" s="1"/>
  <c r="L559" i="4" s="1"/>
  <c r="J580" i="4"/>
  <c r="K580" i="4" s="1"/>
  <c r="L580" i="4" s="1"/>
  <c r="J601" i="4"/>
  <c r="K601" i="4" s="1"/>
  <c r="L601" i="4" s="1"/>
  <c r="J612" i="4"/>
  <c r="K612" i="4" s="1"/>
  <c r="L612" i="4" s="1"/>
  <c r="J633" i="4"/>
  <c r="K633" i="4" s="1"/>
  <c r="L633" i="4" s="1"/>
  <c r="J655" i="4"/>
  <c r="K655" i="4" s="1"/>
  <c r="L655" i="4" s="1"/>
  <c r="J665" i="4"/>
  <c r="K665" i="4" s="1"/>
  <c r="L665" i="4" s="1"/>
  <c r="J687" i="4"/>
  <c r="K687" i="4" s="1"/>
  <c r="L687" i="4" s="1"/>
  <c r="J708" i="4"/>
  <c r="K708" i="4" s="1"/>
  <c r="L708" i="4" s="1"/>
  <c r="J729" i="4"/>
  <c r="K729" i="4" s="1"/>
  <c r="L729" i="4" s="1"/>
  <c r="J740" i="4"/>
  <c r="K740" i="4" s="1"/>
  <c r="L740" i="4" s="1"/>
  <c r="J761" i="4"/>
  <c r="K761" i="4" s="1"/>
  <c r="L761" i="4" s="1"/>
  <c r="J783" i="4"/>
  <c r="K783" i="4" s="1"/>
  <c r="L783" i="4" s="1"/>
  <c r="J804" i="4"/>
  <c r="K804" i="4" s="1"/>
  <c r="L804" i="4" s="1"/>
  <c r="J815" i="4"/>
  <c r="K815" i="4" s="1"/>
  <c r="L815" i="4" s="1"/>
  <c r="J836" i="4"/>
  <c r="K836" i="4" s="1"/>
  <c r="L836" i="4" s="1"/>
  <c r="J847" i="4"/>
  <c r="K847" i="4" s="1"/>
  <c r="L847" i="4" s="1"/>
  <c r="J868" i="4"/>
  <c r="K868" i="4" s="1"/>
  <c r="L868" i="4" s="1"/>
  <c r="J879" i="4"/>
  <c r="K879" i="4" s="1"/>
  <c r="L879" i="4" s="1"/>
  <c r="J900" i="4"/>
  <c r="K900" i="4" s="1"/>
  <c r="L900" i="4" s="1"/>
  <c r="J921" i="4"/>
  <c r="K921" i="4" s="1"/>
  <c r="L921" i="4" s="1"/>
  <c r="J932" i="4"/>
  <c r="K932" i="4" s="1"/>
  <c r="L932" i="4" s="1"/>
  <c r="J951" i="4"/>
  <c r="K951" i="4" s="1"/>
  <c r="L951" i="4" s="1"/>
  <c r="J967" i="4"/>
  <c r="K967" i="4" s="1"/>
  <c r="L967" i="4" s="1"/>
  <c r="J975" i="4"/>
  <c r="K975" i="4" s="1"/>
  <c r="L975" i="4" s="1"/>
  <c r="J991" i="4"/>
  <c r="K991" i="4" s="1"/>
  <c r="L991" i="4" s="1"/>
  <c r="J1007" i="4"/>
  <c r="K1007" i="4" s="1"/>
  <c r="L1007" i="4" s="1"/>
  <c r="J1023" i="4"/>
  <c r="K1023" i="4" s="1"/>
  <c r="L1023" i="4" s="1"/>
  <c r="J1031" i="4"/>
  <c r="K1031" i="4" s="1"/>
  <c r="L1031" i="4" s="1"/>
  <c r="J1047" i="4"/>
  <c r="K1047" i="4" s="1"/>
  <c r="L1047" i="4" s="1"/>
  <c r="J1063" i="4"/>
  <c r="K1063" i="4" s="1"/>
  <c r="L1063" i="4" s="1"/>
  <c r="J1071" i="4"/>
  <c r="K1071" i="4" s="1"/>
  <c r="L1071" i="4" s="1"/>
  <c r="J1087" i="4"/>
  <c r="K1087" i="4" s="1"/>
  <c r="L1087" i="4" s="1"/>
  <c r="J1095" i="4"/>
  <c r="K1095" i="4" s="1"/>
  <c r="L1095" i="4" s="1"/>
  <c r="J1111" i="4"/>
  <c r="K1111" i="4" s="1"/>
  <c r="L1111" i="4" s="1"/>
  <c r="J1119" i="4"/>
  <c r="K1119" i="4" s="1"/>
  <c r="L1119" i="4" s="1"/>
  <c r="J1135" i="4"/>
  <c r="K1135" i="4" s="1"/>
  <c r="L1135" i="4" s="1"/>
  <c r="J1151" i="4"/>
  <c r="K1151" i="4" s="1"/>
  <c r="L1151" i="4" s="1"/>
  <c r="J1159" i="4"/>
  <c r="K1159" i="4" s="1"/>
  <c r="L1159" i="4" s="1"/>
  <c r="J1175" i="4"/>
  <c r="K1175" i="4" s="1"/>
  <c r="L1175" i="4" s="1"/>
  <c r="J1186" i="4"/>
  <c r="K1186" i="4" s="1"/>
  <c r="L1186" i="4" s="1"/>
  <c r="J1191" i="4"/>
  <c r="K1191" i="4" s="1"/>
  <c r="L1191" i="4" s="1"/>
  <c r="J1202" i="4"/>
  <c r="K1202" i="4" s="1"/>
  <c r="L1202" i="4" s="1"/>
  <c r="J1207" i="4"/>
  <c r="K1207" i="4" s="1"/>
  <c r="L1207" i="4" s="1"/>
  <c r="J1218" i="4"/>
  <c r="K1218" i="4" s="1"/>
  <c r="L1218" i="4" s="1"/>
  <c r="J1228" i="4"/>
  <c r="K1228" i="4" s="1"/>
  <c r="L1228" i="4" s="1"/>
  <c r="J1234" i="4"/>
  <c r="K1234" i="4" s="1"/>
  <c r="L1234" i="4" s="1"/>
  <c r="J1244" i="4"/>
  <c r="K1244" i="4" s="1"/>
  <c r="L1244" i="4" s="1"/>
  <c r="J1255" i="4"/>
  <c r="K1255" i="4" s="1"/>
  <c r="L1255" i="4" s="1"/>
  <c r="J1260" i="4"/>
  <c r="K1260" i="4" s="1"/>
  <c r="L1260" i="4" s="1"/>
  <c r="J57" i="4"/>
  <c r="K57" i="4" s="1"/>
  <c r="L57" i="4" s="1"/>
  <c r="J141" i="4"/>
  <c r="K141" i="4" s="1"/>
  <c r="L141" i="4" s="1"/>
  <c r="J227" i="4"/>
  <c r="K227" i="4" s="1"/>
  <c r="L227" i="4" s="1"/>
  <c r="J269" i="4"/>
  <c r="K269" i="4" s="1"/>
  <c r="L269" i="4" s="1"/>
  <c r="J351" i="4"/>
  <c r="K351" i="4" s="1"/>
  <c r="L351" i="4" s="1"/>
  <c r="J394" i="4"/>
  <c r="K394" i="4" s="1"/>
  <c r="L394" i="4" s="1"/>
  <c r="J436" i="4"/>
  <c r="K436" i="4" s="1"/>
  <c r="L436" i="4" s="1"/>
  <c r="J479" i="4"/>
  <c r="K479" i="4" s="1"/>
  <c r="L479" i="4" s="1"/>
  <c r="J500" i="4"/>
  <c r="K500" i="4" s="1"/>
  <c r="L500" i="4" s="1"/>
  <c r="J528" i="4"/>
  <c r="K528" i="4" s="1"/>
  <c r="L528" i="4" s="1"/>
  <c r="J549" i="4"/>
  <c r="K549" i="4" s="1"/>
  <c r="L549" i="4" s="1"/>
  <c r="J560" i="4"/>
  <c r="K560" i="4" s="1"/>
  <c r="L560" i="4" s="1"/>
  <c r="J581" i="4"/>
  <c r="K581" i="4" s="1"/>
  <c r="L581" i="4" s="1"/>
  <c r="J592" i="4"/>
  <c r="K592" i="4" s="1"/>
  <c r="L592" i="4" s="1"/>
  <c r="J613" i="4"/>
  <c r="K613" i="4" s="1"/>
  <c r="L613" i="4" s="1"/>
  <c r="J635" i="4"/>
  <c r="K635" i="4" s="1"/>
  <c r="L635" i="4" s="1"/>
  <c r="J656" i="4"/>
  <c r="K656" i="4" s="1"/>
  <c r="L656" i="4" s="1"/>
  <c r="J667" i="4"/>
  <c r="K667" i="4" s="1"/>
  <c r="L667" i="4" s="1"/>
  <c r="J688" i="4"/>
  <c r="K688" i="4" s="1"/>
  <c r="L688" i="4" s="1"/>
  <c r="J709" i="4"/>
  <c r="K709" i="4" s="1"/>
  <c r="L709" i="4" s="1"/>
  <c r="J720" i="4"/>
  <c r="K720" i="4" s="1"/>
  <c r="L720" i="4" s="1"/>
  <c r="J741" i="4"/>
  <c r="K741" i="4" s="1"/>
  <c r="L741" i="4" s="1"/>
  <c r="J763" i="4"/>
  <c r="K763" i="4" s="1"/>
  <c r="L763" i="4" s="1"/>
  <c r="J784" i="4"/>
  <c r="K784" i="4" s="1"/>
  <c r="L784" i="4" s="1"/>
  <c r="J795" i="4"/>
  <c r="K795" i="4" s="1"/>
  <c r="L795" i="4" s="1"/>
  <c r="J816" i="4"/>
  <c r="K816" i="4" s="1"/>
  <c r="L816" i="4" s="1"/>
  <c r="J837" i="4"/>
  <c r="K837" i="4" s="1"/>
  <c r="L837" i="4" s="1"/>
  <c r="J859" i="4"/>
  <c r="K859" i="4" s="1"/>
  <c r="L859" i="4" s="1"/>
  <c r="J869" i="4"/>
  <c r="K869" i="4" s="1"/>
  <c r="L869" i="4" s="1"/>
  <c r="J891" i="4"/>
  <c r="K891" i="4" s="1"/>
  <c r="L891" i="4" s="1"/>
  <c r="J912" i="4"/>
  <c r="K912" i="4" s="1"/>
  <c r="L912" i="4" s="1"/>
  <c r="J923" i="4"/>
  <c r="K923" i="4" s="1"/>
  <c r="L923" i="4" s="1"/>
  <c r="J944" i="4"/>
  <c r="K944" i="4" s="1"/>
  <c r="L944" i="4" s="1"/>
  <c r="J952" i="4"/>
  <c r="K952" i="4" s="1"/>
  <c r="L952" i="4" s="1"/>
  <c r="J968" i="4"/>
  <c r="K968" i="4" s="1"/>
  <c r="L968" i="4" s="1"/>
  <c r="J984" i="4"/>
  <c r="K984" i="4" s="1"/>
  <c r="L984" i="4" s="1"/>
  <c r="J1000" i="4"/>
  <c r="K1000" i="4" s="1"/>
  <c r="L1000" i="4" s="1"/>
  <c r="J1016" i="4"/>
  <c r="K1016" i="4" s="1"/>
  <c r="L1016" i="4" s="1"/>
  <c r="J1032" i="4"/>
  <c r="K1032" i="4" s="1"/>
  <c r="L1032" i="4" s="1"/>
  <c r="J1048" i="4"/>
  <c r="K1048" i="4" s="1"/>
  <c r="L1048" i="4" s="1"/>
  <c r="J1056" i="4"/>
  <c r="K1056" i="4" s="1"/>
  <c r="L1056" i="4" s="1"/>
  <c r="J1072" i="4"/>
  <c r="K1072" i="4" s="1"/>
  <c r="L1072" i="4" s="1"/>
  <c r="J1080" i="4"/>
  <c r="K1080" i="4" s="1"/>
  <c r="L1080" i="4" s="1"/>
  <c r="J1096" i="4"/>
  <c r="K1096" i="4" s="1"/>
  <c r="L1096" i="4" s="1"/>
  <c r="J1112" i="4"/>
  <c r="K1112" i="4" s="1"/>
  <c r="L1112" i="4" s="1"/>
  <c r="J1120" i="4"/>
  <c r="K1120" i="4" s="1"/>
  <c r="L1120" i="4" s="1"/>
  <c r="J1136" i="4"/>
  <c r="K1136" i="4" s="1"/>
  <c r="L1136" i="4" s="1"/>
  <c r="J1152" i="4"/>
  <c r="K1152" i="4" s="1"/>
  <c r="L1152" i="4" s="1"/>
  <c r="J1160" i="4"/>
  <c r="K1160" i="4" s="1"/>
  <c r="L1160" i="4" s="1"/>
  <c r="J1176" i="4"/>
  <c r="K1176" i="4" s="1"/>
  <c r="L1176" i="4" s="1"/>
  <c r="J1187" i="4"/>
  <c r="K1187" i="4" s="1"/>
  <c r="L1187" i="4" s="1"/>
  <c r="J1192" i="4"/>
  <c r="K1192" i="4" s="1"/>
  <c r="L1192" i="4" s="1"/>
  <c r="J1203" i="4"/>
  <c r="K1203" i="4" s="1"/>
  <c r="L1203" i="4" s="1"/>
  <c r="J1214" i="4"/>
  <c r="K1214" i="4" s="1"/>
  <c r="L1214" i="4" s="1"/>
  <c r="J1219" i="4"/>
  <c r="K1219" i="4" s="1"/>
  <c r="L1219" i="4" s="1"/>
  <c r="J1230" i="4"/>
  <c r="K1230" i="4" s="1"/>
  <c r="L1230" i="4" s="1"/>
  <c r="J1240" i="4"/>
  <c r="K1240" i="4" s="1"/>
  <c r="L1240" i="4" s="1"/>
  <c r="J1246" i="4"/>
  <c r="K1246" i="4" s="1"/>
  <c r="L1246" i="4" s="1"/>
  <c r="J1256" i="4"/>
  <c r="K1256" i="4" s="1"/>
  <c r="L1256" i="4" s="1"/>
  <c r="J35" i="4"/>
  <c r="K35" i="4" s="1"/>
  <c r="L35" i="4" s="1"/>
  <c r="J77" i="4"/>
  <c r="K77" i="4" s="1"/>
  <c r="L77" i="4" s="1"/>
  <c r="J121" i="4"/>
  <c r="K121" i="4" s="1"/>
  <c r="L121" i="4" s="1"/>
  <c r="J163" i="4"/>
  <c r="K163" i="4" s="1"/>
  <c r="L163" i="4" s="1"/>
  <c r="J205" i="4"/>
  <c r="K205" i="4" s="1"/>
  <c r="L205" i="4" s="1"/>
  <c r="J249" i="4"/>
  <c r="K249" i="4" s="1"/>
  <c r="L249" i="4" s="1"/>
  <c r="J291" i="4"/>
  <c r="K291" i="4" s="1"/>
  <c r="L291" i="4" s="1"/>
  <c r="J333" i="4"/>
  <c r="K333" i="4" s="1"/>
  <c r="L333" i="4" s="1"/>
  <c r="J362" i="4"/>
  <c r="K362" i="4" s="1"/>
  <c r="L362" i="4" s="1"/>
  <c r="J383" i="4"/>
  <c r="K383" i="4" s="1"/>
  <c r="L383" i="4" s="1"/>
  <c r="J404" i="4"/>
  <c r="K404" i="4" s="1"/>
  <c r="L404" i="4" s="1"/>
  <c r="J426" i="4"/>
  <c r="K426" i="4" s="1"/>
  <c r="L426" i="4" s="1"/>
  <c r="J447" i="4"/>
  <c r="K447" i="4" s="1"/>
  <c r="L447" i="4" s="1"/>
  <c r="J468" i="4"/>
  <c r="K468" i="4" s="1"/>
  <c r="L468" i="4" s="1"/>
  <c r="J490" i="4"/>
  <c r="K490" i="4" s="1"/>
  <c r="L490" i="4" s="1"/>
  <c r="J510" i="4"/>
  <c r="K510" i="4" s="1"/>
  <c r="L510" i="4" s="1"/>
  <c r="J523" i="4"/>
  <c r="K523" i="4" s="1"/>
  <c r="L523" i="4" s="1"/>
  <c r="J533" i="4"/>
  <c r="K533" i="4" s="1"/>
  <c r="L533" i="4" s="1"/>
  <c r="J544" i="4"/>
  <c r="K544" i="4" s="1"/>
  <c r="L544" i="4" s="1"/>
  <c r="J555" i="4"/>
  <c r="K555" i="4" s="1"/>
  <c r="L555" i="4" s="1"/>
  <c r="J565" i="4"/>
  <c r="K565" i="4" s="1"/>
  <c r="L565" i="4" s="1"/>
  <c r="J576" i="4"/>
  <c r="K576" i="4" s="1"/>
  <c r="L576" i="4" s="1"/>
  <c r="J587" i="4"/>
  <c r="K587" i="4" s="1"/>
  <c r="L587" i="4" s="1"/>
  <c r="J597" i="4"/>
  <c r="K597" i="4" s="1"/>
  <c r="L597" i="4" s="1"/>
  <c r="J608" i="4"/>
  <c r="K608" i="4" s="1"/>
  <c r="L608" i="4" s="1"/>
  <c r="J619" i="4"/>
  <c r="K619" i="4" s="1"/>
  <c r="L619" i="4" s="1"/>
  <c r="J629" i="4"/>
  <c r="K629" i="4" s="1"/>
  <c r="L629" i="4" s="1"/>
  <c r="J640" i="4"/>
  <c r="K640" i="4" s="1"/>
  <c r="L640" i="4" s="1"/>
  <c r="J651" i="4"/>
  <c r="K651" i="4" s="1"/>
  <c r="L651" i="4" s="1"/>
  <c r="J661" i="4"/>
  <c r="K661" i="4" s="1"/>
  <c r="L661" i="4" s="1"/>
  <c r="J672" i="4"/>
  <c r="K672" i="4" s="1"/>
  <c r="L672" i="4" s="1"/>
  <c r="J683" i="4"/>
  <c r="K683" i="4" s="1"/>
  <c r="L683" i="4" s="1"/>
  <c r="J693" i="4"/>
  <c r="K693" i="4" s="1"/>
  <c r="L693" i="4" s="1"/>
  <c r="J704" i="4"/>
  <c r="K704" i="4" s="1"/>
  <c r="L704" i="4" s="1"/>
  <c r="J715" i="4"/>
  <c r="K715" i="4" s="1"/>
  <c r="L715" i="4" s="1"/>
  <c r="J725" i="4"/>
  <c r="K725" i="4" s="1"/>
  <c r="L725" i="4" s="1"/>
  <c r="J736" i="4"/>
  <c r="K736" i="4" s="1"/>
  <c r="L736" i="4" s="1"/>
  <c r="J747" i="4"/>
  <c r="K747" i="4" s="1"/>
  <c r="L747" i="4" s="1"/>
  <c r="J757" i="4"/>
  <c r="K757" i="4" s="1"/>
  <c r="L757" i="4" s="1"/>
  <c r="J768" i="4"/>
  <c r="K768" i="4" s="1"/>
  <c r="L768" i="4" s="1"/>
  <c r="J779" i="4"/>
  <c r="K779" i="4" s="1"/>
  <c r="L779" i="4" s="1"/>
  <c r="J789" i="4"/>
  <c r="K789" i="4" s="1"/>
  <c r="L789" i="4" s="1"/>
  <c r="J800" i="4"/>
  <c r="K800" i="4" s="1"/>
  <c r="L800" i="4" s="1"/>
  <c r="J811" i="4"/>
  <c r="K811" i="4" s="1"/>
  <c r="L811" i="4" s="1"/>
  <c r="J821" i="4"/>
  <c r="K821" i="4" s="1"/>
  <c r="L821" i="4" s="1"/>
  <c r="J832" i="4"/>
  <c r="K832" i="4" s="1"/>
  <c r="L832" i="4" s="1"/>
  <c r="J843" i="4"/>
  <c r="K843" i="4" s="1"/>
  <c r="L843" i="4" s="1"/>
  <c r="J853" i="4"/>
  <c r="K853" i="4" s="1"/>
  <c r="L853" i="4" s="1"/>
  <c r="J864" i="4"/>
  <c r="K864" i="4" s="1"/>
  <c r="L864" i="4" s="1"/>
  <c r="J875" i="4"/>
  <c r="K875" i="4" s="1"/>
  <c r="L875" i="4" s="1"/>
  <c r="J885" i="4"/>
  <c r="K885" i="4" s="1"/>
  <c r="L885" i="4" s="1"/>
  <c r="J896" i="4"/>
  <c r="K896" i="4" s="1"/>
  <c r="L896" i="4" s="1"/>
  <c r="J907" i="4"/>
  <c r="K907" i="4" s="1"/>
  <c r="L907" i="4" s="1"/>
  <c r="J917" i="4"/>
  <c r="K917" i="4" s="1"/>
  <c r="L917" i="4" s="1"/>
  <c r="J928" i="4"/>
  <c r="K928" i="4" s="1"/>
  <c r="L928" i="4" s="1"/>
  <c r="J939" i="4"/>
  <c r="K939" i="4" s="1"/>
  <c r="L939" i="4" s="1"/>
  <c r="J948" i="4"/>
  <c r="K948" i="4" s="1"/>
  <c r="L948" i="4" s="1"/>
  <c r="J956" i="4"/>
  <c r="K956" i="4" s="1"/>
  <c r="L956" i="4" s="1"/>
  <c r="J964" i="4"/>
  <c r="K964" i="4" s="1"/>
  <c r="L964" i="4" s="1"/>
  <c r="J972" i="4"/>
  <c r="K972" i="4" s="1"/>
  <c r="L972" i="4" s="1"/>
  <c r="J980" i="4"/>
  <c r="K980" i="4" s="1"/>
  <c r="L980" i="4" s="1"/>
  <c r="J988" i="4"/>
  <c r="K988" i="4" s="1"/>
  <c r="L988" i="4" s="1"/>
  <c r="J996" i="4"/>
  <c r="K996" i="4" s="1"/>
  <c r="L996" i="4" s="1"/>
  <c r="J1004" i="4"/>
  <c r="K1004" i="4" s="1"/>
  <c r="L1004" i="4" s="1"/>
  <c r="J1012" i="4"/>
  <c r="K1012" i="4" s="1"/>
  <c r="L1012" i="4" s="1"/>
  <c r="J1020" i="4"/>
  <c r="K1020" i="4" s="1"/>
  <c r="L1020" i="4" s="1"/>
  <c r="J1028" i="4"/>
  <c r="K1028" i="4" s="1"/>
  <c r="L1028" i="4" s="1"/>
  <c r="J1036" i="4"/>
  <c r="K1036" i="4" s="1"/>
  <c r="L1036" i="4" s="1"/>
  <c r="J1044" i="4"/>
  <c r="K1044" i="4" s="1"/>
  <c r="L1044" i="4" s="1"/>
  <c r="J1052" i="4"/>
  <c r="K1052" i="4" s="1"/>
  <c r="L1052" i="4" s="1"/>
  <c r="J1060" i="4"/>
  <c r="K1060" i="4" s="1"/>
  <c r="L1060" i="4" s="1"/>
  <c r="J1068" i="4"/>
  <c r="K1068" i="4" s="1"/>
  <c r="L1068" i="4" s="1"/>
  <c r="J1076" i="4"/>
  <c r="K1076" i="4" s="1"/>
  <c r="L1076" i="4" s="1"/>
  <c r="J1084" i="4"/>
  <c r="K1084" i="4" s="1"/>
  <c r="L1084" i="4" s="1"/>
  <c r="J1092" i="4"/>
  <c r="K1092" i="4" s="1"/>
  <c r="L1092" i="4" s="1"/>
  <c r="J1100" i="4"/>
  <c r="K1100" i="4" s="1"/>
  <c r="L1100" i="4" s="1"/>
  <c r="J1108" i="4"/>
  <c r="K1108" i="4" s="1"/>
  <c r="L1108" i="4" s="1"/>
  <c r="J1116" i="4"/>
  <c r="K1116" i="4" s="1"/>
  <c r="L1116" i="4" s="1"/>
  <c r="J1124" i="4"/>
  <c r="K1124" i="4" s="1"/>
  <c r="L1124" i="4" s="1"/>
  <c r="J1132" i="4"/>
  <c r="K1132" i="4" s="1"/>
  <c r="L1132" i="4" s="1"/>
  <c r="J1140" i="4"/>
  <c r="K1140" i="4" s="1"/>
  <c r="L1140" i="4" s="1"/>
  <c r="J1148" i="4"/>
  <c r="K1148" i="4" s="1"/>
  <c r="L1148" i="4" s="1"/>
  <c r="J1156" i="4"/>
  <c r="K1156" i="4" s="1"/>
  <c r="L1156" i="4" s="1"/>
  <c r="J1164" i="4"/>
  <c r="K1164" i="4" s="1"/>
  <c r="L1164" i="4" s="1"/>
  <c r="J1172" i="4"/>
  <c r="K1172" i="4" s="1"/>
  <c r="L1172" i="4" s="1"/>
  <c r="J1179" i="4"/>
  <c r="K1179" i="4" s="1"/>
  <c r="L1179" i="4" s="1"/>
  <c r="J1184" i="4"/>
  <c r="K1184" i="4" s="1"/>
  <c r="L1184" i="4" s="1"/>
  <c r="J1190" i="4"/>
  <c r="K1190" i="4" s="1"/>
  <c r="L1190" i="4" s="1"/>
  <c r="J1195" i="4"/>
  <c r="K1195" i="4" s="1"/>
  <c r="L1195" i="4" s="1"/>
  <c r="J1200" i="4"/>
  <c r="K1200" i="4" s="1"/>
  <c r="L1200" i="4" s="1"/>
  <c r="J1206" i="4"/>
  <c r="K1206" i="4" s="1"/>
  <c r="L1206" i="4" s="1"/>
  <c r="J1211" i="4"/>
  <c r="K1211" i="4" s="1"/>
  <c r="L1211" i="4" s="1"/>
  <c r="J1216" i="4"/>
  <c r="K1216" i="4" s="1"/>
  <c r="L1216" i="4" s="1"/>
  <c r="J1222" i="4"/>
  <c r="K1222" i="4" s="1"/>
  <c r="L1222" i="4" s="1"/>
  <c r="J1227" i="4"/>
  <c r="K1227" i="4" s="1"/>
  <c r="L1227" i="4" s="1"/>
  <c r="J1232" i="4"/>
  <c r="K1232" i="4" s="1"/>
  <c r="L1232" i="4" s="1"/>
  <c r="J1238" i="4"/>
  <c r="K1238" i="4" s="1"/>
  <c r="L1238" i="4" s="1"/>
  <c r="J1243" i="4"/>
  <c r="K1243" i="4" s="1"/>
  <c r="L1243" i="4" s="1"/>
  <c r="J1248" i="4"/>
  <c r="K1248" i="4" s="1"/>
  <c r="L1248" i="4" s="1"/>
  <c r="J1254" i="4"/>
  <c r="K1254" i="4" s="1"/>
  <c r="L1254" i="4" s="1"/>
  <c r="J1259" i="4"/>
  <c r="K1259" i="4" s="1"/>
  <c r="L1259" i="4" s="1"/>
  <c r="J53" i="4"/>
  <c r="K53" i="4" s="1"/>
  <c r="L53" i="4" s="1"/>
  <c r="J97" i="4"/>
  <c r="K97" i="4" s="1"/>
  <c r="L97" i="4" s="1"/>
  <c r="J139" i="4"/>
  <c r="K139" i="4" s="1"/>
  <c r="L139" i="4" s="1"/>
  <c r="J181" i="4"/>
  <c r="K181" i="4" s="1"/>
  <c r="L181" i="4" s="1"/>
  <c r="J225" i="4"/>
  <c r="K225" i="4" s="1"/>
  <c r="L225" i="4" s="1"/>
  <c r="J267" i="4"/>
  <c r="K267" i="4" s="1"/>
  <c r="L267" i="4" s="1"/>
  <c r="J309" i="4"/>
  <c r="K309" i="4" s="1"/>
  <c r="L309" i="4" s="1"/>
  <c r="J350" i="4"/>
  <c r="K350" i="4" s="1"/>
  <c r="L350" i="4" s="1"/>
  <c r="J371" i="4"/>
  <c r="K371" i="4" s="1"/>
  <c r="L371" i="4" s="1"/>
  <c r="J392" i="4"/>
  <c r="K392" i="4" s="1"/>
  <c r="L392" i="4" s="1"/>
  <c r="J414" i="4"/>
  <c r="K414" i="4" s="1"/>
  <c r="L414" i="4" s="1"/>
  <c r="J435" i="4"/>
  <c r="K435" i="4" s="1"/>
  <c r="L435" i="4" s="1"/>
  <c r="J478" i="4"/>
  <c r="K478" i="4" s="1"/>
  <c r="L478" i="4" s="1"/>
  <c r="J499" i="4"/>
  <c r="K499" i="4" s="1"/>
  <c r="L499" i="4" s="1"/>
  <c r="J515" i="4"/>
  <c r="K515" i="4" s="1"/>
  <c r="L515" i="4" s="1"/>
  <c r="J527" i="4"/>
  <c r="K527" i="4" s="1"/>
  <c r="L527" i="4" s="1"/>
  <c r="J548" i="4"/>
  <c r="K548" i="4" s="1"/>
  <c r="L548" i="4" s="1"/>
  <c r="J569" i="4"/>
  <c r="K569" i="4" s="1"/>
  <c r="L569" i="4" s="1"/>
  <c r="J591" i="4"/>
  <c r="K591" i="4" s="1"/>
  <c r="L591" i="4" s="1"/>
  <c r="J623" i="4"/>
  <c r="K623" i="4" s="1"/>
  <c r="L623" i="4" s="1"/>
  <c r="J644" i="4"/>
  <c r="K644" i="4" s="1"/>
  <c r="L644" i="4" s="1"/>
  <c r="J676" i="4"/>
  <c r="K676" i="4" s="1"/>
  <c r="L676" i="4" s="1"/>
  <c r="J697" i="4"/>
  <c r="K697" i="4" s="1"/>
  <c r="L697" i="4" s="1"/>
  <c r="J719" i="4"/>
  <c r="K719" i="4" s="1"/>
  <c r="L719" i="4" s="1"/>
  <c r="J751" i="4"/>
  <c r="K751" i="4" s="1"/>
  <c r="L751" i="4" s="1"/>
  <c r="J772" i="4"/>
  <c r="K772" i="4" s="1"/>
  <c r="L772" i="4" s="1"/>
  <c r="J793" i="4"/>
  <c r="K793" i="4" s="1"/>
  <c r="L793" i="4" s="1"/>
  <c r="J825" i="4"/>
  <c r="K825" i="4" s="1"/>
  <c r="L825" i="4" s="1"/>
  <c r="J857" i="4"/>
  <c r="K857" i="4" s="1"/>
  <c r="L857" i="4" s="1"/>
  <c r="J889" i="4"/>
  <c r="K889" i="4" s="1"/>
  <c r="L889" i="4" s="1"/>
  <c r="J911" i="4"/>
  <c r="K911" i="4" s="1"/>
  <c r="L911" i="4" s="1"/>
  <c r="J943" i="4"/>
  <c r="K943" i="4" s="1"/>
  <c r="L943" i="4" s="1"/>
  <c r="J959" i="4"/>
  <c r="K959" i="4" s="1"/>
  <c r="L959" i="4" s="1"/>
  <c r="J983" i="4"/>
  <c r="K983" i="4" s="1"/>
  <c r="L983" i="4" s="1"/>
  <c r="J999" i="4"/>
  <c r="K999" i="4" s="1"/>
  <c r="L999" i="4" s="1"/>
  <c r="J1015" i="4"/>
  <c r="K1015" i="4" s="1"/>
  <c r="L1015" i="4" s="1"/>
  <c r="J1039" i="4"/>
  <c r="K1039" i="4" s="1"/>
  <c r="L1039" i="4" s="1"/>
  <c r="J1055" i="4"/>
  <c r="K1055" i="4" s="1"/>
  <c r="L1055" i="4" s="1"/>
  <c r="J1079" i="4"/>
  <c r="K1079" i="4" s="1"/>
  <c r="L1079" i="4" s="1"/>
  <c r="J1103" i="4"/>
  <c r="K1103" i="4" s="1"/>
  <c r="L1103" i="4" s="1"/>
  <c r="J1127" i="4"/>
  <c r="K1127" i="4" s="1"/>
  <c r="L1127" i="4" s="1"/>
  <c r="J1143" i="4"/>
  <c r="K1143" i="4" s="1"/>
  <c r="L1143" i="4" s="1"/>
  <c r="J1167" i="4"/>
  <c r="K1167" i="4" s="1"/>
  <c r="L1167" i="4" s="1"/>
  <c r="J1180" i="4"/>
  <c r="K1180" i="4" s="1"/>
  <c r="L1180" i="4" s="1"/>
  <c r="J1196" i="4"/>
  <c r="K1196" i="4" s="1"/>
  <c r="L1196" i="4" s="1"/>
  <c r="J1212" i="4"/>
  <c r="K1212" i="4" s="1"/>
  <c r="L1212" i="4" s="1"/>
  <c r="J1223" i="4"/>
  <c r="K1223" i="4" s="1"/>
  <c r="L1223" i="4" s="1"/>
  <c r="J1239" i="4"/>
  <c r="K1239" i="4" s="1"/>
  <c r="L1239" i="4" s="1"/>
  <c r="J1250" i="4"/>
  <c r="K1250" i="4" s="1"/>
  <c r="L1250" i="4" s="1"/>
  <c r="J13" i="4"/>
  <c r="K13" i="4" s="1"/>
  <c r="L13" i="4" s="1"/>
  <c r="J99" i="4"/>
  <c r="K99" i="4" s="1"/>
  <c r="L99" i="4" s="1"/>
  <c r="J185" i="4"/>
  <c r="K185" i="4" s="1"/>
  <c r="L185" i="4" s="1"/>
  <c r="J313" i="4"/>
  <c r="K313" i="4" s="1"/>
  <c r="L313" i="4" s="1"/>
  <c r="J372" i="4"/>
  <c r="K372" i="4" s="1"/>
  <c r="L372" i="4" s="1"/>
  <c r="J415" i="4"/>
  <c r="K415" i="4" s="1"/>
  <c r="L415" i="4" s="1"/>
  <c r="J458" i="4"/>
  <c r="K458" i="4" s="1"/>
  <c r="L458" i="4" s="1"/>
  <c r="J516" i="4"/>
  <c r="K516" i="4" s="1"/>
  <c r="L516" i="4" s="1"/>
  <c r="J539" i="4"/>
  <c r="K539" i="4" s="1"/>
  <c r="L539" i="4" s="1"/>
  <c r="J571" i="4"/>
  <c r="K571" i="4" s="1"/>
  <c r="L571" i="4" s="1"/>
  <c r="J603" i="4"/>
  <c r="K603" i="4" s="1"/>
  <c r="L603" i="4" s="1"/>
  <c r="J624" i="4"/>
  <c r="K624" i="4" s="1"/>
  <c r="L624" i="4" s="1"/>
  <c r="J645" i="4"/>
  <c r="K645" i="4" s="1"/>
  <c r="L645" i="4" s="1"/>
  <c r="J677" i="4"/>
  <c r="K677" i="4" s="1"/>
  <c r="L677" i="4" s="1"/>
  <c r="J699" i="4"/>
  <c r="K699" i="4" s="1"/>
  <c r="L699" i="4" s="1"/>
  <c r="J731" i="4"/>
  <c r="K731" i="4" s="1"/>
  <c r="L731" i="4" s="1"/>
  <c r="J752" i="4"/>
  <c r="K752" i="4" s="1"/>
  <c r="L752" i="4" s="1"/>
  <c r="J773" i="4"/>
  <c r="K773" i="4" s="1"/>
  <c r="L773" i="4" s="1"/>
  <c r="J805" i="4"/>
  <c r="K805" i="4" s="1"/>
  <c r="L805" i="4" s="1"/>
  <c r="J827" i="4"/>
  <c r="K827" i="4" s="1"/>
  <c r="L827" i="4" s="1"/>
  <c r="J848" i="4"/>
  <c r="K848" i="4" s="1"/>
  <c r="L848" i="4" s="1"/>
  <c r="J880" i="4"/>
  <c r="K880" i="4" s="1"/>
  <c r="L880" i="4" s="1"/>
  <c r="J901" i="4"/>
  <c r="K901" i="4" s="1"/>
  <c r="L901" i="4" s="1"/>
  <c r="J933" i="4"/>
  <c r="K933" i="4" s="1"/>
  <c r="L933" i="4" s="1"/>
  <c r="J960" i="4"/>
  <c r="K960" i="4" s="1"/>
  <c r="L960" i="4" s="1"/>
  <c r="J976" i="4"/>
  <c r="K976" i="4" s="1"/>
  <c r="L976" i="4" s="1"/>
  <c r="J992" i="4"/>
  <c r="K992" i="4" s="1"/>
  <c r="L992" i="4" s="1"/>
  <c r="J1008" i="4"/>
  <c r="K1008" i="4" s="1"/>
  <c r="L1008" i="4" s="1"/>
  <c r="J1024" i="4"/>
  <c r="K1024" i="4" s="1"/>
  <c r="L1024" i="4" s="1"/>
  <c r="J1040" i="4"/>
  <c r="K1040" i="4" s="1"/>
  <c r="L1040" i="4" s="1"/>
  <c r="J1064" i="4"/>
  <c r="K1064" i="4" s="1"/>
  <c r="L1064" i="4" s="1"/>
  <c r="J1088" i="4"/>
  <c r="K1088" i="4" s="1"/>
  <c r="L1088" i="4" s="1"/>
  <c r="J1104" i="4"/>
  <c r="K1104" i="4" s="1"/>
  <c r="L1104" i="4" s="1"/>
  <c r="J1128" i="4"/>
  <c r="K1128" i="4" s="1"/>
  <c r="L1128" i="4" s="1"/>
  <c r="J1144" i="4"/>
  <c r="K1144" i="4" s="1"/>
  <c r="L1144" i="4" s="1"/>
  <c r="J1168" i="4"/>
  <c r="K1168" i="4" s="1"/>
  <c r="L1168" i="4" s="1"/>
  <c r="J1182" i="4"/>
  <c r="K1182" i="4" s="1"/>
  <c r="L1182" i="4" s="1"/>
  <c r="J1198" i="4"/>
  <c r="K1198" i="4" s="1"/>
  <c r="L1198" i="4" s="1"/>
  <c r="J1208" i="4"/>
  <c r="K1208" i="4" s="1"/>
  <c r="L1208" i="4" s="1"/>
  <c r="J1224" i="4"/>
  <c r="K1224" i="4" s="1"/>
  <c r="L1224" i="4" s="1"/>
  <c r="J1235" i="4"/>
  <c r="K1235" i="4" s="1"/>
  <c r="L1235" i="4" s="1"/>
  <c r="J1251" i="4"/>
  <c r="K1251" i="4" s="1"/>
  <c r="L1251" i="4" s="1"/>
  <c r="E9" i="4"/>
  <c r="F9" i="4" s="1"/>
  <c r="G9" i="4" s="1"/>
  <c r="M9" i="4" s="1"/>
  <c r="E13" i="4"/>
  <c r="F13" i="4" s="1"/>
  <c r="G13" i="4" s="1"/>
  <c r="M13" i="4" s="1"/>
  <c r="E17" i="4"/>
  <c r="F17" i="4" s="1"/>
  <c r="G17" i="4" s="1"/>
  <c r="E21" i="4"/>
  <c r="F21" i="4" s="1"/>
  <c r="G21" i="4" s="1"/>
  <c r="M21" i="4" s="1"/>
  <c r="E25" i="4"/>
  <c r="F25" i="4" s="1"/>
  <c r="G25" i="4" s="1"/>
  <c r="M25" i="4" s="1"/>
  <c r="E29" i="4"/>
  <c r="F29" i="4" s="1"/>
  <c r="G29" i="4" s="1"/>
  <c r="M29" i="4" s="1"/>
  <c r="E33" i="4"/>
  <c r="F33" i="4" s="1"/>
  <c r="G33" i="4" s="1"/>
  <c r="E37" i="4"/>
  <c r="F37" i="4" s="1"/>
  <c r="G37" i="4" s="1"/>
  <c r="E41" i="4"/>
  <c r="F41" i="4" s="1"/>
  <c r="G41" i="4" s="1"/>
  <c r="E45" i="4"/>
  <c r="F45" i="4" s="1"/>
  <c r="G45" i="4" s="1"/>
  <c r="M45" i="4" s="1"/>
  <c r="E49" i="4"/>
  <c r="F49" i="4" s="1"/>
  <c r="G49" i="4" s="1"/>
  <c r="M49" i="4" s="1"/>
  <c r="E53" i="4"/>
  <c r="F53" i="4" s="1"/>
  <c r="G53" i="4" s="1"/>
  <c r="E57" i="4"/>
  <c r="F57" i="4" s="1"/>
  <c r="G57" i="4" s="1"/>
  <c r="E61" i="4"/>
  <c r="F61" i="4" s="1"/>
  <c r="G61" i="4" s="1"/>
  <c r="M61" i="4" s="1"/>
  <c r="E65" i="4"/>
  <c r="F65" i="4" s="1"/>
  <c r="G65" i="4" s="1"/>
  <c r="E69" i="4"/>
  <c r="F69" i="4" s="1"/>
  <c r="G69" i="4" s="1"/>
  <c r="E73" i="4"/>
  <c r="F73" i="4" s="1"/>
  <c r="G73" i="4" s="1"/>
  <c r="M73" i="4" s="1"/>
  <c r="E77" i="4"/>
  <c r="F77" i="4" s="1"/>
  <c r="G77" i="4" s="1"/>
  <c r="M77" i="4" s="1"/>
  <c r="E81" i="4"/>
  <c r="F81" i="4" s="1"/>
  <c r="G81" i="4" s="1"/>
  <c r="E85" i="4"/>
  <c r="F85" i="4" s="1"/>
  <c r="G85" i="4" s="1"/>
  <c r="E89" i="4"/>
  <c r="F89" i="4" s="1"/>
  <c r="G89" i="4" s="1"/>
  <c r="E93" i="4"/>
  <c r="F93" i="4" s="1"/>
  <c r="G93" i="4" s="1"/>
  <c r="M93" i="4" s="1"/>
  <c r="E97" i="4"/>
  <c r="F97" i="4" s="1"/>
  <c r="G97" i="4" s="1"/>
  <c r="M97" i="4" s="1"/>
  <c r="E101" i="4"/>
  <c r="F101" i="4" s="1"/>
  <c r="G101" i="4" s="1"/>
  <c r="M101" i="4" s="1"/>
  <c r="E105" i="4"/>
  <c r="F105" i="4" s="1"/>
  <c r="G105" i="4" s="1"/>
  <c r="E109" i="4"/>
  <c r="F109" i="4" s="1"/>
  <c r="G109" i="4" s="1"/>
  <c r="M109" i="4" s="1"/>
  <c r="E113" i="4"/>
  <c r="F113" i="4" s="1"/>
  <c r="G113" i="4" s="1"/>
  <c r="E117" i="4"/>
  <c r="F117" i="4" s="1"/>
  <c r="G117" i="4" s="1"/>
  <c r="M117" i="4" s="1"/>
  <c r="E121" i="4"/>
  <c r="F121" i="4" s="1"/>
  <c r="G121" i="4" s="1"/>
  <c r="E125" i="4"/>
  <c r="F125" i="4" s="1"/>
  <c r="G125" i="4" s="1"/>
  <c r="M125" i="4" s="1"/>
  <c r="E129" i="4"/>
  <c r="F129" i="4" s="1"/>
  <c r="G129" i="4" s="1"/>
  <c r="E133" i="4"/>
  <c r="F133" i="4" s="1"/>
  <c r="G133" i="4" s="1"/>
  <c r="M133" i="4" s="1"/>
  <c r="E137" i="4"/>
  <c r="F137" i="4" s="1"/>
  <c r="G137" i="4" s="1"/>
  <c r="M137" i="4" s="1"/>
  <c r="E141" i="4"/>
  <c r="F141" i="4" s="1"/>
  <c r="G141" i="4" s="1"/>
  <c r="M141" i="4" s="1"/>
  <c r="E145" i="4"/>
  <c r="F145" i="4" s="1"/>
  <c r="G145" i="4" s="1"/>
  <c r="E149" i="4"/>
  <c r="F149" i="4" s="1"/>
  <c r="G149" i="4" s="1"/>
  <c r="E153" i="4"/>
  <c r="F153" i="4" s="1"/>
  <c r="G153" i="4" s="1"/>
  <c r="M153" i="4" s="1"/>
  <c r="E157" i="4"/>
  <c r="F157" i="4" s="1"/>
  <c r="G157" i="4" s="1"/>
  <c r="M157" i="4" s="1"/>
  <c r="E161" i="4"/>
  <c r="F161" i="4" s="1"/>
  <c r="G161" i="4" s="1"/>
  <c r="E165" i="4"/>
  <c r="F165" i="4" s="1"/>
  <c r="G165" i="4" s="1"/>
  <c r="E169" i="4"/>
  <c r="F169" i="4" s="1"/>
  <c r="G169" i="4" s="1"/>
  <c r="E173" i="4"/>
  <c r="F173" i="4" s="1"/>
  <c r="G173" i="4" s="1"/>
  <c r="M173" i="4" s="1"/>
  <c r="E177" i="4"/>
  <c r="F177" i="4" s="1"/>
  <c r="G177" i="4" s="1"/>
  <c r="M177" i="4" s="1"/>
  <c r="E181" i="4"/>
  <c r="F181" i="4" s="1"/>
  <c r="G181" i="4" s="1"/>
  <c r="E185" i="4"/>
  <c r="F185" i="4" s="1"/>
  <c r="G185" i="4" s="1"/>
  <c r="M185" i="4" s="1"/>
  <c r="E189" i="4"/>
  <c r="F189" i="4" s="1"/>
  <c r="G189" i="4" s="1"/>
  <c r="M189" i="4" s="1"/>
  <c r="E193" i="4"/>
  <c r="F193" i="4" s="1"/>
  <c r="G193" i="4" s="1"/>
  <c r="M193" i="4" s="1"/>
  <c r="E197" i="4"/>
  <c r="F197" i="4" s="1"/>
  <c r="G197" i="4" s="1"/>
  <c r="E201" i="4"/>
  <c r="F201" i="4" s="1"/>
  <c r="G201" i="4" s="1"/>
  <c r="M201" i="4" s="1"/>
  <c r="E205" i="4"/>
  <c r="F205" i="4" s="1"/>
  <c r="G205" i="4" s="1"/>
  <c r="M205" i="4" s="1"/>
  <c r="E209" i="4"/>
  <c r="F209" i="4" s="1"/>
  <c r="G209" i="4" s="1"/>
  <c r="E213" i="4"/>
  <c r="F213" i="4" s="1"/>
  <c r="G213" i="4" s="1"/>
  <c r="M213" i="4" s="1"/>
  <c r="E217" i="4"/>
  <c r="F217" i="4" s="1"/>
  <c r="G217" i="4" s="1"/>
  <c r="E221" i="4"/>
  <c r="F221" i="4" s="1"/>
  <c r="G221" i="4" s="1"/>
  <c r="M221" i="4" s="1"/>
  <c r="E225" i="4"/>
  <c r="F225" i="4" s="1"/>
  <c r="G225" i="4" s="1"/>
  <c r="E229" i="4"/>
  <c r="F229" i="4" s="1"/>
  <c r="G229" i="4" s="1"/>
  <c r="M229" i="4" s="1"/>
  <c r="E233" i="4"/>
  <c r="F233" i="4" s="1"/>
  <c r="G233" i="4" s="1"/>
  <c r="E237" i="4"/>
  <c r="F237" i="4" s="1"/>
  <c r="G237" i="4" s="1"/>
  <c r="M237" i="4" s="1"/>
  <c r="E241" i="4"/>
  <c r="F241" i="4" s="1"/>
  <c r="G241" i="4" s="1"/>
  <c r="E245" i="4"/>
  <c r="F245" i="4" s="1"/>
  <c r="G245" i="4" s="1"/>
  <c r="E249" i="4"/>
  <c r="F249" i="4" s="1"/>
  <c r="G249" i="4" s="1"/>
  <c r="E253" i="4"/>
  <c r="F253" i="4" s="1"/>
  <c r="G253" i="4" s="1"/>
  <c r="M253" i="4" s="1"/>
  <c r="E257" i="4"/>
  <c r="F257" i="4" s="1"/>
  <c r="G257" i="4" s="1"/>
  <c r="E261" i="4"/>
  <c r="F261" i="4" s="1"/>
  <c r="G261" i="4" s="1"/>
  <c r="M261" i="4" s="1"/>
  <c r="E265" i="4"/>
  <c r="F265" i="4" s="1"/>
  <c r="G265" i="4" s="1"/>
  <c r="M265" i="4" s="1"/>
  <c r="E269" i="4"/>
  <c r="F269" i="4" s="1"/>
  <c r="G269" i="4" s="1"/>
  <c r="M269" i="4" s="1"/>
  <c r="E273" i="4"/>
  <c r="F273" i="4" s="1"/>
  <c r="G273" i="4" s="1"/>
  <c r="E277" i="4"/>
  <c r="F277" i="4" s="1"/>
  <c r="G277" i="4" s="1"/>
  <c r="M277" i="4" s="1"/>
  <c r="E281" i="4"/>
  <c r="F281" i="4" s="1"/>
  <c r="G281" i="4" s="1"/>
  <c r="M281" i="4" s="1"/>
  <c r="E285" i="4"/>
  <c r="F285" i="4" s="1"/>
  <c r="G285" i="4" s="1"/>
  <c r="M285" i="4" s="1"/>
  <c r="E289" i="4"/>
  <c r="F289" i="4" s="1"/>
  <c r="G289" i="4" s="1"/>
  <c r="M289" i="4" s="1"/>
  <c r="E293" i="4"/>
  <c r="F293" i="4" s="1"/>
  <c r="G293" i="4" s="1"/>
  <c r="E297" i="4"/>
  <c r="F297" i="4" s="1"/>
  <c r="G297" i="4" s="1"/>
  <c r="E301" i="4"/>
  <c r="F301" i="4" s="1"/>
  <c r="G301" i="4" s="1"/>
  <c r="M301" i="4" s="1"/>
  <c r="E305" i="4"/>
  <c r="F305" i="4" s="1"/>
  <c r="G305" i="4" s="1"/>
  <c r="M305" i="4" s="1"/>
  <c r="E309" i="4"/>
  <c r="F309" i="4" s="1"/>
  <c r="G309" i="4" s="1"/>
  <c r="M309" i="4" s="1"/>
  <c r="E313" i="4"/>
  <c r="F313" i="4" s="1"/>
  <c r="G313" i="4" s="1"/>
  <c r="E317" i="4"/>
  <c r="F317" i="4" s="1"/>
  <c r="G317" i="4" s="1"/>
  <c r="M317" i="4" s="1"/>
  <c r="E321" i="4"/>
  <c r="F321" i="4" s="1"/>
  <c r="G321" i="4" s="1"/>
  <c r="E325" i="4"/>
  <c r="F325" i="4" s="1"/>
  <c r="G325" i="4" s="1"/>
  <c r="E329" i="4"/>
  <c r="F329" i="4" s="1"/>
  <c r="G329" i="4" s="1"/>
  <c r="M329" i="4" s="1"/>
  <c r="E333" i="4"/>
  <c r="F333" i="4" s="1"/>
  <c r="G333" i="4" s="1"/>
  <c r="E337" i="4"/>
  <c r="F337" i="4" s="1"/>
  <c r="G337" i="4" s="1"/>
  <c r="E341" i="4"/>
  <c r="F341" i="4" s="1"/>
  <c r="G341" i="4" s="1"/>
  <c r="E10" i="4"/>
  <c r="F10" i="4" s="1"/>
  <c r="G10" i="4" s="1"/>
  <c r="M10" i="4" s="1"/>
  <c r="E14" i="4"/>
  <c r="F14" i="4" s="1"/>
  <c r="G14" i="4" s="1"/>
  <c r="M14" i="4" s="1"/>
  <c r="E18" i="4"/>
  <c r="F18" i="4" s="1"/>
  <c r="G18" i="4" s="1"/>
  <c r="E22" i="4"/>
  <c r="F22" i="4" s="1"/>
  <c r="G22" i="4" s="1"/>
  <c r="M22" i="4" s="1"/>
  <c r="E26" i="4"/>
  <c r="F26" i="4" s="1"/>
  <c r="G26" i="4" s="1"/>
  <c r="M26" i="4" s="1"/>
  <c r="E30" i="4"/>
  <c r="F30" i="4" s="1"/>
  <c r="G30" i="4" s="1"/>
  <c r="M30" i="4" s="1"/>
  <c r="E34" i="4"/>
  <c r="F34" i="4" s="1"/>
  <c r="G34" i="4" s="1"/>
  <c r="E38" i="4"/>
  <c r="F38" i="4" s="1"/>
  <c r="G38" i="4" s="1"/>
  <c r="M38" i="4" s="1"/>
  <c r="E42" i="4"/>
  <c r="F42" i="4" s="1"/>
  <c r="G42" i="4" s="1"/>
  <c r="M42" i="4" s="1"/>
  <c r="E46" i="4"/>
  <c r="F46" i="4" s="1"/>
  <c r="G46" i="4" s="1"/>
  <c r="M46" i="4" s="1"/>
  <c r="E50" i="4"/>
  <c r="F50" i="4" s="1"/>
  <c r="G50" i="4" s="1"/>
  <c r="E54" i="4"/>
  <c r="F54" i="4" s="1"/>
  <c r="G54" i="4" s="1"/>
  <c r="M54" i="4" s="1"/>
  <c r="E58" i="4"/>
  <c r="F58" i="4" s="1"/>
  <c r="G58" i="4" s="1"/>
  <c r="M58" i="4" s="1"/>
  <c r="E62" i="4"/>
  <c r="F62" i="4" s="1"/>
  <c r="G62" i="4" s="1"/>
  <c r="M62" i="4" s="1"/>
  <c r="E66" i="4"/>
  <c r="F66" i="4" s="1"/>
  <c r="G66" i="4" s="1"/>
  <c r="E70" i="4"/>
  <c r="F70" i="4" s="1"/>
  <c r="G70" i="4" s="1"/>
  <c r="M70" i="4" s="1"/>
  <c r="E74" i="4"/>
  <c r="F74" i="4" s="1"/>
  <c r="G74" i="4" s="1"/>
  <c r="M74" i="4" s="1"/>
  <c r="E78" i="4"/>
  <c r="F78" i="4" s="1"/>
  <c r="G78" i="4" s="1"/>
  <c r="M78" i="4" s="1"/>
  <c r="E82" i="4"/>
  <c r="F82" i="4" s="1"/>
  <c r="G82" i="4" s="1"/>
  <c r="E86" i="4"/>
  <c r="F86" i="4" s="1"/>
  <c r="G86" i="4" s="1"/>
  <c r="M86" i="4" s="1"/>
  <c r="E90" i="4"/>
  <c r="F90" i="4" s="1"/>
  <c r="G90" i="4" s="1"/>
  <c r="M90" i="4" s="1"/>
  <c r="E94" i="4"/>
  <c r="F94" i="4" s="1"/>
  <c r="G94" i="4" s="1"/>
  <c r="M94" i="4" s="1"/>
  <c r="E98" i="4"/>
  <c r="F98" i="4" s="1"/>
  <c r="G98" i="4" s="1"/>
  <c r="E102" i="4"/>
  <c r="F102" i="4" s="1"/>
  <c r="G102" i="4" s="1"/>
  <c r="M102" i="4" s="1"/>
  <c r="E106" i="4"/>
  <c r="F106" i="4" s="1"/>
  <c r="G106" i="4" s="1"/>
  <c r="M106" i="4" s="1"/>
  <c r="E110" i="4"/>
  <c r="F110" i="4" s="1"/>
  <c r="G110" i="4" s="1"/>
  <c r="M110" i="4" s="1"/>
  <c r="E114" i="4"/>
  <c r="F114" i="4" s="1"/>
  <c r="G114" i="4" s="1"/>
  <c r="E118" i="4"/>
  <c r="F118" i="4" s="1"/>
  <c r="G118" i="4" s="1"/>
  <c r="M118" i="4" s="1"/>
  <c r="E122" i="4"/>
  <c r="F122" i="4" s="1"/>
  <c r="G122" i="4" s="1"/>
  <c r="M122" i="4" s="1"/>
  <c r="E126" i="4"/>
  <c r="F126" i="4" s="1"/>
  <c r="G126" i="4" s="1"/>
  <c r="M126" i="4" s="1"/>
  <c r="E130" i="4"/>
  <c r="F130" i="4" s="1"/>
  <c r="G130" i="4" s="1"/>
  <c r="E134" i="4"/>
  <c r="F134" i="4" s="1"/>
  <c r="G134" i="4" s="1"/>
  <c r="M134" i="4" s="1"/>
  <c r="E138" i="4"/>
  <c r="F138" i="4" s="1"/>
  <c r="G138" i="4" s="1"/>
  <c r="M138" i="4" s="1"/>
  <c r="E142" i="4"/>
  <c r="F142" i="4" s="1"/>
  <c r="G142" i="4" s="1"/>
  <c r="M142" i="4" s="1"/>
  <c r="E146" i="4"/>
  <c r="F146" i="4" s="1"/>
  <c r="G146" i="4" s="1"/>
  <c r="E150" i="4"/>
  <c r="F150" i="4" s="1"/>
  <c r="G150" i="4" s="1"/>
  <c r="M150" i="4" s="1"/>
  <c r="E154" i="4"/>
  <c r="F154" i="4" s="1"/>
  <c r="G154" i="4" s="1"/>
  <c r="M154" i="4" s="1"/>
  <c r="E158" i="4"/>
  <c r="F158" i="4" s="1"/>
  <c r="G158" i="4" s="1"/>
  <c r="M158" i="4" s="1"/>
  <c r="E162" i="4"/>
  <c r="F162" i="4" s="1"/>
  <c r="G162" i="4" s="1"/>
  <c r="E166" i="4"/>
  <c r="F166" i="4" s="1"/>
  <c r="G166" i="4" s="1"/>
  <c r="M166" i="4" s="1"/>
  <c r="E170" i="4"/>
  <c r="F170" i="4" s="1"/>
  <c r="G170" i="4" s="1"/>
  <c r="M170" i="4" s="1"/>
  <c r="E174" i="4"/>
  <c r="F174" i="4" s="1"/>
  <c r="G174" i="4" s="1"/>
  <c r="M174" i="4" s="1"/>
  <c r="E178" i="4"/>
  <c r="F178" i="4" s="1"/>
  <c r="G178" i="4" s="1"/>
  <c r="E182" i="4"/>
  <c r="F182" i="4" s="1"/>
  <c r="G182" i="4" s="1"/>
  <c r="M182" i="4" s="1"/>
  <c r="E186" i="4"/>
  <c r="F186" i="4" s="1"/>
  <c r="G186" i="4" s="1"/>
  <c r="M186" i="4" s="1"/>
  <c r="E190" i="4"/>
  <c r="F190" i="4" s="1"/>
  <c r="G190" i="4" s="1"/>
  <c r="M190" i="4" s="1"/>
  <c r="E194" i="4"/>
  <c r="F194" i="4" s="1"/>
  <c r="G194" i="4" s="1"/>
  <c r="E198" i="4"/>
  <c r="F198" i="4" s="1"/>
  <c r="G198" i="4" s="1"/>
  <c r="M198" i="4" s="1"/>
  <c r="E202" i="4"/>
  <c r="F202" i="4" s="1"/>
  <c r="G202" i="4" s="1"/>
  <c r="M202" i="4" s="1"/>
  <c r="E206" i="4"/>
  <c r="F206" i="4" s="1"/>
  <c r="G206" i="4" s="1"/>
  <c r="M206" i="4" s="1"/>
  <c r="E210" i="4"/>
  <c r="F210" i="4" s="1"/>
  <c r="G210" i="4" s="1"/>
  <c r="E214" i="4"/>
  <c r="F214" i="4" s="1"/>
  <c r="G214" i="4" s="1"/>
  <c r="M214" i="4" s="1"/>
  <c r="E218" i="4"/>
  <c r="F218" i="4" s="1"/>
  <c r="G218" i="4" s="1"/>
  <c r="M218" i="4" s="1"/>
  <c r="E222" i="4"/>
  <c r="F222" i="4" s="1"/>
  <c r="G222" i="4" s="1"/>
  <c r="M222" i="4" s="1"/>
  <c r="E226" i="4"/>
  <c r="F226" i="4" s="1"/>
  <c r="G226" i="4" s="1"/>
  <c r="E230" i="4"/>
  <c r="F230" i="4" s="1"/>
  <c r="G230" i="4" s="1"/>
  <c r="M230" i="4" s="1"/>
  <c r="E234" i="4"/>
  <c r="F234" i="4" s="1"/>
  <c r="G234" i="4" s="1"/>
  <c r="M234" i="4" s="1"/>
  <c r="E238" i="4"/>
  <c r="F238" i="4" s="1"/>
  <c r="G238" i="4" s="1"/>
  <c r="M238" i="4" s="1"/>
  <c r="E242" i="4"/>
  <c r="F242" i="4" s="1"/>
  <c r="G242" i="4" s="1"/>
  <c r="E246" i="4"/>
  <c r="F246" i="4" s="1"/>
  <c r="G246" i="4" s="1"/>
  <c r="M246" i="4" s="1"/>
  <c r="E250" i="4"/>
  <c r="F250" i="4" s="1"/>
  <c r="G250" i="4" s="1"/>
  <c r="M250" i="4" s="1"/>
  <c r="E254" i="4"/>
  <c r="F254" i="4" s="1"/>
  <c r="G254" i="4" s="1"/>
  <c r="M254" i="4" s="1"/>
  <c r="E258" i="4"/>
  <c r="F258" i="4" s="1"/>
  <c r="G258" i="4" s="1"/>
  <c r="E262" i="4"/>
  <c r="F262" i="4" s="1"/>
  <c r="G262" i="4" s="1"/>
  <c r="M262" i="4" s="1"/>
  <c r="E266" i="4"/>
  <c r="F266" i="4" s="1"/>
  <c r="G266" i="4" s="1"/>
  <c r="M266" i="4" s="1"/>
  <c r="E270" i="4"/>
  <c r="F270" i="4" s="1"/>
  <c r="G270" i="4" s="1"/>
  <c r="M270" i="4" s="1"/>
  <c r="E274" i="4"/>
  <c r="F274" i="4" s="1"/>
  <c r="G274" i="4" s="1"/>
  <c r="E278" i="4"/>
  <c r="F278" i="4" s="1"/>
  <c r="G278" i="4" s="1"/>
  <c r="M278" i="4" s="1"/>
  <c r="E282" i="4"/>
  <c r="F282" i="4" s="1"/>
  <c r="G282" i="4" s="1"/>
  <c r="M282" i="4" s="1"/>
  <c r="E286" i="4"/>
  <c r="F286" i="4" s="1"/>
  <c r="G286" i="4" s="1"/>
  <c r="M286" i="4" s="1"/>
  <c r="E290" i="4"/>
  <c r="F290" i="4" s="1"/>
  <c r="G290" i="4" s="1"/>
  <c r="E294" i="4"/>
  <c r="F294" i="4" s="1"/>
  <c r="G294" i="4" s="1"/>
  <c r="M294" i="4" s="1"/>
  <c r="E298" i="4"/>
  <c r="F298" i="4" s="1"/>
  <c r="G298" i="4" s="1"/>
  <c r="M298" i="4" s="1"/>
  <c r="E302" i="4"/>
  <c r="F302" i="4" s="1"/>
  <c r="G302" i="4" s="1"/>
  <c r="M302" i="4" s="1"/>
  <c r="E306" i="4"/>
  <c r="F306" i="4" s="1"/>
  <c r="G306" i="4" s="1"/>
  <c r="E310" i="4"/>
  <c r="F310" i="4" s="1"/>
  <c r="G310" i="4" s="1"/>
  <c r="M310" i="4" s="1"/>
  <c r="E314" i="4"/>
  <c r="F314" i="4" s="1"/>
  <c r="G314" i="4" s="1"/>
  <c r="M314" i="4" s="1"/>
  <c r="E318" i="4"/>
  <c r="F318" i="4" s="1"/>
  <c r="G318" i="4" s="1"/>
  <c r="M318" i="4" s="1"/>
  <c r="E322" i="4"/>
  <c r="F322" i="4" s="1"/>
  <c r="G322" i="4" s="1"/>
  <c r="E11" i="4"/>
  <c r="F11" i="4" s="1"/>
  <c r="G11" i="4" s="1"/>
  <c r="E15" i="4"/>
  <c r="F15" i="4" s="1"/>
  <c r="G15" i="4" s="1"/>
  <c r="M15" i="4" s="1"/>
  <c r="E19" i="4"/>
  <c r="F19" i="4" s="1"/>
  <c r="G19" i="4" s="1"/>
  <c r="M19" i="4" s="1"/>
  <c r="E23" i="4"/>
  <c r="F23" i="4" s="1"/>
  <c r="G23" i="4" s="1"/>
  <c r="E27" i="4"/>
  <c r="F27" i="4" s="1"/>
  <c r="G27" i="4" s="1"/>
  <c r="E31" i="4"/>
  <c r="F31" i="4" s="1"/>
  <c r="G31" i="4" s="1"/>
  <c r="M31" i="4" s="1"/>
  <c r="E35" i="4"/>
  <c r="F35" i="4" s="1"/>
  <c r="G35" i="4" s="1"/>
  <c r="M35" i="4" s="1"/>
  <c r="E39" i="4"/>
  <c r="F39" i="4" s="1"/>
  <c r="G39" i="4" s="1"/>
  <c r="E43" i="4"/>
  <c r="F43" i="4" s="1"/>
  <c r="G43" i="4" s="1"/>
  <c r="M43" i="4" s="1"/>
  <c r="E47" i="4"/>
  <c r="F47" i="4" s="1"/>
  <c r="G47" i="4" s="1"/>
  <c r="M47" i="4" s="1"/>
  <c r="E51" i="4"/>
  <c r="F51" i="4" s="1"/>
  <c r="G51" i="4" s="1"/>
  <c r="M51" i="4" s="1"/>
  <c r="E55" i="4"/>
  <c r="F55" i="4" s="1"/>
  <c r="G55" i="4" s="1"/>
  <c r="E59" i="4"/>
  <c r="F59" i="4" s="1"/>
  <c r="G59" i="4" s="1"/>
  <c r="M59" i="4" s="1"/>
  <c r="E63" i="4"/>
  <c r="F63" i="4" s="1"/>
  <c r="G63" i="4" s="1"/>
  <c r="M63" i="4" s="1"/>
  <c r="E67" i="4"/>
  <c r="F67" i="4" s="1"/>
  <c r="G67" i="4" s="1"/>
  <c r="M67" i="4" s="1"/>
  <c r="E71" i="4"/>
  <c r="F71" i="4" s="1"/>
  <c r="G71" i="4" s="1"/>
  <c r="E75" i="4"/>
  <c r="F75" i="4" s="1"/>
  <c r="G75" i="4" s="1"/>
  <c r="E79" i="4"/>
  <c r="F79" i="4" s="1"/>
  <c r="G79" i="4" s="1"/>
  <c r="M79" i="4" s="1"/>
  <c r="E83" i="4"/>
  <c r="F83" i="4" s="1"/>
  <c r="G83" i="4" s="1"/>
  <c r="M83" i="4" s="1"/>
  <c r="E87" i="4"/>
  <c r="F87" i="4" s="1"/>
  <c r="G87" i="4" s="1"/>
  <c r="E91" i="4"/>
  <c r="F91" i="4" s="1"/>
  <c r="G91" i="4" s="1"/>
  <c r="M91" i="4" s="1"/>
  <c r="E95" i="4"/>
  <c r="F95" i="4" s="1"/>
  <c r="G95" i="4" s="1"/>
  <c r="M95" i="4" s="1"/>
  <c r="E99" i="4"/>
  <c r="F99" i="4" s="1"/>
  <c r="G99" i="4" s="1"/>
  <c r="M99" i="4" s="1"/>
  <c r="E103" i="4"/>
  <c r="F103" i="4" s="1"/>
  <c r="G103" i="4" s="1"/>
  <c r="E107" i="4"/>
  <c r="F107" i="4" s="1"/>
  <c r="G107" i="4" s="1"/>
  <c r="M107" i="4" s="1"/>
  <c r="F111" i="4"/>
  <c r="G111" i="4" s="1"/>
  <c r="M111" i="4" s="1"/>
  <c r="E115" i="4"/>
  <c r="F115" i="4" s="1"/>
  <c r="G115" i="4" s="1"/>
  <c r="M115" i="4" s="1"/>
  <c r="E119" i="4"/>
  <c r="F119" i="4" s="1"/>
  <c r="G119" i="4" s="1"/>
  <c r="E123" i="4"/>
  <c r="F123" i="4" s="1"/>
  <c r="G123" i="4" s="1"/>
  <c r="E127" i="4"/>
  <c r="F127" i="4" s="1"/>
  <c r="G127" i="4" s="1"/>
  <c r="M127" i="4" s="1"/>
  <c r="E131" i="4"/>
  <c r="F131" i="4" s="1"/>
  <c r="G131" i="4" s="1"/>
  <c r="M131" i="4" s="1"/>
  <c r="E135" i="4"/>
  <c r="F135" i="4" s="1"/>
  <c r="G135" i="4" s="1"/>
  <c r="E139" i="4"/>
  <c r="F139" i="4" s="1"/>
  <c r="G139" i="4" s="1"/>
  <c r="M139" i="4" s="1"/>
  <c r="E143" i="4"/>
  <c r="F143" i="4" s="1"/>
  <c r="G143" i="4" s="1"/>
  <c r="M143" i="4" s="1"/>
  <c r="E147" i="4"/>
  <c r="F147" i="4" s="1"/>
  <c r="G147" i="4" s="1"/>
  <c r="M147" i="4" s="1"/>
  <c r="E151" i="4"/>
  <c r="F151" i="4" s="1"/>
  <c r="G151" i="4" s="1"/>
  <c r="E155" i="4"/>
  <c r="F155" i="4" s="1"/>
  <c r="G155" i="4" s="1"/>
  <c r="E159" i="4"/>
  <c r="F159" i="4" s="1"/>
  <c r="G159" i="4" s="1"/>
  <c r="M159" i="4" s="1"/>
  <c r="E163" i="4"/>
  <c r="F163" i="4" s="1"/>
  <c r="G163" i="4" s="1"/>
  <c r="M163" i="4" s="1"/>
  <c r="E167" i="4"/>
  <c r="F167" i="4" s="1"/>
  <c r="G167" i="4" s="1"/>
  <c r="E171" i="4"/>
  <c r="F171" i="4" s="1"/>
  <c r="G171" i="4" s="1"/>
  <c r="E175" i="4"/>
  <c r="F175" i="4" s="1"/>
  <c r="G175" i="4" s="1"/>
  <c r="M175" i="4" s="1"/>
  <c r="E179" i="4"/>
  <c r="F179" i="4" s="1"/>
  <c r="G179" i="4" s="1"/>
  <c r="M179" i="4" s="1"/>
  <c r="E183" i="4"/>
  <c r="F183" i="4" s="1"/>
  <c r="G183" i="4" s="1"/>
  <c r="E187" i="4"/>
  <c r="F187" i="4" s="1"/>
  <c r="G187" i="4" s="1"/>
  <c r="M187" i="4" s="1"/>
  <c r="E191" i="4"/>
  <c r="F191" i="4" s="1"/>
  <c r="G191" i="4" s="1"/>
  <c r="M191" i="4" s="1"/>
  <c r="E195" i="4"/>
  <c r="F195" i="4" s="1"/>
  <c r="G195" i="4" s="1"/>
  <c r="M195" i="4" s="1"/>
  <c r="E199" i="4"/>
  <c r="F199" i="4" s="1"/>
  <c r="G199" i="4" s="1"/>
  <c r="E203" i="4"/>
  <c r="F203" i="4" s="1"/>
  <c r="G203" i="4" s="1"/>
  <c r="E207" i="4"/>
  <c r="F207" i="4" s="1"/>
  <c r="G207" i="4" s="1"/>
  <c r="M207" i="4" s="1"/>
  <c r="E211" i="4"/>
  <c r="F211" i="4" s="1"/>
  <c r="G211" i="4" s="1"/>
  <c r="M211" i="4" s="1"/>
  <c r="E215" i="4"/>
  <c r="F215" i="4" s="1"/>
  <c r="G215" i="4" s="1"/>
  <c r="E219" i="4"/>
  <c r="F219" i="4" s="1"/>
  <c r="G219" i="4" s="1"/>
  <c r="M219" i="4" s="1"/>
  <c r="E223" i="4"/>
  <c r="F223" i="4" s="1"/>
  <c r="G223" i="4" s="1"/>
  <c r="M223" i="4" s="1"/>
  <c r="E227" i="4"/>
  <c r="F227" i="4" s="1"/>
  <c r="G227" i="4" s="1"/>
  <c r="M227" i="4" s="1"/>
  <c r="E231" i="4"/>
  <c r="F231" i="4" s="1"/>
  <c r="G231" i="4" s="1"/>
  <c r="E235" i="4"/>
  <c r="F235" i="4" s="1"/>
  <c r="G235" i="4" s="1"/>
  <c r="E239" i="4"/>
  <c r="F239" i="4" s="1"/>
  <c r="G239" i="4" s="1"/>
  <c r="M239" i="4" s="1"/>
  <c r="E243" i="4"/>
  <c r="F243" i="4" s="1"/>
  <c r="G243" i="4" s="1"/>
  <c r="M243" i="4" s="1"/>
  <c r="E247" i="4"/>
  <c r="F247" i="4" s="1"/>
  <c r="G247" i="4" s="1"/>
  <c r="E251" i="4"/>
  <c r="F251" i="4" s="1"/>
  <c r="G251" i="4" s="1"/>
  <c r="E255" i="4"/>
  <c r="F255" i="4" s="1"/>
  <c r="G255" i="4" s="1"/>
  <c r="M255" i="4" s="1"/>
  <c r="E259" i="4"/>
  <c r="F259" i="4" s="1"/>
  <c r="G259" i="4" s="1"/>
  <c r="M259" i="4" s="1"/>
  <c r="E263" i="4"/>
  <c r="F263" i="4" s="1"/>
  <c r="G263" i="4" s="1"/>
  <c r="E267" i="4"/>
  <c r="F267" i="4" s="1"/>
  <c r="G267" i="4" s="1"/>
  <c r="M267" i="4" s="1"/>
  <c r="E271" i="4"/>
  <c r="F271" i="4" s="1"/>
  <c r="G271" i="4" s="1"/>
  <c r="M271" i="4" s="1"/>
  <c r="E275" i="4"/>
  <c r="F275" i="4" s="1"/>
  <c r="G275" i="4" s="1"/>
  <c r="M275" i="4" s="1"/>
  <c r="E279" i="4"/>
  <c r="F279" i="4" s="1"/>
  <c r="G279" i="4" s="1"/>
  <c r="E283" i="4"/>
  <c r="F283" i="4" s="1"/>
  <c r="G283" i="4" s="1"/>
  <c r="E287" i="4"/>
  <c r="F287" i="4" s="1"/>
  <c r="G287" i="4" s="1"/>
  <c r="M287" i="4" s="1"/>
  <c r="E291" i="4"/>
  <c r="F291" i="4" s="1"/>
  <c r="G291" i="4" s="1"/>
  <c r="M291" i="4" s="1"/>
  <c r="E295" i="4"/>
  <c r="F295" i="4" s="1"/>
  <c r="G295" i="4" s="1"/>
  <c r="E299" i="4"/>
  <c r="F299" i="4" s="1"/>
  <c r="G299" i="4" s="1"/>
  <c r="M299" i="4" s="1"/>
  <c r="E303" i="4"/>
  <c r="F303" i="4" s="1"/>
  <c r="G303" i="4" s="1"/>
  <c r="M303" i="4" s="1"/>
  <c r="E8" i="4"/>
  <c r="F8" i="4" s="1"/>
  <c r="G8" i="4" s="1"/>
  <c r="M8" i="4" s="1"/>
  <c r="E24" i="4"/>
  <c r="F24" i="4" s="1"/>
  <c r="G24" i="4" s="1"/>
  <c r="E40" i="4"/>
  <c r="F40" i="4" s="1"/>
  <c r="G40" i="4" s="1"/>
  <c r="E56" i="4"/>
  <c r="F56" i="4" s="1"/>
  <c r="G56" i="4" s="1"/>
  <c r="E72" i="4"/>
  <c r="F72" i="4" s="1"/>
  <c r="G72" i="4" s="1"/>
  <c r="M72" i="4" s="1"/>
  <c r="E88" i="4"/>
  <c r="F88" i="4" s="1"/>
  <c r="G88" i="4" s="1"/>
  <c r="E104" i="4"/>
  <c r="F104" i="4" s="1"/>
  <c r="G104" i="4" s="1"/>
  <c r="E120" i="4"/>
  <c r="F120" i="4" s="1"/>
  <c r="G120" i="4" s="1"/>
  <c r="E136" i="4"/>
  <c r="F136" i="4" s="1"/>
  <c r="G136" i="4" s="1"/>
  <c r="M136" i="4" s="1"/>
  <c r="E152" i="4"/>
  <c r="F152" i="4" s="1"/>
  <c r="G152" i="4" s="1"/>
  <c r="E168" i="4"/>
  <c r="F168" i="4" s="1"/>
  <c r="G168" i="4" s="1"/>
  <c r="E184" i="4"/>
  <c r="F184" i="4" s="1"/>
  <c r="G184" i="4" s="1"/>
  <c r="E200" i="4"/>
  <c r="F200" i="4" s="1"/>
  <c r="G200" i="4" s="1"/>
  <c r="M200" i="4" s="1"/>
  <c r="E216" i="4"/>
  <c r="F216" i="4" s="1"/>
  <c r="G216" i="4" s="1"/>
  <c r="E232" i="4"/>
  <c r="F232" i="4" s="1"/>
  <c r="G232" i="4" s="1"/>
  <c r="E248" i="4"/>
  <c r="F248" i="4" s="1"/>
  <c r="G248" i="4" s="1"/>
  <c r="E264" i="4"/>
  <c r="F264" i="4" s="1"/>
  <c r="G264" i="4" s="1"/>
  <c r="M264" i="4" s="1"/>
  <c r="E280" i="4"/>
  <c r="F280" i="4" s="1"/>
  <c r="G280" i="4" s="1"/>
  <c r="E296" i="4"/>
  <c r="F296" i="4" s="1"/>
  <c r="G296" i="4" s="1"/>
  <c r="E308" i="4"/>
  <c r="F308" i="4" s="1"/>
  <c r="G308" i="4" s="1"/>
  <c r="M308" i="4" s="1"/>
  <c r="E316" i="4"/>
  <c r="F316" i="4" s="1"/>
  <c r="G316" i="4" s="1"/>
  <c r="M316" i="4" s="1"/>
  <c r="E324" i="4"/>
  <c r="F324" i="4" s="1"/>
  <c r="G324" i="4" s="1"/>
  <c r="E330" i="4"/>
  <c r="F330" i="4" s="1"/>
  <c r="G330" i="4" s="1"/>
  <c r="M330" i="4" s="1"/>
  <c r="E335" i="4"/>
  <c r="F335" i="4" s="1"/>
  <c r="G335" i="4" s="1"/>
  <c r="M335" i="4" s="1"/>
  <c r="E340" i="4"/>
  <c r="F340" i="4" s="1"/>
  <c r="G340" i="4" s="1"/>
  <c r="M340" i="4" s="1"/>
  <c r="E345" i="4"/>
  <c r="F345" i="4" s="1"/>
  <c r="G345" i="4" s="1"/>
  <c r="E349" i="4"/>
  <c r="F349" i="4" s="1"/>
  <c r="G349" i="4" s="1"/>
  <c r="E353" i="4"/>
  <c r="F353" i="4" s="1"/>
  <c r="G353" i="4" s="1"/>
  <c r="E357" i="4"/>
  <c r="F357" i="4" s="1"/>
  <c r="G357" i="4" s="1"/>
  <c r="M357" i="4" s="1"/>
  <c r="E361" i="4"/>
  <c r="F361" i="4" s="1"/>
  <c r="G361" i="4" s="1"/>
  <c r="E365" i="4"/>
  <c r="F365" i="4" s="1"/>
  <c r="G365" i="4" s="1"/>
  <c r="E369" i="4"/>
  <c r="F369" i="4" s="1"/>
  <c r="G369" i="4" s="1"/>
  <c r="E373" i="4"/>
  <c r="F373" i="4" s="1"/>
  <c r="G373" i="4" s="1"/>
  <c r="M373" i="4" s="1"/>
  <c r="E377" i="4"/>
  <c r="F377" i="4" s="1"/>
  <c r="G377" i="4" s="1"/>
  <c r="E381" i="4"/>
  <c r="F381" i="4" s="1"/>
  <c r="G381" i="4" s="1"/>
  <c r="E385" i="4"/>
  <c r="F385" i="4" s="1"/>
  <c r="G385" i="4" s="1"/>
  <c r="E389" i="4"/>
  <c r="F389" i="4" s="1"/>
  <c r="G389" i="4" s="1"/>
  <c r="M389" i="4" s="1"/>
  <c r="E393" i="4"/>
  <c r="F393" i="4" s="1"/>
  <c r="G393" i="4" s="1"/>
  <c r="E397" i="4"/>
  <c r="F397" i="4" s="1"/>
  <c r="G397" i="4" s="1"/>
  <c r="E401" i="4"/>
  <c r="F401" i="4" s="1"/>
  <c r="G401" i="4" s="1"/>
  <c r="E405" i="4"/>
  <c r="F405" i="4" s="1"/>
  <c r="G405" i="4" s="1"/>
  <c r="M405" i="4" s="1"/>
  <c r="E409" i="4"/>
  <c r="F409" i="4" s="1"/>
  <c r="G409" i="4" s="1"/>
  <c r="E413" i="4"/>
  <c r="F413" i="4" s="1"/>
  <c r="G413" i="4" s="1"/>
  <c r="E417" i="4"/>
  <c r="F417" i="4" s="1"/>
  <c r="G417" i="4" s="1"/>
  <c r="E421" i="4"/>
  <c r="F421" i="4" s="1"/>
  <c r="G421" i="4" s="1"/>
  <c r="M421" i="4" s="1"/>
  <c r="E425" i="4"/>
  <c r="F425" i="4" s="1"/>
  <c r="G425" i="4" s="1"/>
  <c r="E429" i="4"/>
  <c r="F429" i="4" s="1"/>
  <c r="G429" i="4" s="1"/>
  <c r="E433" i="4"/>
  <c r="F433" i="4" s="1"/>
  <c r="G433" i="4" s="1"/>
  <c r="E437" i="4"/>
  <c r="F437" i="4" s="1"/>
  <c r="G437" i="4" s="1"/>
  <c r="M437" i="4" s="1"/>
  <c r="E441" i="4"/>
  <c r="F441" i="4" s="1"/>
  <c r="G441" i="4" s="1"/>
  <c r="E445" i="4"/>
  <c r="F445" i="4" s="1"/>
  <c r="G445" i="4" s="1"/>
  <c r="E449" i="4"/>
  <c r="F449" i="4" s="1"/>
  <c r="G449" i="4" s="1"/>
  <c r="E453" i="4"/>
  <c r="F453" i="4" s="1"/>
  <c r="G453" i="4" s="1"/>
  <c r="M453" i="4" s="1"/>
  <c r="E457" i="4"/>
  <c r="F457" i="4" s="1"/>
  <c r="G457" i="4" s="1"/>
  <c r="E461" i="4"/>
  <c r="F461" i="4" s="1"/>
  <c r="G461" i="4" s="1"/>
  <c r="E465" i="4"/>
  <c r="F465" i="4" s="1"/>
  <c r="G465" i="4" s="1"/>
  <c r="E469" i="4"/>
  <c r="F469" i="4" s="1"/>
  <c r="G469" i="4" s="1"/>
  <c r="M469" i="4" s="1"/>
  <c r="E473" i="4"/>
  <c r="F473" i="4" s="1"/>
  <c r="G473" i="4" s="1"/>
  <c r="E477" i="4"/>
  <c r="F477" i="4" s="1"/>
  <c r="G477" i="4" s="1"/>
  <c r="E481" i="4"/>
  <c r="F481" i="4" s="1"/>
  <c r="G481" i="4" s="1"/>
  <c r="E485" i="4"/>
  <c r="F485" i="4" s="1"/>
  <c r="G485" i="4" s="1"/>
  <c r="M485" i="4" s="1"/>
  <c r="E489" i="4"/>
  <c r="F489" i="4" s="1"/>
  <c r="G489" i="4" s="1"/>
  <c r="E493" i="4"/>
  <c r="F493" i="4" s="1"/>
  <c r="G493" i="4" s="1"/>
  <c r="E497" i="4"/>
  <c r="F497" i="4" s="1"/>
  <c r="G497" i="4" s="1"/>
  <c r="E501" i="4"/>
  <c r="F501" i="4" s="1"/>
  <c r="G501" i="4" s="1"/>
  <c r="M501" i="4" s="1"/>
  <c r="E505" i="4"/>
  <c r="F505" i="4" s="1"/>
  <c r="G505" i="4" s="1"/>
  <c r="E509" i="4"/>
  <c r="F509" i="4" s="1"/>
  <c r="G509" i="4" s="1"/>
  <c r="E513" i="4"/>
  <c r="F513" i="4" s="1"/>
  <c r="G513" i="4" s="1"/>
  <c r="E517" i="4"/>
  <c r="F517" i="4" s="1"/>
  <c r="G517" i="4" s="1"/>
  <c r="M517" i="4" s="1"/>
  <c r="E521" i="4"/>
  <c r="F521" i="4" s="1"/>
  <c r="G521" i="4" s="1"/>
  <c r="E525" i="4"/>
  <c r="F525" i="4" s="1"/>
  <c r="G525" i="4" s="1"/>
  <c r="M525" i="4" s="1"/>
  <c r="E529" i="4"/>
  <c r="F529" i="4" s="1"/>
  <c r="G529" i="4" s="1"/>
  <c r="M529" i="4" s="1"/>
  <c r="E533" i="4"/>
  <c r="F533" i="4" s="1"/>
  <c r="G533" i="4" s="1"/>
  <c r="M533" i="4" s="1"/>
  <c r="E537" i="4"/>
  <c r="F537" i="4" s="1"/>
  <c r="G537" i="4" s="1"/>
  <c r="M537" i="4" s="1"/>
  <c r="E541" i="4"/>
  <c r="F541" i="4" s="1"/>
  <c r="G541" i="4" s="1"/>
  <c r="M541" i="4" s="1"/>
  <c r="E545" i="4"/>
  <c r="F545" i="4" s="1"/>
  <c r="G545" i="4" s="1"/>
  <c r="E549" i="4"/>
  <c r="F549" i="4" s="1"/>
  <c r="G549" i="4" s="1"/>
  <c r="M549" i="4" s="1"/>
  <c r="E553" i="4"/>
  <c r="F553" i="4" s="1"/>
  <c r="G553" i="4" s="1"/>
  <c r="E557" i="4"/>
  <c r="F557" i="4" s="1"/>
  <c r="G557" i="4" s="1"/>
  <c r="E561" i="4"/>
  <c r="F561" i="4" s="1"/>
  <c r="G561" i="4" s="1"/>
  <c r="M561" i="4" s="1"/>
  <c r="E565" i="4"/>
  <c r="F565" i="4" s="1"/>
  <c r="G565" i="4" s="1"/>
  <c r="M565" i="4" s="1"/>
  <c r="E569" i="4"/>
  <c r="F569" i="4" s="1"/>
  <c r="G569" i="4" s="1"/>
  <c r="M569" i="4" s="1"/>
  <c r="E573" i="4"/>
  <c r="F573" i="4" s="1"/>
  <c r="G573" i="4" s="1"/>
  <c r="E577" i="4"/>
  <c r="F577" i="4" s="1"/>
  <c r="G577" i="4" s="1"/>
  <c r="E581" i="4"/>
  <c r="F581" i="4" s="1"/>
  <c r="G581" i="4" s="1"/>
  <c r="M581" i="4" s="1"/>
  <c r="E585" i="4"/>
  <c r="F585" i="4" s="1"/>
  <c r="G585" i="4" s="1"/>
  <c r="M585" i="4" s="1"/>
  <c r="E589" i="4"/>
  <c r="F589" i="4" s="1"/>
  <c r="G589" i="4" s="1"/>
  <c r="M589" i="4" s="1"/>
  <c r="E593" i="4"/>
  <c r="F593" i="4" s="1"/>
  <c r="G593" i="4" s="1"/>
  <c r="M593" i="4" s="1"/>
  <c r="E597" i="4"/>
  <c r="F597" i="4" s="1"/>
  <c r="G597" i="4" s="1"/>
  <c r="M597" i="4" s="1"/>
  <c r="E601" i="4"/>
  <c r="F601" i="4" s="1"/>
  <c r="G601" i="4" s="1"/>
  <c r="E605" i="4"/>
  <c r="F605" i="4" s="1"/>
  <c r="G605" i="4" s="1"/>
  <c r="M605" i="4" s="1"/>
  <c r="E609" i="4"/>
  <c r="F609" i="4" s="1"/>
  <c r="G609" i="4" s="1"/>
  <c r="E613" i="4"/>
  <c r="F613" i="4" s="1"/>
  <c r="G613" i="4" s="1"/>
  <c r="M613" i="4" s="1"/>
  <c r="E617" i="4"/>
  <c r="F617" i="4" s="1"/>
  <c r="G617" i="4" s="1"/>
  <c r="E621" i="4"/>
  <c r="F621" i="4" s="1"/>
  <c r="G621" i="4" s="1"/>
  <c r="E625" i="4"/>
  <c r="F625" i="4" s="1"/>
  <c r="G625" i="4" s="1"/>
  <c r="M625" i="4" s="1"/>
  <c r="E629" i="4"/>
  <c r="F629" i="4" s="1"/>
  <c r="G629" i="4" s="1"/>
  <c r="M629" i="4" s="1"/>
  <c r="E12" i="4"/>
  <c r="F12" i="4" s="1"/>
  <c r="G12" i="4" s="1"/>
  <c r="M12" i="4" s="1"/>
  <c r="E28" i="4"/>
  <c r="F28" i="4" s="1"/>
  <c r="G28" i="4" s="1"/>
  <c r="M28" i="4" s="1"/>
  <c r="E44" i="4"/>
  <c r="F44" i="4" s="1"/>
  <c r="G44" i="4" s="1"/>
  <c r="M44" i="4" s="1"/>
  <c r="E60" i="4"/>
  <c r="F60" i="4" s="1"/>
  <c r="G60" i="4" s="1"/>
  <c r="M60" i="4" s="1"/>
  <c r="E76" i="4"/>
  <c r="F76" i="4" s="1"/>
  <c r="G76" i="4" s="1"/>
  <c r="M76" i="4" s="1"/>
  <c r="E92" i="4"/>
  <c r="F92" i="4" s="1"/>
  <c r="G92" i="4" s="1"/>
  <c r="M92" i="4" s="1"/>
  <c r="E108" i="4"/>
  <c r="F108" i="4" s="1"/>
  <c r="G108" i="4" s="1"/>
  <c r="M108" i="4" s="1"/>
  <c r="E124" i="4"/>
  <c r="F124" i="4" s="1"/>
  <c r="G124" i="4" s="1"/>
  <c r="M124" i="4" s="1"/>
  <c r="E140" i="4"/>
  <c r="F140" i="4" s="1"/>
  <c r="G140" i="4" s="1"/>
  <c r="M140" i="4" s="1"/>
  <c r="E156" i="4"/>
  <c r="F156" i="4" s="1"/>
  <c r="G156" i="4" s="1"/>
  <c r="M156" i="4" s="1"/>
  <c r="E172" i="4"/>
  <c r="F172" i="4" s="1"/>
  <c r="G172" i="4" s="1"/>
  <c r="M172" i="4" s="1"/>
  <c r="E188" i="4"/>
  <c r="F188" i="4" s="1"/>
  <c r="G188" i="4" s="1"/>
  <c r="M188" i="4" s="1"/>
  <c r="E204" i="4"/>
  <c r="F204" i="4" s="1"/>
  <c r="G204" i="4" s="1"/>
  <c r="M204" i="4" s="1"/>
  <c r="E220" i="4"/>
  <c r="F220" i="4" s="1"/>
  <c r="G220" i="4" s="1"/>
  <c r="M220" i="4" s="1"/>
  <c r="E236" i="4"/>
  <c r="F236" i="4" s="1"/>
  <c r="G236" i="4" s="1"/>
  <c r="M236" i="4" s="1"/>
  <c r="E252" i="4"/>
  <c r="F252" i="4" s="1"/>
  <c r="G252" i="4" s="1"/>
  <c r="M252" i="4" s="1"/>
  <c r="E268" i="4"/>
  <c r="F268" i="4" s="1"/>
  <c r="G268" i="4" s="1"/>
  <c r="M268" i="4" s="1"/>
  <c r="E284" i="4"/>
  <c r="F284" i="4" s="1"/>
  <c r="G284" i="4" s="1"/>
  <c r="M284" i="4" s="1"/>
  <c r="E300" i="4"/>
  <c r="F300" i="4" s="1"/>
  <c r="G300" i="4" s="1"/>
  <c r="M300" i="4" s="1"/>
  <c r="E311" i="4"/>
  <c r="F311" i="4" s="1"/>
  <c r="G311" i="4" s="1"/>
  <c r="M311" i="4" s="1"/>
  <c r="E319" i="4"/>
  <c r="F319" i="4" s="1"/>
  <c r="G319" i="4" s="1"/>
  <c r="E326" i="4"/>
  <c r="F326" i="4" s="1"/>
  <c r="G326" i="4" s="1"/>
  <c r="M326" i="4" s="1"/>
  <c r="E331" i="4"/>
  <c r="F331" i="4" s="1"/>
  <c r="G331" i="4" s="1"/>
  <c r="E336" i="4"/>
  <c r="F336" i="4" s="1"/>
  <c r="G336" i="4" s="1"/>
  <c r="M336" i="4" s="1"/>
  <c r="E342" i="4"/>
  <c r="F342" i="4" s="1"/>
  <c r="G342" i="4" s="1"/>
  <c r="M342" i="4" s="1"/>
  <c r="E346" i="4"/>
  <c r="F346" i="4" s="1"/>
  <c r="G346" i="4" s="1"/>
  <c r="M346" i="4" s="1"/>
  <c r="E350" i="4"/>
  <c r="F350" i="4" s="1"/>
  <c r="G350" i="4" s="1"/>
  <c r="M350" i="4" s="1"/>
  <c r="E354" i="4"/>
  <c r="F354" i="4" s="1"/>
  <c r="G354" i="4" s="1"/>
  <c r="M354" i="4" s="1"/>
  <c r="E358" i="4"/>
  <c r="F358" i="4" s="1"/>
  <c r="G358" i="4" s="1"/>
  <c r="E362" i="4"/>
  <c r="F362" i="4" s="1"/>
  <c r="G362" i="4" s="1"/>
  <c r="E366" i="4"/>
  <c r="F366" i="4" s="1"/>
  <c r="G366" i="4" s="1"/>
  <c r="E370" i="4"/>
  <c r="F370" i="4" s="1"/>
  <c r="G370" i="4" s="1"/>
  <c r="M370" i="4" s="1"/>
  <c r="E374" i="4"/>
  <c r="F374" i="4" s="1"/>
  <c r="G374" i="4" s="1"/>
  <c r="E378" i="4"/>
  <c r="F378" i="4" s="1"/>
  <c r="G378" i="4" s="1"/>
  <c r="E382" i="4"/>
  <c r="F382" i="4" s="1"/>
  <c r="G382" i="4" s="1"/>
  <c r="E386" i="4"/>
  <c r="F386" i="4" s="1"/>
  <c r="G386" i="4" s="1"/>
  <c r="M386" i="4" s="1"/>
  <c r="E390" i="4"/>
  <c r="F390" i="4" s="1"/>
  <c r="G390" i="4" s="1"/>
  <c r="M390" i="4" s="1"/>
  <c r="E394" i="4"/>
  <c r="F394" i="4" s="1"/>
  <c r="G394" i="4" s="1"/>
  <c r="M394" i="4" s="1"/>
  <c r="E398" i="4"/>
  <c r="F398" i="4" s="1"/>
  <c r="G398" i="4" s="1"/>
  <c r="M398" i="4" s="1"/>
  <c r="E402" i="4"/>
  <c r="F402" i="4" s="1"/>
  <c r="G402" i="4" s="1"/>
  <c r="M402" i="4" s="1"/>
  <c r="E406" i="4"/>
  <c r="F406" i="4" s="1"/>
  <c r="G406" i="4" s="1"/>
  <c r="E410" i="4"/>
  <c r="F410" i="4" s="1"/>
  <c r="G410" i="4" s="1"/>
  <c r="M410" i="4" s="1"/>
  <c r="E414" i="4"/>
  <c r="F414" i="4" s="1"/>
  <c r="G414" i="4" s="1"/>
  <c r="E418" i="4"/>
  <c r="F418" i="4" s="1"/>
  <c r="G418" i="4" s="1"/>
  <c r="M418" i="4" s="1"/>
  <c r="E422" i="4"/>
  <c r="F422" i="4" s="1"/>
  <c r="G422" i="4" s="1"/>
  <c r="E426" i="4"/>
  <c r="F426" i="4" s="1"/>
  <c r="G426" i="4" s="1"/>
  <c r="M426" i="4" s="1"/>
  <c r="E430" i="4"/>
  <c r="F430" i="4" s="1"/>
  <c r="G430" i="4" s="1"/>
  <c r="E434" i="4"/>
  <c r="F434" i="4" s="1"/>
  <c r="G434" i="4" s="1"/>
  <c r="M434" i="4" s="1"/>
  <c r="E438" i="4"/>
  <c r="F438" i="4" s="1"/>
  <c r="G438" i="4" s="1"/>
  <c r="E442" i="4"/>
  <c r="F442" i="4" s="1"/>
  <c r="G442" i="4" s="1"/>
  <c r="M442" i="4" s="1"/>
  <c r="E446" i="4"/>
  <c r="F446" i="4" s="1"/>
  <c r="G446" i="4" s="1"/>
  <c r="M446" i="4" s="1"/>
  <c r="E450" i="4"/>
  <c r="F450" i="4" s="1"/>
  <c r="G450" i="4" s="1"/>
  <c r="M450" i="4" s="1"/>
  <c r="E454" i="4"/>
  <c r="F454" i="4" s="1"/>
  <c r="G454" i="4" s="1"/>
  <c r="M454" i="4" s="1"/>
  <c r="E458" i="4"/>
  <c r="F458" i="4" s="1"/>
  <c r="G458" i="4" s="1"/>
  <c r="E462" i="4"/>
  <c r="F462" i="4" s="1"/>
  <c r="G462" i="4" s="1"/>
  <c r="M462" i="4" s="1"/>
  <c r="E466" i="4"/>
  <c r="F466" i="4" s="1"/>
  <c r="G466" i="4" s="1"/>
  <c r="M466" i="4" s="1"/>
  <c r="E470" i="4"/>
  <c r="F470" i="4" s="1"/>
  <c r="G470" i="4" s="1"/>
  <c r="E474" i="4"/>
  <c r="F474" i="4" s="1"/>
  <c r="G474" i="4" s="1"/>
  <c r="E478" i="4"/>
  <c r="F478" i="4" s="1"/>
  <c r="G478" i="4" s="1"/>
  <c r="E482" i="4"/>
  <c r="F482" i="4" s="1"/>
  <c r="G482" i="4" s="1"/>
  <c r="M482" i="4" s="1"/>
  <c r="E486" i="4"/>
  <c r="F486" i="4" s="1"/>
  <c r="G486" i="4" s="1"/>
  <c r="E490" i="4"/>
  <c r="F490" i="4" s="1"/>
  <c r="G490" i="4" s="1"/>
  <c r="M490" i="4" s="1"/>
  <c r="E494" i="4"/>
  <c r="F494" i="4" s="1"/>
  <c r="G494" i="4" s="1"/>
  <c r="E498" i="4"/>
  <c r="F498" i="4" s="1"/>
  <c r="G498" i="4" s="1"/>
  <c r="M498" i="4" s="1"/>
  <c r="E502" i="4"/>
  <c r="F502" i="4" s="1"/>
  <c r="G502" i="4" s="1"/>
  <c r="M502" i="4" s="1"/>
  <c r="E506" i="4"/>
  <c r="F506" i="4" s="1"/>
  <c r="G506" i="4" s="1"/>
  <c r="E510" i="4"/>
  <c r="F510" i="4" s="1"/>
  <c r="G510" i="4" s="1"/>
  <c r="E514" i="4"/>
  <c r="F514" i="4" s="1"/>
  <c r="G514" i="4" s="1"/>
  <c r="M514" i="4" s="1"/>
  <c r="E518" i="4"/>
  <c r="F518" i="4" s="1"/>
  <c r="G518" i="4" s="1"/>
  <c r="M518" i="4" s="1"/>
  <c r="E522" i="4"/>
  <c r="F522" i="4" s="1"/>
  <c r="G522" i="4" s="1"/>
  <c r="M522" i="4" s="1"/>
  <c r="E526" i="4"/>
  <c r="F526" i="4" s="1"/>
  <c r="G526" i="4" s="1"/>
  <c r="M526" i="4" s="1"/>
  <c r="E530" i="4"/>
  <c r="F530" i="4" s="1"/>
  <c r="G530" i="4" s="1"/>
  <c r="M530" i="4" s="1"/>
  <c r="E534" i="4"/>
  <c r="F534" i="4" s="1"/>
  <c r="G534" i="4" s="1"/>
  <c r="M534" i="4" s="1"/>
  <c r="E538" i="4"/>
  <c r="F538" i="4" s="1"/>
  <c r="G538" i="4" s="1"/>
  <c r="M538" i="4" s="1"/>
  <c r="E542" i="4"/>
  <c r="F542" i="4" s="1"/>
  <c r="G542" i="4" s="1"/>
  <c r="M542" i="4" s="1"/>
  <c r="E546" i="4"/>
  <c r="F546" i="4" s="1"/>
  <c r="G546" i="4" s="1"/>
  <c r="M546" i="4" s="1"/>
  <c r="E550" i="4"/>
  <c r="F550" i="4" s="1"/>
  <c r="G550" i="4" s="1"/>
  <c r="M550" i="4" s="1"/>
  <c r="E554" i="4"/>
  <c r="F554" i="4" s="1"/>
  <c r="G554" i="4" s="1"/>
  <c r="M554" i="4" s="1"/>
  <c r="E558" i="4"/>
  <c r="F558" i="4" s="1"/>
  <c r="G558" i="4" s="1"/>
  <c r="M558" i="4" s="1"/>
  <c r="E562" i="4"/>
  <c r="F562" i="4" s="1"/>
  <c r="G562" i="4" s="1"/>
  <c r="M562" i="4" s="1"/>
  <c r="E566" i="4"/>
  <c r="F566" i="4" s="1"/>
  <c r="G566" i="4" s="1"/>
  <c r="M566" i="4" s="1"/>
  <c r="E570" i="4"/>
  <c r="F570" i="4" s="1"/>
  <c r="G570" i="4" s="1"/>
  <c r="M570" i="4" s="1"/>
  <c r="E574" i="4"/>
  <c r="F574" i="4" s="1"/>
  <c r="G574" i="4" s="1"/>
  <c r="M574" i="4" s="1"/>
  <c r="E578" i="4"/>
  <c r="F578" i="4" s="1"/>
  <c r="G578" i="4" s="1"/>
  <c r="M578" i="4" s="1"/>
  <c r="E582" i="4"/>
  <c r="F582" i="4" s="1"/>
  <c r="G582" i="4" s="1"/>
  <c r="M582" i="4" s="1"/>
  <c r="E16" i="4"/>
  <c r="F16" i="4" s="1"/>
  <c r="G16" i="4" s="1"/>
  <c r="M16" i="4" s="1"/>
  <c r="E48" i="4"/>
  <c r="F48" i="4" s="1"/>
  <c r="G48" i="4" s="1"/>
  <c r="M48" i="4" s="1"/>
  <c r="E80" i="4"/>
  <c r="F80" i="4" s="1"/>
  <c r="G80" i="4" s="1"/>
  <c r="M80" i="4" s="1"/>
  <c r="E112" i="4"/>
  <c r="F112" i="4" s="1"/>
  <c r="G112" i="4" s="1"/>
  <c r="M112" i="4" s="1"/>
  <c r="E144" i="4"/>
  <c r="F144" i="4" s="1"/>
  <c r="G144" i="4" s="1"/>
  <c r="M144" i="4" s="1"/>
  <c r="E176" i="4"/>
  <c r="F176" i="4" s="1"/>
  <c r="G176" i="4" s="1"/>
  <c r="M176" i="4" s="1"/>
  <c r="E208" i="4"/>
  <c r="F208" i="4" s="1"/>
  <c r="G208" i="4" s="1"/>
  <c r="M208" i="4" s="1"/>
  <c r="E240" i="4"/>
  <c r="F240" i="4" s="1"/>
  <c r="G240" i="4" s="1"/>
  <c r="M240" i="4" s="1"/>
  <c r="E272" i="4"/>
  <c r="F272" i="4" s="1"/>
  <c r="G272" i="4" s="1"/>
  <c r="M272" i="4" s="1"/>
  <c r="E304" i="4"/>
  <c r="F304" i="4" s="1"/>
  <c r="G304" i="4" s="1"/>
  <c r="E320" i="4"/>
  <c r="F320" i="4" s="1"/>
  <c r="G320" i="4" s="1"/>
  <c r="M320" i="4" s="1"/>
  <c r="E332" i="4"/>
  <c r="F332" i="4" s="1"/>
  <c r="G332" i="4" s="1"/>
  <c r="M332" i="4" s="1"/>
  <c r="E343" i="4"/>
  <c r="F343" i="4" s="1"/>
  <c r="G343" i="4" s="1"/>
  <c r="M343" i="4" s="1"/>
  <c r="E351" i="4"/>
  <c r="F351" i="4" s="1"/>
  <c r="G351" i="4" s="1"/>
  <c r="E359" i="4"/>
  <c r="F359" i="4" s="1"/>
  <c r="G359" i="4" s="1"/>
  <c r="M359" i="4" s="1"/>
  <c r="E367" i="4"/>
  <c r="F367" i="4" s="1"/>
  <c r="G367" i="4" s="1"/>
  <c r="E375" i="4"/>
  <c r="F375" i="4" s="1"/>
  <c r="G375" i="4" s="1"/>
  <c r="E383" i="4"/>
  <c r="F383" i="4" s="1"/>
  <c r="G383" i="4" s="1"/>
  <c r="E391" i="4"/>
  <c r="F391" i="4" s="1"/>
  <c r="G391" i="4" s="1"/>
  <c r="M391" i="4" s="1"/>
  <c r="E399" i="4"/>
  <c r="F399" i="4" s="1"/>
  <c r="G399" i="4" s="1"/>
  <c r="M399" i="4" s="1"/>
  <c r="E407" i="4"/>
  <c r="F407" i="4" s="1"/>
  <c r="G407" i="4" s="1"/>
  <c r="M407" i="4" s="1"/>
  <c r="E415" i="4"/>
  <c r="F415" i="4" s="1"/>
  <c r="G415" i="4" s="1"/>
  <c r="E423" i="4"/>
  <c r="F423" i="4" s="1"/>
  <c r="G423" i="4" s="1"/>
  <c r="M423" i="4" s="1"/>
  <c r="E431" i="4"/>
  <c r="F431" i="4" s="1"/>
  <c r="G431" i="4" s="1"/>
  <c r="E439" i="4"/>
  <c r="F439" i="4" s="1"/>
  <c r="G439" i="4" s="1"/>
  <c r="E447" i="4"/>
  <c r="F447" i="4" s="1"/>
  <c r="G447" i="4" s="1"/>
  <c r="M447" i="4" s="1"/>
  <c r="E455" i="4"/>
  <c r="F455" i="4" s="1"/>
  <c r="G455" i="4" s="1"/>
  <c r="M455" i="4" s="1"/>
  <c r="E463" i="4"/>
  <c r="F463" i="4" s="1"/>
  <c r="G463" i="4" s="1"/>
  <c r="E471" i="4"/>
  <c r="F471" i="4" s="1"/>
  <c r="G471" i="4" s="1"/>
  <c r="M471" i="4" s="1"/>
  <c r="E479" i="4"/>
  <c r="F479" i="4" s="1"/>
  <c r="G479" i="4" s="1"/>
  <c r="M479" i="4" s="1"/>
  <c r="E487" i="4"/>
  <c r="F487" i="4" s="1"/>
  <c r="G487" i="4" s="1"/>
  <c r="M487" i="4" s="1"/>
  <c r="E495" i="4"/>
  <c r="F495" i="4" s="1"/>
  <c r="G495" i="4" s="1"/>
  <c r="E503" i="4"/>
  <c r="F503" i="4" s="1"/>
  <c r="G503" i="4" s="1"/>
  <c r="E511" i="4"/>
  <c r="F511" i="4" s="1"/>
  <c r="G511" i="4" s="1"/>
  <c r="E519" i="4"/>
  <c r="F519" i="4" s="1"/>
  <c r="G519" i="4" s="1"/>
  <c r="M519" i="4" s="1"/>
  <c r="E527" i="4"/>
  <c r="F527" i="4" s="1"/>
  <c r="G527" i="4" s="1"/>
  <c r="E535" i="4"/>
  <c r="F535" i="4" s="1"/>
  <c r="G535" i="4" s="1"/>
  <c r="E543" i="4"/>
  <c r="F543" i="4" s="1"/>
  <c r="G543" i="4" s="1"/>
  <c r="M543" i="4" s="1"/>
  <c r="E551" i="4"/>
  <c r="F551" i="4" s="1"/>
  <c r="G551" i="4" s="1"/>
  <c r="M551" i="4" s="1"/>
  <c r="E559" i="4"/>
  <c r="F559" i="4" s="1"/>
  <c r="G559" i="4" s="1"/>
  <c r="E567" i="4"/>
  <c r="F567" i="4" s="1"/>
  <c r="G567" i="4" s="1"/>
  <c r="M567" i="4" s="1"/>
  <c r="E575" i="4"/>
  <c r="F575" i="4" s="1"/>
  <c r="G575" i="4" s="1"/>
  <c r="E583" i="4"/>
  <c r="F583" i="4" s="1"/>
  <c r="G583" i="4" s="1"/>
  <c r="M583" i="4" s="1"/>
  <c r="E588" i="4"/>
  <c r="F588" i="4" s="1"/>
  <c r="G588" i="4" s="1"/>
  <c r="E594" i="4"/>
  <c r="F594" i="4" s="1"/>
  <c r="G594" i="4" s="1"/>
  <c r="E599" i="4"/>
  <c r="F599" i="4" s="1"/>
  <c r="G599" i="4" s="1"/>
  <c r="E604" i="4"/>
  <c r="F604" i="4" s="1"/>
  <c r="G604" i="4" s="1"/>
  <c r="M604" i="4" s="1"/>
  <c r="E610" i="4"/>
  <c r="F610" i="4" s="1"/>
  <c r="G610" i="4" s="1"/>
  <c r="E615" i="4"/>
  <c r="F615" i="4" s="1"/>
  <c r="G615" i="4" s="1"/>
  <c r="E620" i="4"/>
  <c r="F620" i="4" s="1"/>
  <c r="G620" i="4" s="1"/>
  <c r="E626" i="4"/>
  <c r="F626" i="4" s="1"/>
  <c r="G626" i="4" s="1"/>
  <c r="M626" i="4" s="1"/>
  <c r="E631" i="4"/>
  <c r="F631" i="4" s="1"/>
  <c r="G631" i="4" s="1"/>
  <c r="E635" i="4"/>
  <c r="F635" i="4" s="1"/>
  <c r="G635" i="4" s="1"/>
  <c r="E639" i="4"/>
  <c r="F639" i="4" s="1"/>
  <c r="G639" i="4" s="1"/>
  <c r="E643" i="4"/>
  <c r="F643" i="4" s="1"/>
  <c r="G643" i="4" s="1"/>
  <c r="M643" i="4" s="1"/>
  <c r="E647" i="4"/>
  <c r="F647" i="4" s="1"/>
  <c r="G647" i="4" s="1"/>
  <c r="M647" i="4" s="1"/>
  <c r="E651" i="4"/>
  <c r="F651" i="4" s="1"/>
  <c r="G651" i="4" s="1"/>
  <c r="E655" i="4"/>
  <c r="F655" i="4" s="1"/>
  <c r="G655" i="4" s="1"/>
  <c r="M655" i="4" s="1"/>
  <c r="E659" i="4"/>
  <c r="F659" i="4" s="1"/>
  <c r="G659" i="4" s="1"/>
  <c r="M659" i="4" s="1"/>
  <c r="E663" i="4"/>
  <c r="F663" i="4" s="1"/>
  <c r="G663" i="4" s="1"/>
  <c r="E667" i="4"/>
  <c r="F667" i="4" s="1"/>
  <c r="G667" i="4" s="1"/>
  <c r="M667" i="4" s="1"/>
  <c r="E671" i="4"/>
  <c r="F671" i="4" s="1"/>
  <c r="G671" i="4" s="1"/>
  <c r="M671" i="4" s="1"/>
  <c r="E675" i="4"/>
  <c r="F675" i="4" s="1"/>
  <c r="G675" i="4" s="1"/>
  <c r="M675" i="4" s="1"/>
  <c r="E679" i="4"/>
  <c r="F679" i="4" s="1"/>
  <c r="G679" i="4" s="1"/>
  <c r="E683" i="4"/>
  <c r="F683" i="4" s="1"/>
  <c r="G683" i="4" s="1"/>
  <c r="M683" i="4" s="1"/>
  <c r="E687" i="4"/>
  <c r="F687" i="4" s="1"/>
  <c r="G687" i="4" s="1"/>
  <c r="M687" i="4" s="1"/>
  <c r="E691" i="4"/>
  <c r="F691" i="4" s="1"/>
  <c r="G691" i="4" s="1"/>
  <c r="M691" i="4" s="1"/>
  <c r="E695" i="4"/>
  <c r="F695" i="4" s="1"/>
  <c r="G695" i="4" s="1"/>
  <c r="E699" i="4"/>
  <c r="F699" i="4" s="1"/>
  <c r="G699" i="4" s="1"/>
  <c r="E703" i="4"/>
  <c r="F703" i="4" s="1"/>
  <c r="G703" i="4" s="1"/>
  <c r="E707" i="4"/>
  <c r="F707" i="4" s="1"/>
  <c r="G707" i="4" s="1"/>
  <c r="M707" i="4" s="1"/>
  <c r="E711" i="4"/>
  <c r="F711" i="4" s="1"/>
  <c r="G711" i="4" s="1"/>
  <c r="M711" i="4" s="1"/>
  <c r="E715" i="4"/>
  <c r="F715" i="4" s="1"/>
  <c r="G715" i="4" s="1"/>
  <c r="M715" i="4" s="1"/>
  <c r="E719" i="4"/>
  <c r="F719" i="4" s="1"/>
  <c r="G719" i="4" s="1"/>
  <c r="M719" i="4" s="1"/>
  <c r="E723" i="4"/>
  <c r="F723" i="4" s="1"/>
  <c r="G723" i="4" s="1"/>
  <c r="M723" i="4" s="1"/>
  <c r="E727" i="4"/>
  <c r="F727" i="4" s="1"/>
  <c r="G727" i="4" s="1"/>
  <c r="E731" i="4"/>
  <c r="F731" i="4" s="1"/>
  <c r="G731" i="4" s="1"/>
  <c r="E735" i="4"/>
  <c r="F735" i="4" s="1"/>
  <c r="G735" i="4" s="1"/>
  <c r="M735" i="4" s="1"/>
  <c r="E739" i="4"/>
  <c r="F739" i="4" s="1"/>
  <c r="G739" i="4" s="1"/>
  <c r="M739" i="4" s="1"/>
  <c r="E743" i="4"/>
  <c r="F743" i="4" s="1"/>
  <c r="G743" i="4" s="1"/>
  <c r="E747" i="4"/>
  <c r="F747" i="4" s="1"/>
  <c r="G747" i="4" s="1"/>
  <c r="E751" i="4"/>
  <c r="F751" i="4" s="1"/>
  <c r="G751" i="4" s="1"/>
  <c r="E755" i="4"/>
  <c r="F755" i="4" s="1"/>
  <c r="G755" i="4" s="1"/>
  <c r="M755" i="4" s="1"/>
  <c r="E759" i="4"/>
  <c r="F759" i="4" s="1"/>
  <c r="G759" i="4" s="1"/>
  <c r="E763" i="4"/>
  <c r="F763" i="4" s="1"/>
  <c r="G763" i="4" s="1"/>
  <c r="M763" i="4" s="1"/>
  <c r="E767" i="4"/>
  <c r="F767" i="4" s="1"/>
  <c r="G767" i="4" s="1"/>
  <c r="E771" i="4"/>
  <c r="F771" i="4" s="1"/>
  <c r="G771" i="4" s="1"/>
  <c r="M771" i="4" s="1"/>
  <c r="E775" i="4"/>
  <c r="F775" i="4" s="1"/>
  <c r="G775" i="4" s="1"/>
  <c r="M775" i="4" s="1"/>
  <c r="E779" i="4"/>
  <c r="F779" i="4" s="1"/>
  <c r="G779" i="4" s="1"/>
  <c r="E783" i="4"/>
  <c r="F783" i="4" s="1"/>
  <c r="G783" i="4" s="1"/>
  <c r="E787" i="4"/>
  <c r="F787" i="4" s="1"/>
  <c r="G787" i="4" s="1"/>
  <c r="M787" i="4" s="1"/>
  <c r="E791" i="4"/>
  <c r="F791" i="4" s="1"/>
  <c r="G791" i="4" s="1"/>
  <c r="E795" i="4"/>
  <c r="F795" i="4" s="1"/>
  <c r="G795" i="4" s="1"/>
  <c r="E799" i="4"/>
  <c r="F799" i="4" s="1"/>
  <c r="G799" i="4" s="1"/>
  <c r="M799" i="4" s="1"/>
  <c r="E803" i="4"/>
  <c r="F803" i="4" s="1"/>
  <c r="G803" i="4" s="1"/>
  <c r="M803" i="4" s="1"/>
  <c r="E807" i="4"/>
  <c r="F807" i="4" s="1"/>
  <c r="G807" i="4" s="1"/>
  <c r="E811" i="4"/>
  <c r="F811" i="4" s="1"/>
  <c r="G811" i="4" s="1"/>
  <c r="M811" i="4" s="1"/>
  <c r="E815" i="4"/>
  <c r="F815" i="4" s="1"/>
  <c r="G815" i="4" s="1"/>
  <c r="E819" i="4"/>
  <c r="F819" i="4" s="1"/>
  <c r="G819" i="4" s="1"/>
  <c r="M819" i="4" s="1"/>
  <c r="E823" i="4"/>
  <c r="F823" i="4" s="1"/>
  <c r="G823" i="4" s="1"/>
  <c r="E827" i="4"/>
  <c r="F827" i="4" s="1"/>
  <c r="G827" i="4" s="1"/>
  <c r="E831" i="4"/>
  <c r="F831" i="4" s="1"/>
  <c r="G831" i="4" s="1"/>
  <c r="E835" i="4"/>
  <c r="F835" i="4" s="1"/>
  <c r="G835" i="4" s="1"/>
  <c r="M835" i="4" s="1"/>
  <c r="E839" i="4"/>
  <c r="F839" i="4" s="1"/>
  <c r="G839" i="4" s="1"/>
  <c r="M839" i="4" s="1"/>
  <c r="E843" i="4"/>
  <c r="F843" i="4" s="1"/>
  <c r="G843" i="4" s="1"/>
  <c r="M843" i="4" s="1"/>
  <c r="E847" i="4"/>
  <c r="F847" i="4" s="1"/>
  <c r="G847" i="4" s="1"/>
  <c r="E851" i="4"/>
  <c r="F851" i="4" s="1"/>
  <c r="G851" i="4" s="1"/>
  <c r="M851" i="4" s="1"/>
  <c r="E855" i="4"/>
  <c r="F855" i="4" s="1"/>
  <c r="G855" i="4" s="1"/>
  <c r="E859" i="4"/>
  <c r="F859" i="4" s="1"/>
  <c r="G859" i="4" s="1"/>
  <c r="E863" i="4"/>
  <c r="F863" i="4" s="1"/>
  <c r="G863" i="4" s="1"/>
  <c r="M863" i="4" s="1"/>
  <c r="E867" i="4"/>
  <c r="F867" i="4" s="1"/>
  <c r="G867" i="4" s="1"/>
  <c r="M867" i="4" s="1"/>
  <c r="E871" i="4"/>
  <c r="F871" i="4" s="1"/>
  <c r="G871" i="4" s="1"/>
  <c r="E875" i="4"/>
  <c r="F875" i="4" s="1"/>
  <c r="G875" i="4" s="1"/>
  <c r="E879" i="4"/>
  <c r="F879" i="4" s="1"/>
  <c r="G879" i="4" s="1"/>
  <c r="E883" i="4"/>
  <c r="F883" i="4" s="1"/>
  <c r="G883" i="4" s="1"/>
  <c r="M883" i="4" s="1"/>
  <c r="E887" i="4"/>
  <c r="F887" i="4" s="1"/>
  <c r="G887" i="4" s="1"/>
  <c r="E891" i="4"/>
  <c r="F891" i="4" s="1"/>
  <c r="G891" i="4" s="1"/>
  <c r="M891" i="4" s="1"/>
  <c r="E895" i="4"/>
  <c r="F895" i="4" s="1"/>
  <c r="G895" i="4" s="1"/>
  <c r="E899" i="4"/>
  <c r="F899" i="4" s="1"/>
  <c r="G899" i="4" s="1"/>
  <c r="M899" i="4" s="1"/>
  <c r="E903" i="4"/>
  <c r="F903" i="4" s="1"/>
  <c r="G903" i="4" s="1"/>
  <c r="M903" i="4" s="1"/>
  <c r="E907" i="4"/>
  <c r="F907" i="4" s="1"/>
  <c r="G907" i="4" s="1"/>
  <c r="E911" i="4"/>
  <c r="F911" i="4" s="1"/>
  <c r="G911" i="4" s="1"/>
  <c r="E915" i="4"/>
  <c r="F915" i="4" s="1"/>
  <c r="G915" i="4" s="1"/>
  <c r="M915" i="4" s="1"/>
  <c r="E919" i="4"/>
  <c r="F919" i="4" s="1"/>
  <c r="G919" i="4" s="1"/>
  <c r="E923" i="4"/>
  <c r="F923" i="4" s="1"/>
  <c r="G923" i="4" s="1"/>
  <c r="E927" i="4"/>
  <c r="F927" i="4" s="1"/>
  <c r="G927" i="4" s="1"/>
  <c r="M927" i="4" s="1"/>
  <c r="E931" i="4"/>
  <c r="F931" i="4" s="1"/>
  <c r="G931" i="4" s="1"/>
  <c r="M931" i="4" s="1"/>
  <c r="E935" i="4"/>
  <c r="F935" i="4" s="1"/>
  <c r="G935" i="4" s="1"/>
  <c r="E939" i="4"/>
  <c r="F939" i="4" s="1"/>
  <c r="G939" i="4" s="1"/>
  <c r="M939" i="4" s="1"/>
  <c r="E943" i="4"/>
  <c r="F943" i="4" s="1"/>
  <c r="G943" i="4" s="1"/>
  <c r="M943" i="4" s="1"/>
  <c r="E947" i="4"/>
  <c r="F947" i="4" s="1"/>
  <c r="G947" i="4" s="1"/>
  <c r="M947" i="4" s="1"/>
  <c r="E951" i="4"/>
  <c r="F951" i="4" s="1"/>
  <c r="G951" i="4" s="1"/>
  <c r="E955" i="4"/>
  <c r="F955" i="4" s="1"/>
  <c r="G955" i="4" s="1"/>
  <c r="E959" i="4"/>
  <c r="F959" i="4" s="1"/>
  <c r="G959" i="4" s="1"/>
  <c r="E963" i="4"/>
  <c r="F963" i="4" s="1"/>
  <c r="G963" i="4" s="1"/>
  <c r="M963" i="4" s="1"/>
  <c r="E967" i="4"/>
  <c r="F967" i="4" s="1"/>
  <c r="G967" i="4" s="1"/>
  <c r="M967" i="4" s="1"/>
  <c r="E971" i="4"/>
  <c r="F971" i="4" s="1"/>
  <c r="G971" i="4" s="1"/>
  <c r="M971" i="4" s="1"/>
  <c r="E975" i="4"/>
  <c r="F975" i="4" s="1"/>
  <c r="G975" i="4" s="1"/>
  <c r="E979" i="4"/>
  <c r="F979" i="4" s="1"/>
  <c r="G979" i="4" s="1"/>
  <c r="M979" i="4" s="1"/>
  <c r="E983" i="4"/>
  <c r="F983" i="4" s="1"/>
  <c r="G983" i="4" s="1"/>
  <c r="M983" i="4" s="1"/>
  <c r="E987" i="4"/>
  <c r="F987" i="4" s="1"/>
  <c r="G987" i="4" s="1"/>
  <c r="E991" i="4"/>
  <c r="F991" i="4" s="1"/>
  <c r="G991" i="4" s="1"/>
  <c r="M991" i="4" s="1"/>
  <c r="E995" i="4"/>
  <c r="F995" i="4" s="1"/>
  <c r="G995" i="4" s="1"/>
  <c r="M995" i="4" s="1"/>
  <c r="E999" i="4"/>
  <c r="F999" i="4" s="1"/>
  <c r="G999" i="4" s="1"/>
  <c r="E1003" i="4"/>
  <c r="F1003" i="4" s="1"/>
  <c r="G1003" i="4" s="1"/>
  <c r="M1003" i="4" s="1"/>
  <c r="E1007" i="4"/>
  <c r="F1007" i="4" s="1"/>
  <c r="G1007" i="4" s="1"/>
  <c r="E1011" i="4"/>
  <c r="F1011" i="4" s="1"/>
  <c r="G1011" i="4" s="1"/>
  <c r="M1011" i="4" s="1"/>
  <c r="E1015" i="4"/>
  <c r="F1015" i="4" s="1"/>
  <c r="G1015" i="4" s="1"/>
  <c r="E1019" i="4"/>
  <c r="F1019" i="4" s="1"/>
  <c r="G1019" i="4" s="1"/>
  <c r="E1023" i="4"/>
  <c r="F1023" i="4" s="1"/>
  <c r="G1023" i="4" s="1"/>
  <c r="M1023" i="4" s="1"/>
  <c r="E1027" i="4"/>
  <c r="F1027" i="4" s="1"/>
  <c r="G1027" i="4" s="1"/>
  <c r="M1027" i="4" s="1"/>
  <c r="E1031" i="4"/>
  <c r="F1031" i="4" s="1"/>
  <c r="G1031" i="4" s="1"/>
  <c r="E1035" i="4"/>
  <c r="F1035" i="4" s="1"/>
  <c r="G1035" i="4" s="1"/>
  <c r="M1035" i="4" s="1"/>
  <c r="E1039" i="4"/>
  <c r="F1039" i="4" s="1"/>
  <c r="G1039" i="4" s="1"/>
  <c r="E1043" i="4"/>
  <c r="F1043" i="4" s="1"/>
  <c r="G1043" i="4" s="1"/>
  <c r="M1043" i="4" s="1"/>
  <c r="E1047" i="4"/>
  <c r="F1047" i="4" s="1"/>
  <c r="G1047" i="4" s="1"/>
  <c r="E1051" i="4"/>
  <c r="F1051" i="4" s="1"/>
  <c r="G1051" i="4" s="1"/>
  <c r="E1055" i="4"/>
  <c r="F1055" i="4" s="1"/>
  <c r="G1055" i="4" s="1"/>
  <c r="M1055" i="4" s="1"/>
  <c r="E1059" i="4"/>
  <c r="F1059" i="4" s="1"/>
  <c r="G1059" i="4" s="1"/>
  <c r="M1059" i="4" s="1"/>
  <c r="E1063" i="4"/>
  <c r="F1063" i="4" s="1"/>
  <c r="G1063" i="4" s="1"/>
  <c r="E1067" i="4"/>
  <c r="F1067" i="4" s="1"/>
  <c r="G1067" i="4" s="1"/>
  <c r="M1067" i="4" s="1"/>
  <c r="E1071" i="4"/>
  <c r="F1071" i="4" s="1"/>
  <c r="G1071" i="4" s="1"/>
  <c r="M1071" i="4" s="1"/>
  <c r="E1075" i="4"/>
  <c r="F1075" i="4" s="1"/>
  <c r="G1075" i="4" s="1"/>
  <c r="M1075" i="4" s="1"/>
  <c r="E1079" i="4"/>
  <c r="F1079" i="4" s="1"/>
  <c r="G1079" i="4" s="1"/>
  <c r="E1083" i="4"/>
  <c r="F1083" i="4" s="1"/>
  <c r="G1083" i="4" s="1"/>
  <c r="E1087" i="4"/>
  <c r="F1087" i="4" s="1"/>
  <c r="G1087" i="4" s="1"/>
  <c r="E1091" i="4"/>
  <c r="F1091" i="4" s="1"/>
  <c r="G1091" i="4" s="1"/>
  <c r="M1091" i="4" s="1"/>
  <c r="E1095" i="4"/>
  <c r="F1095" i="4" s="1"/>
  <c r="G1095" i="4" s="1"/>
  <c r="E1099" i="4"/>
  <c r="F1099" i="4" s="1"/>
  <c r="G1099" i="4" s="1"/>
  <c r="M1099" i="4" s="1"/>
  <c r="E1103" i="4"/>
  <c r="F1103" i="4" s="1"/>
  <c r="G1103" i="4" s="1"/>
  <c r="M1103" i="4" s="1"/>
  <c r="E20" i="4"/>
  <c r="F20" i="4" s="1"/>
  <c r="G20" i="4" s="1"/>
  <c r="M20" i="4" s="1"/>
  <c r="E52" i="4"/>
  <c r="F52" i="4" s="1"/>
  <c r="G52" i="4" s="1"/>
  <c r="E84" i="4"/>
  <c r="F84" i="4" s="1"/>
  <c r="G84" i="4" s="1"/>
  <c r="E116" i="4"/>
  <c r="F116" i="4" s="1"/>
  <c r="G116" i="4" s="1"/>
  <c r="M116" i="4" s="1"/>
  <c r="E148" i="4"/>
  <c r="F148" i="4" s="1"/>
  <c r="G148" i="4" s="1"/>
  <c r="M148" i="4" s="1"/>
  <c r="E180" i="4"/>
  <c r="F180" i="4" s="1"/>
  <c r="G180" i="4" s="1"/>
  <c r="E212" i="4"/>
  <c r="F212" i="4" s="1"/>
  <c r="G212" i="4" s="1"/>
  <c r="E244" i="4"/>
  <c r="F244" i="4" s="1"/>
  <c r="G244" i="4" s="1"/>
  <c r="M244" i="4" s="1"/>
  <c r="E276" i="4"/>
  <c r="F276" i="4" s="1"/>
  <c r="G276" i="4" s="1"/>
  <c r="M276" i="4" s="1"/>
  <c r="E307" i="4"/>
  <c r="F307" i="4" s="1"/>
  <c r="G307" i="4" s="1"/>
  <c r="E323" i="4"/>
  <c r="F323" i="4" s="1"/>
  <c r="G323" i="4" s="1"/>
  <c r="E334" i="4"/>
  <c r="F334" i="4" s="1"/>
  <c r="G334" i="4" s="1"/>
  <c r="M334" i="4" s="1"/>
  <c r="E344" i="4"/>
  <c r="F344" i="4" s="1"/>
  <c r="G344" i="4" s="1"/>
  <c r="M344" i="4" s="1"/>
  <c r="E352" i="4"/>
  <c r="F352" i="4" s="1"/>
  <c r="G352" i="4" s="1"/>
  <c r="M352" i="4" s="1"/>
  <c r="E360" i="4"/>
  <c r="F360" i="4" s="1"/>
  <c r="G360" i="4" s="1"/>
  <c r="E368" i="4"/>
  <c r="F368" i="4" s="1"/>
  <c r="G368" i="4" s="1"/>
  <c r="M368" i="4" s="1"/>
  <c r="E376" i="4"/>
  <c r="F376" i="4" s="1"/>
  <c r="G376" i="4" s="1"/>
  <c r="M376" i="4" s="1"/>
  <c r="E384" i="4"/>
  <c r="F384" i="4" s="1"/>
  <c r="G384" i="4" s="1"/>
  <c r="E392" i="4"/>
  <c r="F392" i="4" s="1"/>
  <c r="G392" i="4" s="1"/>
  <c r="M392" i="4" s="1"/>
  <c r="E400" i="4"/>
  <c r="F400" i="4" s="1"/>
  <c r="G400" i="4" s="1"/>
  <c r="M400" i="4" s="1"/>
  <c r="E408" i="4"/>
  <c r="F408" i="4" s="1"/>
  <c r="G408" i="4" s="1"/>
  <c r="M408" i="4" s="1"/>
  <c r="E416" i="4"/>
  <c r="F416" i="4" s="1"/>
  <c r="G416" i="4" s="1"/>
  <c r="M416" i="4" s="1"/>
  <c r="E424" i="4"/>
  <c r="F424" i="4" s="1"/>
  <c r="G424" i="4" s="1"/>
  <c r="M424" i="4" s="1"/>
  <c r="E432" i="4"/>
  <c r="F432" i="4" s="1"/>
  <c r="G432" i="4" s="1"/>
  <c r="M432" i="4" s="1"/>
  <c r="E440" i="4"/>
  <c r="F440" i="4" s="1"/>
  <c r="G440" i="4" s="1"/>
  <c r="M440" i="4" s="1"/>
  <c r="E448" i="4"/>
  <c r="F448" i="4" s="1"/>
  <c r="G448" i="4" s="1"/>
  <c r="E456" i="4"/>
  <c r="F456" i="4" s="1"/>
  <c r="G456" i="4" s="1"/>
  <c r="E464" i="4"/>
  <c r="F464" i="4" s="1"/>
  <c r="G464" i="4" s="1"/>
  <c r="M464" i="4" s="1"/>
  <c r="E472" i="4"/>
  <c r="F472" i="4" s="1"/>
  <c r="G472" i="4" s="1"/>
  <c r="M472" i="4" s="1"/>
  <c r="E480" i="4"/>
  <c r="F480" i="4" s="1"/>
  <c r="G480" i="4" s="1"/>
  <c r="M480" i="4" s="1"/>
  <c r="E488" i="4"/>
  <c r="F488" i="4" s="1"/>
  <c r="G488" i="4" s="1"/>
  <c r="M488" i="4" s="1"/>
  <c r="E496" i="4"/>
  <c r="F496" i="4" s="1"/>
  <c r="G496" i="4" s="1"/>
  <c r="M496" i="4" s="1"/>
  <c r="E504" i="4"/>
  <c r="F504" i="4" s="1"/>
  <c r="G504" i="4" s="1"/>
  <c r="M504" i="4" s="1"/>
  <c r="E512" i="4"/>
  <c r="F512" i="4" s="1"/>
  <c r="G512" i="4" s="1"/>
  <c r="E520" i="4"/>
  <c r="F520" i="4" s="1"/>
  <c r="G520" i="4" s="1"/>
  <c r="M520" i="4" s="1"/>
  <c r="E528" i="4"/>
  <c r="F528" i="4" s="1"/>
  <c r="G528" i="4" s="1"/>
  <c r="M528" i="4" s="1"/>
  <c r="E536" i="4"/>
  <c r="F536" i="4" s="1"/>
  <c r="G536" i="4" s="1"/>
  <c r="M536" i="4" s="1"/>
  <c r="E544" i="4"/>
  <c r="F544" i="4" s="1"/>
  <c r="G544" i="4" s="1"/>
  <c r="M544" i="4" s="1"/>
  <c r="E552" i="4"/>
  <c r="F552" i="4" s="1"/>
  <c r="G552" i="4" s="1"/>
  <c r="E560" i="4"/>
  <c r="F560" i="4" s="1"/>
  <c r="G560" i="4" s="1"/>
  <c r="M560" i="4" s="1"/>
  <c r="E568" i="4"/>
  <c r="F568" i="4" s="1"/>
  <c r="G568" i="4" s="1"/>
  <c r="M568" i="4" s="1"/>
  <c r="E576" i="4"/>
  <c r="F576" i="4" s="1"/>
  <c r="G576" i="4" s="1"/>
  <c r="E584" i="4"/>
  <c r="F584" i="4" s="1"/>
  <c r="G584" i="4" s="1"/>
  <c r="M584" i="4" s="1"/>
  <c r="E590" i="4"/>
  <c r="F590" i="4" s="1"/>
  <c r="G590" i="4" s="1"/>
  <c r="M590" i="4" s="1"/>
  <c r="E595" i="4"/>
  <c r="F595" i="4" s="1"/>
  <c r="G595" i="4" s="1"/>
  <c r="M595" i="4" s="1"/>
  <c r="E600" i="4"/>
  <c r="F600" i="4" s="1"/>
  <c r="G600" i="4" s="1"/>
  <c r="E606" i="4"/>
  <c r="F606" i="4" s="1"/>
  <c r="G606" i="4" s="1"/>
  <c r="E611" i="4"/>
  <c r="F611" i="4" s="1"/>
  <c r="G611" i="4" s="1"/>
  <c r="E616" i="4"/>
  <c r="F616" i="4" s="1"/>
  <c r="G616" i="4" s="1"/>
  <c r="M616" i="4" s="1"/>
  <c r="E622" i="4"/>
  <c r="F622" i="4" s="1"/>
  <c r="G622" i="4" s="1"/>
  <c r="E627" i="4"/>
  <c r="F627" i="4" s="1"/>
  <c r="G627" i="4" s="1"/>
  <c r="M627" i="4" s="1"/>
  <c r="E632" i="4"/>
  <c r="F632" i="4" s="1"/>
  <c r="G632" i="4" s="1"/>
  <c r="E636" i="4"/>
  <c r="F636" i="4" s="1"/>
  <c r="G636" i="4" s="1"/>
  <c r="M636" i="4" s="1"/>
  <c r="E640" i="4"/>
  <c r="F640" i="4" s="1"/>
  <c r="G640" i="4" s="1"/>
  <c r="E644" i="4"/>
  <c r="F644" i="4" s="1"/>
  <c r="G644" i="4" s="1"/>
  <c r="E648" i="4"/>
  <c r="F648" i="4" s="1"/>
  <c r="G648" i="4" s="1"/>
  <c r="M648" i="4" s="1"/>
  <c r="E652" i="4"/>
  <c r="F652" i="4" s="1"/>
  <c r="G652" i="4" s="1"/>
  <c r="M652" i="4" s="1"/>
  <c r="E656" i="4"/>
  <c r="F656" i="4" s="1"/>
  <c r="G656" i="4" s="1"/>
  <c r="E660" i="4"/>
  <c r="F660" i="4" s="1"/>
  <c r="G660" i="4" s="1"/>
  <c r="E664" i="4"/>
  <c r="F664" i="4" s="1"/>
  <c r="G664" i="4" s="1"/>
  <c r="E668" i="4"/>
  <c r="F668" i="4" s="1"/>
  <c r="G668" i="4" s="1"/>
  <c r="M668" i="4" s="1"/>
  <c r="E672" i="4"/>
  <c r="F672" i="4" s="1"/>
  <c r="G672" i="4" s="1"/>
  <c r="M672" i="4" s="1"/>
  <c r="E676" i="4"/>
  <c r="F676" i="4" s="1"/>
  <c r="G676" i="4" s="1"/>
  <c r="M676" i="4" s="1"/>
  <c r="E680" i="4"/>
  <c r="F680" i="4" s="1"/>
  <c r="G680" i="4" s="1"/>
  <c r="M680" i="4" s="1"/>
  <c r="E684" i="4"/>
  <c r="F684" i="4" s="1"/>
  <c r="G684" i="4" s="1"/>
  <c r="M684" i="4" s="1"/>
  <c r="E688" i="4"/>
  <c r="F688" i="4" s="1"/>
  <c r="G688" i="4" s="1"/>
  <c r="E692" i="4"/>
  <c r="F692" i="4" s="1"/>
  <c r="G692" i="4" s="1"/>
  <c r="E696" i="4"/>
  <c r="F696" i="4" s="1"/>
  <c r="G696" i="4" s="1"/>
  <c r="E700" i="4"/>
  <c r="F700" i="4" s="1"/>
  <c r="G700" i="4" s="1"/>
  <c r="M700" i="4" s="1"/>
  <c r="E704" i="4"/>
  <c r="F704" i="4" s="1"/>
  <c r="G704" i="4" s="1"/>
  <c r="E708" i="4"/>
  <c r="F708" i="4" s="1"/>
  <c r="G708" i="4" s="1"/>
  <c r="M708" i="4" s="1"/>
  <c r="E712" i="4"/>
  <c r="F712" i="4" s="1"/>
  <c r="G712" i="4" s="1"/>
  <c r="M712" i="4" s="1"/>
  <c r="E716" i="4"/>
  <c r="F716" i="4" s="1"/>
  <c r="G716" i="4" s="1"/>
  <c r="M716" i="4" s="1"/>
  <c r="E720" i="4"/>
  <c r="F720" i="4" s="1"/>
  <c r="G720" i="4" s="1"/>
  <c r="E724" i="4"/>
  <c r="F724" i="4" s="1"/>
  <c r="G724" i="4" s="1"/>
  <c r="M724" i="4" s="1"/>
  <c r="E728" i="4"/>
  <c r="F728" i="4" s="1"/>
  <c r="G728" i="4" s="1"/>
  <c r="E732" i="4"/>
  <c r="F732" i="4" s="1"/>
  <c r="G732" i="4" s="1"/>
  <c r="M732" i="4" s="1"/>
  <c r="E736" i="4"/>
  <c r="F736" i="4" s="1"/>
  <c r="G736" i="4" s="1"/>
  <c r="E740" i="4"/>
  <c r="F740" i="4" s="1"/>
  <c r="G740" i="4" s="1"/>
  <c r="E744" i="4"/>
  <c r="F744" i="4" s="1"/>
  <c r="G744" i="4" s="1"/>
  <c r="M744" i="4" s="1"/>
  <c r="E748" i="4"/>
  <c r="F748" i="4" s="1"/>
  <c r="G748" i="4" s="1"/>
  <c r="M748" i="4" s="1"/>
  <c r="E752" i="4"/>
  <c r="F752" i="4" s="1"/>
  <c r="G752" i="4" s="1"/>
  <c r="M752" i="4" s="1"/>
  <c r="E756" i="4"/>
  <c r="F756" i="4" s="1"/>
  <c r="G756" i="4" s="1"/>
  <c r="M756" i="4" s="1"/>
  <c r="E760" i="4"/>
  <c r="F760" i="4" s="1"/>
  <c r="G760" i="4" s="1"/>
  <c r="E764" i="4"/>
  <c r="F764" i="4" s="1"/>
  <c r="G764" i="4" s="1"/>
  <c r="M764" i="4" s="1"/>
  <c r="E768" i="4"/>
  <c r="F768" i="4" s="1"/>
  <c r="G768" i="4" s="1"/>
  <c r="E772" i="4"/>
  <c r="F772" i="4" s="1"/>
  <c r="G772" i="4" s="1"/>
  <c r="M772" i="4" s="1"/>
  <c r="E776" i="4"/>
  <c r="F776" i="4" s="1"/>
  <c r="G776" i="4" s="1"/>
  <c r="M776" i="4" s="1"/>
  <c r="E780" i="4"/>
  <c r="F780" i="4" s="1"/>
  <c r="G780" i="4" s="1"/>
  <c r="M780" i="4" s="1"/>
  <c r="E784" i="4"/>
  <c r="F784" i="4" s="1"/>
  <c r="G784" i="4" s="1"/>
  <c r="E788" i="4"/>
  <c r="F788" i="4" s="1"/>
  <c r="G788" i="4" s="1"/>
  <c r="E792" i="4"/>
  <c r="F792" i="4" s="1"/>
  <c r="G792" i="4" s="1"/>
  <c r="E796" i="4"/>
  <c r="F796" i="4" s="1"/>
  <c r="G796" i="4" s="1"/>
  <c r="M796" i="4" s="1"/>
  <c r="E800" i="4"/>
  <c r="F800" i="4" s="1"/>
  <c r="G800" i="4" s="1"/>
  <c r="M800" i="4" s="1"/>
  <c r="E804" i="4"/>
  <c r="F804" i="4" s="1"/>
  <c r="G804" i="4" s="1"/>
  <c r="E808" i="4"/>
  <c r="F808" i="4" s="1"/>
  <c r="G808" i="4" s="1"/>
  <c r="M808" i="4" s="1"/>
  <c r="E812" i="4"/>
  <c r="F812" i="4" s="1"/>
  <c r="G812" i="4" s="1"/>
  <c r="M812" i="4" s="1"/>
  <c r="E816" i="4"/>
  <c r="F816" i="4" s="1"/>
  <c r="G816" i="4" s="1"/>
  <c r="M816" i="4" s="1"/>
  <c r="E820" i="4"/>
  <c r="F820" i="4" s="1"/>
  <c r="G820" i="4" s="1"/>
  <c r="E824" i="4"/>
  <c r="F824" i="4" s="1"/>
  <c r="G824" i="4" s="1"/>
  <c r="E828" i="4"/>
  <c r="F828" i="4" s="1"/>
  <c r="G828" i="4" s="1"/>
  <c r="M828" i="4" s="1"/>
  <c r="E832" i="4"/>
  <c r="F832" i="4" s="1"/>
  <c r="G832" i="4" s="1"/>
  <c r="E836" i="4"/>
  <c r="F836" i="4" s="1"/>
  <c r="G836" i="4" s="1"/>
  <c r="M836" i="4" s="1"/>
  <c r="E840" i="4"/>
  <c r="F840" i="4" s="1"/>
  <c r="G840" i="4" s="1"/>
  <c r="M840" i="4" s="1"/>
  <c r="E844" i="4"/>
  <c r="F844" i="4" s="1"/>
  <c r="G844" i="4" s="1"/>
  <c r="M844" i="4" s="1"/>
  <c r="E848" i="4"/>
  <c r="F848" i="4" s="1"/>
  <c r="G848" i="4" s="1"/>
  <c r="M848" i="4" s="1"/>
  <c r="E852" i="4"/>
  <c r="F852" i="4" s="1"/>
  <c r="G852" i="4" s="1"/>
  <c r="M852" i="4" s="1"/>
  <c r="E856" i="4"/>
  <c r="F856" i="4" s="1"/>
  <c r="G856" i="4" s="1"/>
  <c r="E860" i="4"/>
  <c r="F860" i="4" s="1"/>
  <c r="G860" i="4" s="1"/>
  <c r="M860" i="4" s="1"/>
  <c r="E864" i="4"/>
  <c r="F864" i="4" s="1"/>
  <c r="G864" i="4" s="1"/>
  <c r="E868" i="4"/>
  <c r="F868" i="4" s="1"/>
  <c r="G868" i="4" s="1"/>
  <c r="E872" i="4"/>
  <c r="F872" i="4" s="1"/>
  <c r="G872" i="4" s="1"/>
  <c r="M872" i="4" s="1"/>
  <c r="E876" i="4"/>
  <c r="F876" i="4" s="1"/>
  <c r="G876" i="4" s="1"/>
  <c r="M876" i="4" s="1"/>
  <c r="E880" i="4"/>
  <c r="F880" i="4" s="1"/>
  <c r="G880" i="4" s="1"/>
  <c r="E884" i="4"/>
  <c r="F884" i="4" s="1"/>
  <c r="G884" i="4" s="1"/>
  <c r="M884" i="4" s="1"/>
  <c r="E888" i="4"/>
  <c r="F888" i="4" s="1"/>
  <c r="G888" i="4" s="1"/>
  <c r="E892" i="4"/>
  <c r="F892" i="4" s="1"/>
  <c r="G892" i="4" s="1"/>
  <c r="M892" i="4" s="1"/>
  <c r="E896" i="4"/>
  <c r="F896" i="4" s="1"/>
  <c r="G896" i="4" s="1"/>
  <c r="E900" i="4"/>
  <c r="F900" i="4" s="1"/>
  <c r="G900" i="4" s="1"/>
  <c r="M900" i="4" s="1"/>
  <c r="E904" i="4"/>
  <c r="F904" i="4" s="1"/>
  <c r="G904" i="4" s="1"/>
  <c r="M904" i="4" s="1"/>
  <c r="E908" i="4"/>
  <c r="F908" i="4" s="1"/>
  <c r="G908" i="4" s="1"/>
  <c r="M908" i="4" s="1"/>
  <c r="E912" i="4"/>
  <c r="F912" i="4" s="1"/>
  <c r="G912" i="4" s="1"/>
  <c r="E916" i="4"/>
  <c r="F916" i="4" s="1"/>
  <c r="G916" i="4" s="1"/>
  <c r="E920" i="4"/>
  <c r="F920" i="4" s="1"/>
  <c r="G920" i="4" s="1"/>
  <c r="E924" i="4"/>
  <c r="F924" i="4" s="1"/>
  <c r="G924" i="4" s="1"/>
  <c r="M924" i="4" s="1"/>
  <c r="E928" i="4"/>
  <c r="F928" i="4" s="1"/>
  <c r="G928" i="4" s="1"/>
  <c r="M928" i="4" s="1"/>
  <c r="E932" i="4"/>
  <c r="F932" i="4" s="1"/>
  <c r="G932" i="4" s="1"/>
  <c r="E936" i="4"/>
  <c r="F936" i="4" s="1"/>
  <c r="G936" i="4" s="1"/>
  <c r="M936" i="4" s="1"/>
  <c r="E940" i="4"/>
  <c r="F940" i="4" s="1"/>
  <c r="G940" i="4" s="1"/>
  <c r="M940" i="4" s="1"/>
  <c r="E944" i="4"/>
  <c r="F944" i="4" s="1"/>
  <c r="G944" i="4" s="1"/>
  <c r="E948" i="4"/>
  <c r="F948" i="4" s="1"/>
  <c r="G948" i="4" s="1"/>
  <c r="E952" i="4"/>
  <c r="F952" i="4" s="1"/>
  <c r="G952" i="4" s="1"/>
  <c r="M952" i="4" s="1"/>
  <c r="E956" i="4"/>
  <c r="F956" i="4" s="1"/>
  <c r="G956" i="4" s="1"/>
  <c r="M956" i="4" s="1"/>
  <c r="E960" i="4"/>
  <c r="F960" i="4" s="1"/>
  <c r="G960" i="4" s="1"/>
  <c r="M960" i="4" s="1"/>
  <c r="E964" i="4"/>
  <c r="F964" i="4" s="1"/>
  <c r="G964" i="4" s="1"/>
  <c r="M964" i="4" s="1"/>
  <c r="E968" i="4"/>
  <c r="F968" i="4" s="1"/>
  <c r="G968" i="4" s="1"/>
  <c r="E972" i="4"/>
  <c r="F972" i="4" s="1"/>
  <c r="G972" i="4" s="1"/>
  <c r="M972" i="4" s="1"/>
  <c r="E976" i="4"/>
  <c r="F976" i="4" s="1"/>
  <c r="G976" i="4" s="1"/>
  <c r="E980" i="4"/>
  <c r="F980" i="4" s="1"/>
  <c r="G980" i="4" s="1"/>
  <c r="E984" i="4"/>
  <c r="F984" i="4" s="1"/>
  <c r="G984" i="4" s="1"/>
  <c r="M984" i="4" s="1"/>
  <c r="E988" i="4"/>
  <c r="F988" i="4" s="1"/>
  <c r="G988" i="4" s="1"/>
  <c r="M988" i="4" s="1"/>
  <c r="E992" i="4"/>
  <c r="F992" i="4" s="1"/>
  <c r="G992" i="4" s="1"/>
  <c r="E996" i="4"/>
  <c r="F996" i="4" s="1"/>
  <c r="G996" i="4" s="1"/>
  <c r="M996" i="4" s="1"/>
  <c r="E1000" i="4"/>
  <c r="F1000" i="4" s="1"/>
  <c r="G1000" i="4" s="1"/>
  <c r="E1004" i="4"/>
  <c r="F1004" i="4" s="1"/>
  <c r="G1004" i="4" s="1"/>
  <c r="M1004" i="4" s="1"/>
  <c r="E1008" i="4"/>
  <c r="F1008" i="4" s="1"/>
  <c r="G1008" i="4" s="1"/>
  <c r="E1012" i="4"/>
  <c r="F1012" i="4" s="1"/>
  <c r="G1012" i="4" s="1"/>
  <c r="E1016" i="4"/>
  <c r="F1016" i="4" s="1"/>
  <c r="G1016" i="4" s="1"/>
  <c r="M1016" i="4" s="1"/>
  <c r="E1020" i="4"/>
  <c r="F1020" i="4" s="1"/>
  <c r="G1020" i="4" s="1"/>
  <c r="M1020" i="4" s="1"/>
  <c r="E1024" i="4"/>
  <c r="F1024" i="4" s="1"/>
  <c r="G1024" i="4" s="1"/>
  <c r="M1024" i="4" s="1"/>
  <c r="E1028" i="4"/>
  <c r="F1028" i="4" s="1"/>
  <c r="G1028" i="4" s="1"/>
  <c r="M1028" i="4" s="1"/>
  <c r="E1032" i="4"/>
  <c r="F1032" i="4" s="1"/>
  <c r="G1032" i="4" s="1"/>
  <c r="E1036" i="4"/>
  <c r="F1036" i="4" s="1"/>
  <c r="G1036" i="4" s="1"/>
  <c r="M1036" i="4" s="1"/>
  <c r="E1040" i="4"/>
  <c r="F1040" i="4" s="1"/>
  <c r="G1040" i="4" s="1"/>
  <c r="E1044" i="4"/>
  <c r="F1044" i="4" s="1"/>
  <c r="G1044" i="4" s="1"/>
  <c r="E1048" i="4"/>
  <c r="F1048" i="4" s="1"/>
  <c r="G1048" i="4" s="1"/>
  <c r="M1048" i="4" s="1"/>
  <c r="E1052" i="4"/>
  <c r="F1052" i="4" s="1"/>
  <c r="G1052" i="4" s="1"/>
  <c r="M1052" i="4" s="1"/>
  <c r="E1056" i="4"/>
  <c r="F1056" i="4" s="1"/>
  <c r="G1056" i="4" s="1"/>
  <c r="E1060" i="4"/>
  <c r="F1060" i="4" s="1"/>
  <c r="G1060" i="4" s="1"/>
  <c r="M1060" i="4" s="1"/>
  <c r="E1064" i="4"/>
  <c r="F1064" i="4" s="1"/>
  <c r="G1064" i="4" s="1"/>
  <c r="M1064" i="4" s="1"/>
  <c r="E1068" i="4"/>
  <c r="F1068" i="4" s="1"/>
  <c r="G1068" i="4" s="1"/>
  <c r="M1068" i="4" s="1"/>
  <c r="E1072" i="4"/>
  <c r="F1072" i="4" s="1"/>
  <c r="G1072" i="4" s="1"/>
  <c r="M1072" i="4" s="1"/>
  <c r="E1076" i="4"/>
  <c r="F1076" i="4" s="1"/>
  <c r="G1076" i="4" s="1"/>
  <c r="E1080" i="4"/>
  <c r="F1080" i="4" s="1"/>
  <c r="G1080" i="4" s="1"/>
  <c r="E1084" i="4"/>
  <c r="F1084" i="4" s="1"/>
  <c r="G1084" i="4" s="1"/>
  <c r="M1084" i="4" s="1"/>
  <c r="E1088" i="4"/>
  <c r="F1088" i="4" s="1"/>
  <c r="G1088" i="4" s="1"/>
  <c r="E1092" i="4"/>
  <c r="F1092" i="4" s="1"/>
  <c r="G1092" i="4" s="1"/>
  <c r="M1092" i="4" s="1"/>
  <c r="E1096" i="4"/>
  <c r="F1096" i="4" s="1"/>
  <c r="G1096" i="4" s="1"/>
  <c r="M1096" i="4" s="1"/>
  <c r="E1100" i="4"/>
  <c r="F1100" i="4" s="1"/>
  <c r="G1100" i="4" s="1"/>
  <c r="M1100" i="4" s="1"/>
  <c r="E1104" i="4"/>
  <c r="F1104" i="4" s="1"/>
  <c r="G1104" i="4" s="1"/>
  <c r="M1104" i="4" s="1"/>
  <c r="E32" i="4"/>
  <c r="F32" i="4" s="1"/>
  <c r="G32" i="4" s="1"/>
  <c r="M32" i="4" s="1"/>
  <c r="E96" i="4"/>
  <c r="F96" i="4" s="1"/>
  <c r="G96" i="4" s="1"/>
  <c r="M96" i="4" s="1"/>
  <c r="E160" i="4"/>
  <c r="F160" i="4" s="1"/>
  <c r="G160" i="4" s="1"/>
  <c r="M160" i="4" s="1"/>
  <c r="E224" i="4"/>
  <c r="F224" i="4" s="1"/>
  <c r="G224" i="4" s="1"/>
  <c r="M224" i="4" s="1"/>
  <c r="E288" i="4"/>
  <c r="F288" i="4" s="1"/>
  <c r="G288" i="4" s="1"/>
  <c r="M288" i="4" s="1"/>
  <c r="E327" i="4"/>
  <c r="F327" i="4" s="1"/>
  <c r="G327" i="4" s="1"/>
  <c r="E347" i="4"/>
  <c r="F347" i="4" s="1"/>
  <c r="G347" i="4" s="1"/>
  <c r="M347" i="4" s="1"/>
  <c r="E363" i="4"/>
  <c r="F363" i="4" s="1"/>
  <c r="G363" i="4" s="1"/>
  <c r="E379" i="4"/>
  <c r="F379" i="4" s="1"/>
  <c r="G379" i="4" s="1"/>
  <c r="E395" i="4"/>
  <c r="F395" i="4" s="1"/>
  <c r="G395" i="4" s="1"/>
  <c r="E411" i="4"/>
  <c r="F411" i="4" s="1"/>
  <c r="G411" i="4" s="1"/>
  <c r="M411" i="4" s="1"/>
  <c r="E427" i="4"/>
  <c r="F427" i="4" s="1"/>
  <c r="G427" i="4" s="1"/>
  <c r="E443" i="4"/>
  <c r="F443" i="4" s="1"/>
  <c r="G443" i="4" s="1"/>
  <c r="E459" i="4"/>
  <c r="F459" i="4" s="1"/>
  <c r="G459" i="4" s="1"/>
  <c r="E475" i="4"/>
  <c r="F475" i="4" s="1"/>
  <c r="G475" i="4" s="1"/>
  <c r="M475" i="4" s="1"/>
  <c r="E491" i="4"/>
  <c r="F491" i="4" s="1"/>
  <c r="G491" i="4" s="1"/>
  <c r="E507" i="4"/>
  <c r="F507" i="4" s="1"/>
  <c r="G507" i="4" s="1"/>
  <c r="E523" i="4"/>
  <c r="F523" i="4" s="1"/>
  <c r="G523" i="4" s="1"/>
  <c r="M523" i="4" s="1"/>
  <c r="E539" i="4"/>
  <c r="F539" i="4" s="1"/>
  <c r="G539" i="4" s="1"/>
  <c r="M539" i="4" s="1"/>
  <c r="E555" i="4"/>
  <c r="F555" i="4" s="1"/>
  <c r="G555" i="4" s="1"/>
  <c r="E571" i="4"/>
  <c r="F571" i="4" s="1"/>
  <c r="G571" i="4" s="1"/>
  <c r="M571" i="4" s="1"/>
  <c r="E586" i="4"/>
  <c r="F586" i="4" s="1"/>
  <c r="G586" i="4" s="1"/>
  <c r="E596" i="4"/>
  <c r="F596" i="4" s="1"/>
  <c r="G596" i="4" s="1"/>
  <c r="M596" i="4" s="1"/>
  <c r="E607" i="4"/>
  <c r="F607" i="4" s="1"/>
  <c r="G607" i="4" s="1"/>
  <c r="E618" i="4"/>
  <c r="F618" i="4" s="1"/>
  <c r="G618" i="4" s="1"/>
  <c r="M618" i="4" s="1"/>
  <c r="E628" i="4"/>
  <c r="F628" i="4" s="1"/>
  <c r="G628" i="4" s="1"/>
  <c r="M628" i="4" s="1"/>
  <c r="E637" i="4"/>
  <c r="F637" i="4" s="1"/>
  <c r="G637" i="4" s="1"/>
  <c r="M637" i="4" s="1"/>
  <c r="E645" i="4"/>
  <c r="F645" i="4" s="1"/>
  <c r="G645" i="4" s="1"/>
  <c r="M645" i="4" s="1"/>
  <c r="E653" i="4"/>
  <c r="F653" i="4" s="1"/>
  <c r="G653" i="4" s="1"/>
  <c r="M653" i="4" s="1"/>
  <c r="E661" i="4"/>
  <c r="F661" i="4" s="1"/>
  <c r="G661" i="4" s="1"/>
  <c r="E669" i="4"/>
  <c r="F669" i="4" s="1"/>
  <c r="G669" i="4" s="1"/>
  <c r="M669" i="4" s="1"/>
  <c r="E677" i="4"/>
  <c r="F677" i="4" s="1"/>
  <c r="G677" i="4" s="1"/>
  <c r="E685" i="4"/>
  <c r="F685" i="4" s="1"/>
  <c r="G685" i="4" s="1"/>
  <c r="E693" i="4"/>
  <c r="F693" i="4" s="1"/>
  <c r="G693" i="4" s="1"/>
  <c r="M693" i="4" s="1"/>
  <c r="E701" i="4"/>
  <c r="F701" i="4" s="1"/>
  <c r="G701" i="4" s="1"/>
  <c r="M701" i="4" s="1"/>
  <c r="E709" i="4"/>
  <c r="F709" i="4" s="1"/>
  <c r="G709" i="4" s="1"/>
  <c r="E717" i="4"/>
  <c r="F717" i="4" s="1"/>
  <c r="G717" i="4" s="1"/>
  <c r="M717" i="4" s="1"/>
  <c r="E725" i="4"/>
  <c r="F725" i="4" s="1"/>
  <c r="G725" i="4" s="1"/>
  <c r="E733" i="4"/>
  <c r="F733" i="4" s="1"/>
  <c r="G733" i="4" s="1"/>
  <c r="M733" i="4" s="1"/>
  <c r="E741" i="4"/>
  <c r="F741" i="4" s="1"/>
  <c r="G741" i="4" s="1"/>
  <c r="M741" i="4" s="1"/>
  <c r="E749" i="4"/>
  <c r="F749" i="4" s="1"/>
  <c r="G749" i="4" s="1"/>
  <c r="E757" i="4"/>
  <c r="F757" i="4" s="1"/>
  <c r="G757" i="4" s="1"/>
  <c r="M757" i="4" s="1"/>
  <c r="E765" i="4"/>
  <c r="F765" i="4" s="1"/>
  <c r="G765" i="4" s="1"/>
  <c r="M765" i="4" s="1"/>
  <c r="E773" i="4"/>
  <c r="F773" i="4" s="1"/>
  <c r="G773" i="4" s="1"/>
  <c r="E781" i="4"/>
  <c r="F781" i="4" s="1"/>
  <c r="G781" i="4" s="1"/>
  <c r="M781" i="4" s="1"/>
  <c r="E789" i="4"/>
  <c r="F789" i="4" s="1"/>
  <c r="G789" i="4" s="1"/>
  <c r="E797" i="4"/>
  <c r="F797" i="4" s="1"/>
  <c r="G797" i="4" s="1"/>
  <c r="M797" i="4" s="1"/>
  <c r="E805" i="4"/>
  <c r="F805" i="4" s="1"/>
  <c r="G805" i="4" s="1"/>
  <c r="E813" i="4"/>
  <c r="F813" i="4" s="1"/>
  <c r="G813" i="4" s="1"/>
  <c r="E821" i="4"/>
  <c r="F821" i="4" s="1"/>
  <c r="G821" i="4" s="1"/>
  <c r="M821" i="4" s="1"/>
  <c r="E829" i="4"/>
  <c r="F829" i="4" s="1"/>
  <c r="G829" i="4" s="1"/>
  <c r="M829" i="4" s="1"/>
  <c r="E837" i="4"/>
  <c r="F837" i="4" s="1"/>
  <c r="G837" i="4" s="1"/>
  <c r="E845" i="4"/>
  <c r="F845" i="4" s="1"/>
  <c r="G845" i="4" s="1"/>
  <c r="M845" i="4" s="1"/>
  <c r="E853" i="4"/>
  <c r="F853" i="4" s="1"/>
  <c r="G853" i="4" s="1"/>
  <c r="E861" i="4"/>
  <c r="F861" i="4" s="1"/>
  <c r="G861" i="4" s="1"/>
  <c r="M861" i="4" s="1"/>
  <c r="E869" i="4"/>
  <c r="F869" i="4" s="1"/>
  <c r="G869" i="4" s="1"/>
  <c r="E877" i="4"/>
  <c r="F877" i="4" s="1"/>
  <c r="G877" i="4" s="1"/>
  <c r="E885" i="4"/>
  <c r="F885" i="4" s="1"/>
  <c r="G885" i="4" s="1"/>
  <c r="M885" i="4" s="1"/>
  <c r="E893" i="4"/>
  <c r="F893" i="4" s="1"/>
  <c r="G893" i="4" s="1"/>
  <c r="M893" i="4" s="1"/>
  <c r="E901" i="4"/>
  <c r="F901" i="4" s="1"/>
  <c r="G901" i="4" s="1"/>
  <c r="E909" i="4"/>
  <c r="F909" i="4" s="1"/>
  <c r="G909" i="4" s="1"/>
  <c r="M909" i="4" s="1"/>
  <c r="E917" i="4"/>
  <c r="F917" i="4" s="1"/>
  <c r="G917" i="4" s="1"/>
  <c r="E925" i="4"/>
  <c r="F925" i="4" s="1"/>
  <c r="G925" i="4" s="1"/>
  <c r="M925" i="4" s="1"/>
  <c r="E933" i="4"/>
  <c r="F933" i="4" s="1"/>
  <c r="G933" i="4" s="1"/>
  <c r="E941" i="4"/>
  <c r="F941" i="4" s="1"/>
  <c r="G941" i="4" s="1"/>
  <c r="E949" i="4"/>
  <c r="F949" i="4" s="1"/>
  <c r="G949" i="4" s="1"/>
  <c r="E957" i="4"/>
  <c r="F957" i="4" s="1"/>
  <c r="G957" i="4" s="1"/>
  <c r="M957" i="4" s="1"/>
  <c r="E965" i="4"/>
  <c r="F965" i="4" s="1"/>
  <c r="G965" i="4" s="1"/>
  <c r="M965" i="4" s="1"/>
  <c r="E973" i="4"/>
  <c r="F973" i="4" s="1"/>
  <c r="G973" i="4" s="1"/>
  <c r="E981" i="4"/>
  <c r="F981" i="4" s="1"/>
  <c r="G981" i="4" s="1"/>
  <c r="E989" i="4"/>
  <c r="F989" i="4" s="1"/>
  <c r="G989" i="4" s="1"/>
  <c r="M989" i="4" s="1"/>
  <c r="E997" i="4"/>
  <c r="F997" i="4" s="1"/>
  <c r="G997" i="4" s="1"/>
  <c r="M997" i="4" s="1"/>
  <c r="E1005" i="4"/>
  <c r="F1005" i="4" s="1"/>
  <c r="G1005" i="4" s="1"/>
  <c r="E1013" i="4"/>
  <c r="F1013" i="4" s="1"/>
  <c r="G1013" i="4" s="1"/>
  <c r="E1021" i="4"/>
  <c r="F1021" i="4" s="1"/>
  <c r="G1021" i="4" s="1"/>
  <c r="M1021" i="4" s="1"/>
  <c r="E1029" i="4"/>
  <c r="F1029" i="4" s="1"/>
  <c r="G1029" i="4" s="1"/>
  <c r="M1029" i="4" s="1"/>
  <c r="E1037" i="4"/>
  <c r="F1037" i="4" s="1"/>
  <c r="G1037" i="4" s="1"/>
  <c r="E1045" i="4"/>
  <c r="F1045" i="4" s="1"/>
  <c r="G1045" i="4" s="1"/>
  <c r="E1053" i="4"/>
  <c r="F1053" i="4" s="1"/>
  <c r="G1053" i="4" s="1"/>
  <c r="M1053" i="4" s="1"/>
  <c r="E1061" i="4"/>
  <c r="F1061" i="4" s="1"/>
  <c r="G1061" i="4" s="1"/>
  <c r="M1061" i="4" s="1"/>
  <c r="E1069" i="4"/>
  <c r="F1069" i="4" s="1"/>
  <c r="G1069" i="4" s="1"/>
  <c r="E1077" i="4"/>
  <c r="F1077" i="4" s="1"/>
  <c r="G1077" i="4" s="1"/>
  <c r="E1085" i="4"/>
  <c r="F1085" i="4" s="1"/>
  <c r="G1085" i="4" s="1"/>
  <c r="M1085" i="4" s="1"/>
  <c r="E1093" i="4"/>
  <c r="F1093" i="4" s="1"/>
  <c r="G1093" i="4" s="1"/>
  <c r="M1093" i="4" s="1"/>
  <c r="E1101" i="4"/>
  <c r="F1101" i="4" s="1"/>
  <c r="G1101" i="4" s="1"/>
  <c r="E1107" i="4"/>
  <c r="F1107" i="4" s="1"/>
  <c r="G1107" i="4" s="1"/>
  <c r="M1107" i="4" s="1"/>
  <c r="E1111" i="4"/>
  <c r="F1111" i="4" s="1"/>
  <c r="G1111" i="4" s="1"/>
  <c r="M1111" i="4" s="1"/>
  <c r="E1115" i="4"/>
  <c r="F1115" i="4" s="1"/>
  <c r="G1115" i="4" s="1"/>
  <c r="E1119" i="4"/>
  <c r="F1119" i="4" s="1"/>
  <c r="G1119" i="4" s="1"/>
  <c r="M1119" i="4" s="1"/>
  <c r="E1123" i="4"/>
  <c r="F1123" i="4" s="1"/>
  <c r="G1123" i="4" s="1"/>
  <c r="M1123" i="4" s="1"/>
  <c r="E1127" i="4"/>
  <c r="F1127" i="4" s="1"/>
  <c r="G1127" i="4" s="1"/>
  <c r="M1127" i="4" s="1"/>
  <c r="E1131" i="4"/>
  <c r="F1131" i="4" s="1"/>
  <c r="G1131" i="4" s="1"/>
  <c r="E1135" i="4"/>
  <c r="F1135" i="4" s="1"/>
  <c r="G1135" i="4" s="1"/>
  <c r="M1135" i="4" s="1"/>
  <c r="E1139" i="4"/>
  <c r="F1139" i="4" s="1"/>
  <c r="G1139" i="4" s="1"/>
  <c r="M1139" i="4" s="1"/>
  <c r="E1143" i="4"/>
  <c r="F1143" i="4" s="1"/>
  <c r="G1143" i="4" s="1"/>
  <c r="M1143" i="4" s="1"/>
  <c r="E1147" i="4"/>
  <c r="F1147" i="4" s="1"/>
  <c r="G1147" i="4" s="1"/>
  <c r="E1151" i="4"/>
  <c r="F1151" i="4" s="1"/>
  <c r="G1151" i="4" s="1"/>
  <c r="E1155" i="4"/>
  <c r="F1155" i="4" s="1"/>
  <c r="G1155" i="4" s="1"/>
  <c r="M1155" i="4" s="1"/>
  <c r="E1159" i="4"/>
  <c r="F1159" i="4" s="1"/>
  <c r="G1159" i="4" s="1"/>
  <c r="M1159" i="4" s="1"/>
  <c r="E1163" i="4"/>
  <c r="F1163" i="4" s="1"/>
  <c r="G1163" i="4" s="1"/>
  <c r="E1167" i="4"/>
  <c r="F1167" i="4" s="1"/>
  <c r="G1167" i="4" s="1"/>
  <c r="M1167" i="4" s="1"/>
  <c r="E1171" i="4"/>
  <c r="F1171" i="4" s="1"/>
  <c r="G1171" i="4" s="1"/>
  <c r="M1171" i="4" s="1"/>
  <c r="E1175" i="4"/>
  <c r="F1175" i="4" s="1"/>
  <c r="G1175" i="4" s="1"/>
  <c r="M1175" i="4" s="1"/>
  <c r="E1179" i="4"/>
  <c r="F1179" i="4" s="1"/>
  <c r="G1179" i="4" s="1"/>
  <c r="E1183" i="4"/>
  <c r="F1183" i="4" s="1"/>
  <c r="G1183" i="4" s="1"/>
  <c r="M1183" i="4" s="1"/>
  <c r="E1187" i="4"/>
  <c r="F1187" i="4" s="1"/>
  <c r="G1187" i="4" s="1"/>
  <c r="E1191" i="4"/>
  <c r="F1191" i="4" s="1"/>
  <c r="G1191" i="4" s="1"/>
  <c r="M1191" i="4" s="1"/>
  <c r="E1195" i="4"/>
  <c r="F1195" i="4" s="1"/>
  <c r="G1195" i="4" s="1"/>
  <c r="E1199" i="4"/>
  <c r="F1199" i="4" s="1"/>
  <c r="G1199" i="4" s="1"/>
  <c r="E1203" i="4"/>
  <c r="F1203" i="4" s="1"/>
  <c r="G1203" i="4" s="1"/>
  <c r="E1207" i="4"/>
  <c r="F1207" i="4" s="1"/>
  <c r="G1207" i="4" s="1"/>
  <c r="M1207" i="4" s="1"/>
  <c r="E1211" i="4"/>
  <c r="F1211" i="4" s="1"/>
  <c r="G1211" i="4" s="1"/>
  <c r="E1215" i="4"/>
  <c r="F1215" i="4" s="1"/>
  <c r="G1215" i="4" s="1"/>
  <c r="E1219" i="4"/>
  <c r="F1219" i="4" s="1"/>
  <c r="G1219" i="4" s="1"/>
  <c r="E1223" i="4"/>
  <c r="F1223" i="4" s="1"/>
  <c r="G1223" i="4" s="1"/>
  <c r="M1223" i="4" s="1"/>
  <c r="E1227" i="4"/>
  <c r="F1227" i="4" s="1"/>
  <c r="G1227" i="4" s="1"/>
  <c r="M1227" i="4" s="1"/>
  <c r="E1231" i="4"/>
  <c r="F1231" i="4" s="1"/>
  <c r="G1231" i="4" s="1"/>
  <c r="M1231" i="4" s="1"/>
  <c r="E1235" i="4"/>
  <c r="F1235" i="4" s="1"/>
  <c r="G1235" i="4" s="1"/>
  <c r="M1235" i="4" s="1"/>
  <c r="E1239" i="4"/>
  <c r="F1239" i="4" s="1"/>
  <c r="G1239" i="4" s="1"/>
  <c r="M1239" i="4" s="1"/>
  <c r="E1243" i="4"/>
  <c r="F1243" i="4" s="1"/>
  <c r="G1243" i="4" s="1"/>
  <c r="E1247" i="4"/>
  <c r="F1247" i="4" s="1"/>
  <c r="G1247" i="4" s="1"/>
  <c r="M1247" i="4" s="1"/>
  <c r="E1251" i="4"/>
  <c r="F1251" i="4" s="1"/>
  <c r="G1251" i="4" s="1"/>
  <c r="E1255" i="4"/>
  <c r="F1255" i="4" s="1"/>
  <c r="G1255" i="4" s="1"/>
  <c r="M1255" i="4" s="1"/>
  <c r="E1259" i="4"/>
  <c r="F1259" i="4" s="1"/>
  <c r="G1259" i="4" s="1"/>
  <c r="E36" i="4"/>
  <c r="F36" i="4" s="1"/>
  <c r="G36" i="4" s="1"/>
  <c r="E100" i="4"/>
  <c r="F100" i="4" s="1"/>
  <c r="G100" i="4" s="1"/>
  <c r="M100" i="4" s="1"/>
  <c r="E164" i="4"/>
  <c r="F164" i="4" s="1"/>
  <c r="G164" i="4" s="1"/>
  <c r="M164" i="4" s="1"/>
  <c r="E228" i="4"/>
  <c r="F228" i="4" s="1"/>
  <c r="G228" i="4" s="1"/>
  <c r="E292" i="4"/>
  <c r="F292" i="4" s="1"/>
  <c r="G292" i="4" s="1"/>
  <c r="E328" i="4"/>
  <c r="F328" i="4" s="1"/>
  <c r="G328" i="4" s="1"/>
  <c r="E348" i="4"/>
  <c r="F348" i="4" s="1"/>
  <c r="G348" i="4" s="1"/>
  <c r="M348" i="4" s="1"/>
  <c r="E364" i="4"/>
  <c r="F364" i="4" s="1"/>
  <c r="G364" i="4" s="1"/>
  <c r="M364" i="4" s="1"/>
  <c r="E380" i="4"/>
  <c r="F380" i="4" s="1"/>
  <c r="G380" i="4" s="1"/>
  <c r="M380" i="4" s="1"/>
  <c r="E396" i="4"/>
  <c r="F396" i="4" s="1"/>
  <c r="G396" i="4" s="1"/>
  <c r="E412" i="4"/>
  <c r="F412" i="4" s="1"/>
  <c r="G412" i="4" s="1"/>
  <c r="M412" i="4" s="1"/>
  <c r="E428" i="4"/>
  <c r="F428" i="4" s="1"/>
  <c r="G428" i="4" s="1"/>
  <c r="M428" i="4" s="1"/>
  <c r="E444" i="4"/>
  <c r="F444" i="4" s="1"/>
  <c r="G444" i="4" s="1"/>
  <c r="M444" i="4" s="1"/>
  <c r="E460" i="4"/>
  <c r="F460" i="4" s="1"/>
  <c r="G460" i="4" s="1"/>
  <c r="E476" i="4"/>
  <c r="F476" i="4" s="1"/>
  <c r="G476" i="4" s="1"/>
  <c r="M476" i="4" s="1"/>
  <c r="E492" i="4"/>
  <c r="F492" i="4" s="1"/>
  <c r="G492" i="4" s="1"/>
  <c r="M492" i="4" s="1"/>
  <c r="E508" i="4"/>
  <c r="F508" i="4" s="1"/>
  <c r="G508" i="4" s="1"/>
  <c r="M508" i="4" s="1"/>
  <c r="E524" i="4"/>
  <c r="F524" i="4" s="1"/>
  <c r="G524" i="4" s="1"/>
  <c r="E540" i="4"/>
  <c r="F540" i="4" s="1"/>
  <c r="G540" i="4" s="1"/>
  <c r="M540" i="4" s="1"/>
  <c r="E556" i="4"/>
  <c r="F556" i="4" s="1"/>
  <c r="G556" i="4" s="1"/>
  <c r="E572" i="4"/>
  <c r="F572" i="4" s="1"/>
  <c r="G572" i="4" s="1"/>
  <c r="E587" i="4"/>
  <c r="F587" i="4" s="1"/>
  <c r="G587" i="4" s="1"/>
  <c r="M587" i="4" s="1"/>
  <c r="E598" i="4"/>
  <c r="F598" i="4" s="1"/>
  <c r="G598" i="4" s="1"/>
  <c r="M598" i="4" s="1"/>
  <c r="E608" i="4"/>
  <c r="F608" i="4" s="1"/>
  <c r="G608" i="4" s="1"/>
  <c r="E619" i="4"/>
  <c r="F619" i="4" s="1"/>
  <c r="G619" i="4" s="1"/>
  <c r="E630" i="4"/>
  <c r="F630" i="4" s="1"/>
  <c r="G630" i="4" s="1"/>
  <c r="M630" i="4" s="1"/>
  <c r="E638" i="4"/>
  <c r="F638" i="4" s="1"/>
  <c r="G638" i="4" s="1"/>
  <c r="M638" i="4" s="1"/>
  <c r="E646" i="4"/>
  <c r="F646" i="4" s="1"/>
  <c r="G646" i="4" s="1"/>
  <c r="M646" i="4" s="1"/>
  <c r="E654" i="4"/>
  <c r="F654" i="4" s="1"/>
  <c r="G654" i="4" s="1"/>
  <c r="E662" i="4"/>
  <c r="F662" i="4" s="1"/>
  <c r="G662" i="4" s="1"/>
  <c r="M662" i="4" s="1"/>
  <c r="E670" i="4"/>
  <c r="F670" i="4" s="1"/>
  <c r="G670" i="4" s="1"/>
  <c r="M670" i="4" s="1"/>
  <c r="E678" i="4"/>
  <c r="F678" i="4" s="1"/>
  <c r="G678" i="4" s="1"/>
  <c r="M678" i="4" s="1"/>
  <c r="E686" i="4"/>
  <c r="F686" i="4" s="1"/>
  <c r="G686" i="4" s="1"/>
  <c r="E694" i="4"/>
  <c r="F694" i="4" s="1"/>
  <c r="G694" i="4" s="1"/>
  <c r="M694" i="4" s="1"/>
  <c r="E702" i="4"/>
  <c r="F702" i="4" s="1"/>
  <c r="G702" i="4" s="1"/>
  <c r="M702" i="4" s="1"/>
  <c r="E710" i="4"/>
  <c r="F710" i="4" s="1"/>
  <c r="G710" i="4" s="1"/>
  <c r="M710" i="4" s="1"/>
  <c r="E718" i="4"/>
  <c r="F718" i="4" s="1"/>
  <c r="G718" i="4" s="1"/>
  <c r="E726" i="4"/>
  <c r="F726" i="4" s="1"/>
  <c r="G726" i="4" s="1"/>
  <c r="M726" i="4" s="1"/>
  <c r="E734" i="4"/>
  <c r="F734" i="4" s="1"/>
  <c r="G734" i="4" s="1"/>
  <c r="M734" i="4" s="1"/>
  <c r="E742" i="4"/>
  <c r="F742" i="4" s="1"/>
  <c r="G742" i="4" s="1"/>
  <c r="M742" i="4" s="1"/>
  <c r="E750" i="4"/>
  <c r="F750" i="4" s="1"/>
  <c r="G750" i="4" s="1"/>
  <c r="E758" i="4"/>
  <c r="F758" i="4" s="1"/>
  <c r="G758" i="4" s="1"/>
  <c r="M758" i="4" s="1"/>
  <c r="E766" i="4"/>
  <c r="F766" i="4" s="1"/>
  <c r="G766" i="4" s="1"/>
  <c r="M766" i="4" s="1"/>
  <c r="E774" i="4"/>
  <c r="F774" i="4" s="1"/>
  <c r="G774" i="4" s="1"/>
  <c r="M774" i="4" s="1"/>
  <c r="E782" i="4"/>
  <c r="F782" i="4" s="1"/>
  <c r="G782" i="4" s="1"/>
  <c r="E790" i="4"/>
  <c r="F790" i="4" s="1"/>
  <c r="G790" i="4" s="1"/>
  <c r="M790" i="4" s="1"/>
  <c r="E798" i="4"/>
  <c r="F798" i="4" s="1"/>
  <c r="G798" i="4" s="1"/>
  <c r="M798" i="4" s="1"/>
  <c r="E806" i="4"/>
  <c r="F806" i="4" s="1"/>
  <c r="G806" i="4" s="1"/>
  <c r="M806" i="4" s="1"/>
  <c r="E814" i="4"/>
  <c r="F814" i="4" s="1"/>
  <c r="G814" i="4" s="1"/>
  <c r="E822" i="4"/>
  <c r="F822" i="4" s="1"/>
  <c r="G822" i="4" s="1"/>
  <c r="M822" i="4" s="1"/>
  <c r="E830" i="4"/>
  <c r="F830" i="4" s="1"/>
  <c r="G830" i="4" s="1"/>
  <c r="M830" i="4" s="1"/>
  <c r="E838" i="4"/>
  <c r="F838" i="4" s="1"/>
  <c r="G838" i="4" s="1"/>
  <c r="M838" i="4" s="1"/>
  <c r="E846" i="4"/>
  <c r="F846" i="4" s="1"/>
  <c r="G846" i="4" s="1"/>
  <c r="E854" i="4"/>
  <c r="F854" i="4" s="1"/>
  <c r="G854" i="4" s="1"/>
  <c r="M854" i="4" s="1"/>
  <c r="E862" i="4"/>
  <c r="F862" i="4" s="1"/>
  <c r="G862" i="4" s="1"/>
  <c r="M862" i="4" s="1"/>
  <c r="E870" i="4"/>
  <c r="F870" i="4" s="1"/>
  <c r="G870" i="4" s="1"/>
  <c r="M870" i="4" s="1"/>
  <c r="E878" i="4"/>
  <c r="F878" i="4" s="1"/>
  <c r="G878" i="4" s="1"/>
  <c r="E886" i="4"/>
  <c r="F886" i="4" s="1"/>
  <c r="G886" i="4" s="1"/>
  <c r="M886" i="4" s="1"/>
  <c r="E894" i="4"/>
  <c r="F894" i="4" s="1"/>
  <c r="G894" i="4" s="1"/>
  <c r="M894" i="4" s="1"/>
  <c r="E902" i="4"/>
  <c r="F902" i="4" s="1"/>
  <c r="G902" i="4" s="1"/>
  <c r="M902" i="4" s="1"/>
  <c r="E910" i="4"/>
  <c r="F910" i="4" s="1"/>
  <c r="G910" i="4" s="1"/>
  <c r="E918" i="4"/>
  <c r="F918" i="4" s="1"/>
  <c r="G918" i="4" s="1"/>
  <c r="M918" i="4" s="1"/>
  <c r="E926" i="4"/>
  <c r="F926" i="4" s="1"/>
  <c r="G926" i="4" s="1"/>
  <c r="M926" i="4" s="1"/>
  <c r="E934" i="4"/>
  <c r="F934" i="4" s="1"/>
  <c r="G934" i="4" s="1"/>
  <c r="M934" i="4" s="1"/>
  <c r="E942" i="4"/>
  <c r="F942" i="4" s="1"/>
  <c r="G942" i="4" s="1"/>
  <c r="E950" i="4"/>
  <c r="F950" i="4" s="1"/>
  <c r="G950" i="4" s="1"/>
  <c r="E958" i="4"/>
  <c r="F958" i="4" s="1"/>
  <c r="G958" i="4" s="1"/>
  <c r="M958" i="4" s="1"/>
  <c r="E966" i="4"/>
  <c r="F966" i="4" s="1"/>
  <c r="G966" i="4" s="1"/>
  <c r="M966" i="4" s="1"/>
  <c r="E974" i="4"/>
  <c r="F974" i="4" s="1"/>
  <c r="G974" i="4" s="1"/>
  <c r="E982" i="4"/>
  <c r="F982" i="4" s="1"/>
  <c r="G982" i="4" s="1"/>
  <c r="E990" i="4"/>
  <c r="F990" i="4" s="1"/>
  <c r="G990" i="4" s="1"/>
  <c r="M990" i="4" s="1"/>
  <c r="E998" i="4"/>
  <c r="F998" i="4" s="1"/>
  <c r="G998" i="4" s="1"/>
  <c r="M998" i="4" s="1"/>
  <c r="E1006" i="4"/>
  <c r="F1006" i="4" s="1"/>
  <c r="G1006" i="4" s="1"/>
  <c r="E1014" i="4"/>
  <c r="F1014" i="4" s="1"/>
  <c r="G1014" i="4" s="1"/>
  <c r="E1022" i="4"/>
  <c r="F1022" i="4" s="1"/>
  <c r="G1022" i="4" s="1"/>
  <c r="M1022" i="4" s="1"/>
  <c r="E1030" i="4"/>
  <c r="F1030" i="4" s="1"/>
  <c r="G1030" i="4" s="1"/>
  <c r="M1030" i="4" s="1"/>
  <c r="E1038" i="4"/>
  <c r="F1038" i="4" s="1"/>
  <c r="G1038" i="4" s="1"/>
  <c r="E1046" i="4"/>
  <c r="F1046" i="4" s="1"/>
  <c r="G1046" i="4" s="1"/>
  <c r="E1054" i="4"/>
  <c r="F1054" i="4" s="1"/>
  <c r="G1054" i="4" s="1"/>
  <c r="M1054" i="4" s="1"/>
  <c r="E1062" i="4"/>
  <c r="F1062" i="4" s="1"/>
  <c r="G1062" i="4" s="1"/>
  <c r="M1062" i="4" s="1"/>
  <c r="E1070" i="4"/>
  <c r="F1070" i="4" s="1"/>
  <c r="G1070" i="4" s="1"/>
  <c r="E1078" i="4"/>
  <c r="F1078" i="4" s="1"/>
  <c r="G1078" i="4" s="1"/>
  <c r="E1086" i="4"/>
  <c r="F1086" i="4" s="1"/>
  <c r="G1086" i="4" s="1"/>
  <c r="M1086" i="4" s="1"/>
  <c r="E1094" i="4"/>
  <c r="F1094" i="4" s="1"/>
  <c r="G1094" i="4" s="1"/>
  <c r="M1094" i="4" s="1"/>
  <c r="E1102" i="4"/>
  <c r="F1102" i="4" s="1"/>
  <c r="G1102" i="4" s="1"/>
  <c r="E1108" i="4"/>
  <c r="F1108" i="4" s="1"/>
  <c r="G1108" i="4" s="1"/>
  <c r="M1108" i="4" s="1"/>
  <c r="E1112" i="4"/>
  <c r="F1112" i="4" s="1"/>
  <c r="G1112" i="4" s="1"/>
  <c r="M1112" i="4" s="1"/>
  <c r="E1116" i="4"/>
  <c r="F1116" i="4" s="1"/>
  <c r="G1116" i="4" s="1"/>
  <c r="E1120" i="4"/>
  <c r="F1120" i="4" s="1"/>
  <c r="G1120" i="4" s="1"/>
  <c r="M1120" i="4" s="1"/>
  <c r="E1124" i="4"/>
  <c r="F1124" i="4" s="1"/>
  <c r="G1124" i="4" s="1"/>
  <c r="M1124" i="4" s="1"/>
  <c r="E1128" i="4"/>
  <c r="F1128" i="4" s="1"/>
  <c r="G1128" i="4" s="1"/>
  <c r="M1128" i="4" s="1"/>
  <c r="E1132" i="4"/>
  <c r="F1132" i="4" s="1"/>
  <c r="G1132" i="4" s="1"/>
  <c r="E1136" i="4"/>
  <c r="F1136" i="4" s="1"/>
  <c r="G1136" i="4" s="1"/>
  <c r="M1136" i="4" s="1"/>
  <c r="E1140" i="4"/>
  <c r="F1140" i="4" s="1"/>
  <c r="G1140" i="4" s="1"/>
  <c r="M1140" i="4" s="1"/>
  <c r="E1144" i="4"/>
  <c r="F1144" i="4" s="1"/>
  <c r="G1144" i="4" s="1"/>
  <c r="M1144" i="4" s="1"/>
  <c r="E1148" i="4"/>
  <c r="F1148" i="4" s="1"/>
  <c r="G1148" i="4" s="1"/>
  <c r="E1152" i="4"/>
  <c r="F1152" i="4" s="1"/>
  <c r="G1152" i="4" s="1"/>
  <c r="E1156" i="4"/>
  <c r="F1156" i="4" s="1"/>
  <c r="G1156" i="4" s="1"/>
  <c r="M1156" i="4" s="1"/>
  <c r="E1160" i="4"/>
  <c r="F1160" i="4" s="1"/>
  <c r="G1160" i="4" s="1"/>
  <c r="M1160" i="4" s="1"/>
  <c r="E1164" i="4"/>
  <c r="F1164" i="4" s="1"/>
  <c r="G1164" i="4" s="1"/>
  <c r="E1168" i="4"/>
  <c r="F1168" i="4" s="1"/>
  <c r="G1168" i="4" s="1"/>
  <c r="E1172" i="4"/>
  <c r="F1172" i="4" s="1"/>
  <c r="G1172" i="4" s="1"/>
  <c r="M1172" i="4" s="1"/>
  <c r="E1176" i="4"/>
  <c r="F1176" i="4" s="1"/>
  <c r="G1176" i="4" s="1"/>
  <c r="M1176" i="4" s="1"/>
  <c r="E1180" i="4"/>
  <c r="F1180" i="4" s="1"/>
  <c r="G1180" i="4" s="1"/>
  <c r="E1184" i="4"/>
  <c r="F1184" i="4" s="1"/>
  <c r="G1184" i="4" s="1"/>
  <c r="M1184" i="4" s="1"/>
  <c r="E1188" i="4"/>
  <c r="F1188" i="4" s="1"/>
  <c r="G1188" i="4" s="1"/>
  <c r="E1192" i="4"/>
  <c r="F1192" i="4" s="1"/>
  <c r="G1192" i="4" s="1"/>
  <c r="M1192" i="4" s="1"/>
  <c r="E1196" i="4"/>
  <c r="F1196" i="4" s="1"/>
  <c r="G1196" i="4" s="1"/>
  <c r="E1200" i="4"/>
  <c r="F1200" i="4" s="1"/>
  <c r="G1200" i="4" s="1"/>
  <c r="E1204" i="4"/>
  <c r="F1204" i="4" s="1"/>
  <c r="G1204" i="4" s="1"/>
  <c r="M1204" i="4" s="1"/>
  <c r="E1208" i="4"/>
  <c r="F1208" i="4" s="1"/>
  <c r="G1208" i="4" s="1"/>
  <c r="M1208" i="4" s="1"/>
  <c r="E1212" i="4"/>
  <c r="F1212" i="4" s="1"/>
  <c r="G1212" i="4" s="1"/>
  <c r="M1212" i="4" s="1"/>
  <c r="E1216" i="4"/>
  <c r="F1216" i="4" s="1"/>
  <c r="G1216" i="4" s="1"/>
  <c r="E1220" i="4"/>
  <c r="F1220" i="4" s="1"/>
  <c r="G1220" i="4" s="1"/>
  <c r="E1224" i="4"/>
  <c r="F1224" i="4" s="1"/>
  <c r="G1224" i="4" s="1"/>
  <c r="M1224" i="4" s="1"/>
  <c r="E1228" i="4"/>
  <c r="F1228" i="4" s="1"/>
  <c r="G1228" i="4" s="1"/>
  <c r="E1232" i="4"/>
  <c r="F1232" i="4" s="1"/>
  <c r="G1232" i="4" s="1"/>
  <c r="M1232" i="4" s="1"/>
  <c r="E1236" i="4"/>
  <c r="F1236" i="4" s="1"/>
  <c r="G1236" i="4" s="1"/>
  <c r="M1236" i="4" s="1"/>
  <c r="E1240" i="4"/>
  <c r="F1240" i="4" s="1"/>
  <c r="G1240" i="4" s="1"/>
  <c r="M1240" i="4" s="1"/>
  <c r="E1244" i="4"/>
  <c r="F1244" i="4" s="1"/>
  <c r="G1244" i="4" s="1"/>
  <c r="M1244" i="4" s="1"/>
  <c r="E1248" i="4"/>
  <c r="F1248" i="4" s="1"/>
  <c r="G1248" i="4" s="1"/>
  <c r="M1248" i="4" s="1"/>
  <c r="E1252" i="4"/>
  <c r="F1252" i="4" s="1"/>
  <c r="G1252" i="4" s="1"/>
  <c r="E1256" i="4"/>
  <c r="F1256" i="4" s="1"/>
  <c r="G1256" i="4" s="1"/>
  <c r="M1256" i="4" s="1"/>
  <c r="E1260" i="4"/>
  <c r="F1260" i="4" s="1"/>
  <c r="G1260" i="4" s="1"/>
  <c r="E64" i="4"/>
  <c r="F64" i="4" s="1"/>
  <c r="G64" i="4" s="1"/>
  <c r="M64" i="4" s="1"/>
  <c r="E128" i="4"/>
  <c r="F128" i="4" s="1"/>
  <c r="G128" i="4" s="1"/>
  <c r="M128" i="4" s="1"/>
  <c r="E192" i="4"/>
  <c r="F192" i="4" s="1"/>
  <c r="G192" i="4" s="1"/>
  <c r="M192" i="4" s="1"/>
  <c r="E256" i="4"/>
  <c r="F256" i="4" s="1"/>
  <c r="G256" i="4" s="1"/>
  <c r="M256" i="4" s="1"/>
  <c r="E312" i="4"/>
  <c r="F312" i="4" s="1"/>
  <c r="G312" i="4" s="1"/>
  <c r="E338" i="4"/>
  <c r="F338" i="4" s="1"/>
  <c r="G338" i="4" s="1"/>
  <c r="E355" i="4"/>
  <c r="F355" i="4" s="1"/>
  <c r="G355" i="4" s="1"/>
  <c r="M355" i="4" s="1"/>
  <c r="E371" i="4"/>
  <c r="F371" i="4" s="1"/>
  <c r="G371" i="4" s="1"/>
  <c r="E387" i="4"/>
  <c r="F387" i="4" s="1"/>
  <c r="G387" i="4" s="1"/>
  <c r="E403" i="4"/>
  <c r="F403" i="4" s="1"/>
  <c r="G403" i="4" s="1"/>
  <c r="M403" i="4" s="1"/>
  <c r="E419" i="4"/>
  <c r="F419" i="4" s="1"/>
  <c r="G419" i="4" s="1"/>
  <c r="M419" i="4" s="1"/>
  <c r="E435" i="4"/>
  <c r="F435" i="4" s="1"/>
  <c r="G435" i="4" s="1"/>
  <c r="E451" i="4"/>
  <c r="F451" i="4" s="1"/>
  <c r="G451" i="4" s="1"/>
  <c r="M451" i="4" s="1"/>
  <c r="E467" i="4"/>
  <c r="F467" i="4" s="1"/>
  <c r="G467" i="4" s="1"/>
  <c r="E483" i="4"/>
  <c r="F483" i="4" s="1"/>
  <c r="G483" i="4" s="1"/>
  <c r="M483" i="4" s="1"/>
  <c r="E499" i="4"/>
  <c r="F499" i="4" s="1"/>
  <c r="G499" i="4" s="1"/>
  <c r="M499" i="4" s="1"/>
  <c r="E515" i="4"/>
  <c r="F515" i="4" s="1"/>
  <c r="G515" i="4" s="1"/>
  <c r="M515" i="4" s="1"/>
  <c r="E531" i="4"/>
  <c r="F531" i="4" s="1"/>
  <c r="G531" i="4" s="1"/>
  <c r="M531" i="4" s="1"/>
  <c r="E547" i="4"/>
  <c r="F547" i="4" s="1"/>
  <c r="G547" i="4" s="1"/>
  <c r="M547" i="4" s="1"/>
  <c r="E563" i="4"/>
  <c r="F563" i="4" s="1"/>
  <c r="G563" i="4" s="1"/>
  <c r="M563" i="4" s="1"/>
  <c r="E579" i="4"/>
  <c r="F579" i="4" s="1"/>
  <c r="G579" i="4" s="1"/>
  <c r="E591" i="4"/>
  <c r="F591" i="4" s="1"/>
  <c r="G591" i="4" s="1"/>
  <c r="E602" i="4"/>
  <c r="F602" i="4" s="1"/>
  <c r="G602" i="4" s="1"/>
  <c r="M602" i="4" s="1"/>
  <c r="E612" i="4"/>
  <c r="F612" i="4" s="1"/>
  <c r="G612" i="4" s="1"/>
  <c r="M612" i="4" s="1"/>
  <c r="E623" i="4"/>
  <c r="F623" i="4" s="1"/>
  <c r="G623" i="4" s="1"/>
  <c r="E633" i="4"/>
  <c r="F633" i="4" s="1"/>
  <c r="G633" i="4" s="1"/>
  <c r="E641" i="4"/>
  <c r="F641" i="4" s="1"/>
  <c r="G641" i="4" s="1"/>
  <c r="M641" i="4" s="1"/>
  <c r="E649" i="4"/>
  <c r="F649" i="4" s="1"/>
  <c r="G649" i="4" s="1"/>
  <c r="E657" i="4"/>
  <c r="F657" i="4" s="1"/>
  <c r="G657" i="4" s="1"/>
  <c r="E665" i="4"/>
  <c r="F665" i="4" s="1"/>
  <c r="G665" i="4" s="1"/>
  <c r="E673" i="4"/>
  <c r="F673" i="4" s="1"/>
  <c r="G673" i="4" s="1"/>
  <c r="M673" i="4" s="1"/>
  <c r="E681" i="4"/>
  <c r="F681" i="4" s="1"/>
  <c r="G681" i="4" s="1"/>
  <c r="M681" i="4" s="1"/>
  <c r="E689" i="4"/>
  <c r="F689" i="4" s="1"/>
  <c r="G689" i="4" s="1"/>
  <c r="M689" i="4" s="1"/>
  <c r="E697" i="4"/>
  <c r="F697" i="4" s="1"/>
  <c r="G697" i="4" s="1"/>
  <c r="E705" i="4"/>
  <c r="F705" i="4" s="1"/>
  <c r="G705" i="4" s="1"/>
  <c r="M705" i="4" s="1"/>
  <c r="E713" i="4"/>
  <c r="F713" i="4" s="1"/>
  <c r="G713" i="4" s="1"/>
  <c r="M713" i="4" s="1"/>
  <c r="E721" i="4"/>
  <c r="F721" i="4" s="1"/>
  <c r="G721" i="4" s="1"/>
  <c r="E729" i="4"/>
  <c r="F729" i="4" s="1"/>
  <c r="G729" i="4" s="1"/>
  <c r="M729" i="4" s="1"/>
  <c r="E737" i="4"/>
  <c r="F737" i="4" s="1"/>
  <c r="G737" i="4" s="1"/>
  <c r="M737" i="4" s="1"/>
  <c r="E745" i="4"/>
  <c r="F745" i="4" s="1"/>
  <c r="G745" i="4" s="1"/>
  <c r="E753" i="4"/>
  <c r="F753" i="4" s="1"/>
  <c r="G753" i="4" s="1"/>
  <c r="M753" i="4" s="1"/>
  <c r="E761" i="4"/>
  <c r="F761" i="4" s="1"/>
  <c r="G761" i="4" s="1"/>
  <c r="M761" i="4" s="1"/>
  <c r="E769" i="4"/>
  <c r="F769" i="4" s="1"/>
  <c r="G769" i="4" s="1"/>
  <c r="M769" i="4" s="1"/>
  <c r="E777" i="4"/>
  <c r="F777" i="4" s="1"/>
  <c r="G777" i="4" s="1"/>
  <c r="E785" i="4"/>
  <c r="F785" i="4" s="1"/>
  <c r="G785" i="4" s="1"/>
  <c r="E793" i="4"/>
  <c r="F793" i="4" s="1"/>
  <c r="G793" i="4" s="1"/>
  <c r="E801" i="4"/>
  <c r="F801" i="4" s="1"/>
  <c r="G801" i="4" s="1"/>
  <c r="M801" i="4" s="1"/>
  <c r="E809" i="4"/>
  <c r="F809" i="4" s="1"/>
  <c r="G809" i="4" s="1"/>
  <c r="M809" i="4" s="1"/>
  <c r="E817" i="4"/>
  <c r="F817" i="4" s="1"/>
  <c r="G817" i="4" s="1"/>
  <c r="M817" i="4" s="1"/>
  <c r="E825" i="4"/>
  <c r="F825" i="4" s="1"/>
  <c r="G825" i="4" s="1"/>
  <c r="M825" i="4" s="1"/>
  <c r="E833" i="4"/>
  <c r="F833" i="4" s="1"/>
  <c r="G833" i="4" s="1"/>
  <c r="M833" i="4" s="1"/>
  <c r="E841" i="4"/>
  <c r="F841" i="4" s="1"/>
  <c r="G841" i="4" s="1"/>
  <c r="M841" i="4" s="1"/>
  <c r="E849" i="4"/>
  <c r="F849" i="4" s="1"/>
  <c r="G849" i="4" s="1"/>
  <c r="E857" i="4"/>
  <c r="F857" i="4" s="1"/>
  <c r="G857" i="4" s="1"/>
  <c r="E865" i="4"/>
  <c r="F865" i="4" s="1"/>
  <c r="G865" i="4" s="1"/>
  <c r="M865" i="4" s="1"/>
  <c r="E873" i="4"/>
  <c r="F873" i="4" s="1"/>
  <c r="G873" i="4" s="1"/>
  <c r="E881" i="4"/>
  <c r="F881" i="4" s="1"/>
  <c r="G881" i="4" s="1"/>
  <c r="M881" i="4" s="1"/>
  <c r="E889" i="4"/>
  <c r="F889" i="4" s="1"/>
  <c r="G889" i="4" s="1"/>
  <c r="M889" i="4" s="1"/>
  <c r="E897" i="4"/>
  <c r="F897" i="4" s="1"/>
  <c r="G897" i="4" s="1"/>
  <c r="M897" i="4" s="1"/>
  <c r="E905" i="4"/>
  <c r="F905" i="4" s="1"/>
  <c r="G905" i="4" s="1"/>
  <c r="E913" i="4"/>
  <c r="F913" i="4" s="1"/>
  <c r="G913" i="4" s="1"/>
  <c r="E921" i="4"/>
  <c r="F921" i="4" s="1"/>
  <c r="G921" i="4" s="1"/>
  <c r="E929" i="4"/>
  <c r="F929" i="4" s="1"/>
  <c r="G929" i="4" s="1"/>
  <c r="M929" i="4" s="1"/>
  <c r="E937" i="4"/>
  <c r="F937" i="4" s="1"/>
  <c r="G937" i="4" s="1"/>
  <c r="M937" i="4" s="1"/>
  <c r="E945" i="4"/>
  <c r="F945" i="4" s="1"/>
  <c r="G945" i="4" s="1"/>
  <c r="M945" i="4" s="1"/>
  <c r="E953" i="4"/>
  <c r="F953" i="4" s="1"/>
  <c r="G953" i="4" s="1"/>
  <c r="M953" i="4" s="1"/>
  <c r="E961" i="4"/>
  <c r="F961" i="4" s="1"/>
  <c r="G961" i="4" s="1"/>
  <c r="M961" i="4" s="1"/>
  <c r="E969" i="4"/>
  <c r="F969" i="4" s="1"/>
  <c r="G969" i="4" s="1"/>
  <c r="E977" i="4"/>
  <c r="F977" i="4" s="1"/>
  <c r="G977" i="4" s="1"/>
  <c r="M977" i="4" s="1"/>
  <c r="E985" i="4"/>
  <c r="F985" i="4" s="1"/>
  <c r="G985" i="4" s="1"/>
  <c r="M985" i="4" s="1"/>
  <c r="E993" i="4"/>
  <c r="F993" i="4" s="1"/>
  <c r="G993" i="4" s="1"/>
  <c r="M993" i="4" s="1"/>
  <c r="E1001" i="4"/>
  <c r="F1001" i="4" s="1"/>
  <c r="G1001" i="4" s="1"/>
  <c r="E1009" i="4"/>
  <c r="F1009" i="4" s="1"/>
  <c r="G1009" i="4" s="1"/>
  <c r="M1009" i="4" s="1"/>
  <c r="E1017" i="4"/>
  <c r="F1017" i="4" s="1"/>
  <c r="G1017" i="4" s="1"/>
  <c r="M1017" i="4" s="1"/>
  <c r="E1025" i="4"/>
  <c r="F1025" i="4" s="1"/>
  <c r="G1025" i="4" s="1"/>
  <c r="M1025" i="4" s="1"/>
  <c r="E1033" i="4"/>
  <c r="F1033" i="4" s="1"/>
  <c r="G1033" i="4" s="1"/>
  <c r="E1041" i="4"/>
  <c r="F1041" i="4" s="1"/>
  <c r="G1041" i="4" s="1"/>
  <c r="M1041" i="4" s="1"/>
  <c r="E1049" i="4"/>
  <c r="F1049" i="4" s="1"/>
  <c r="G1049" i="4" s="1"/>
  <c r="M1049" i="4" s="1"/>
  <c r="E1057" i="4"/>
  <c r="F1057" i="4" s="1"/>
  <c r="G1057" i="4" s="1"/>
  <c r="M1057" i="4" s="1"/>
  <c r="E1065" i="4"/>
  <c r="F1065" i="4" s="1"/>
  <c r="G1065" i="4" s="1"/>
  <c r="E1073" i="4"/>
  <c r="F1073" i="4" s="1"/>
  <c r="G1073" i="4" s="1"/>
  <c r="M1073" i="4" s="1"/>
  <c r="E1081" i="4"/>
  <c r="F1081" i="4" s="1"/>
  <c r="G1081" i="4" s="1"/>
  <c r="M1081" i="4" s="1"/>
  <c r="E1089" i="4"/>
  <c r="F1089" i="4" s="1"/>
  <c r="G1089" i="4" s="1"/>
  <c r="M1089" i="4" s="1"/>
  <c r="E1097" i="4"/>
  <c r="F1097" i="4" s="1"/>
  <c r="G1097" i="4" s="1"/>
  <c r="E1105" i="4"/>
  <c r="F1105" i="4" s="1"/>
  <c r="G1105" i="4" s="1"/>
  <c r="M1105" i="4" s="1"/>
  <c r="E68" i="4"/>
  <c r="F68" i="4" s="1"/>
  <c r="G68" i="4" s="1"/>
  <c r="M68" i="4" s="1"/>
  <c r="E315" i="4"/>
  <c r="F315" i="4" s="1"/>
  <c r="G315" i="4" s="1"/>
  <c r="M315" i="4" s="1"/>
  <c r="E388" i="4"/>
  <c r="F388" i="4" s="1"/>
  <c r="G388" i="4" s="1"/>
  <c r="E452" i="4"/>
  <c r="F452" i="4" s="1"/>
  <c r="G452" i="4" s="1"/>
  <c r="M452" i="4" s="1"/>
  <c r="E516" i="4"/>
  <c r="F516" i="4" s="1"/>
  <c r="G516" i="4" s="1"/>
  <c r="E580" i="4"/>
  <c r="F580" i="4" s="1"/>
  <c r="G580" i="4" s="1"/>
  <c r="M580" i="4" s="1"/>
  <c r="E624" i="4"/>
  <c r="F624" i="4" s="1"/>
  <c r="G624" i="4" s="1"/>
  <c r="E658" i="4"/>
  <c r="F658" i="4" s="1"/>
  <c r="G658" i="4" s="1"/>
  <c r="E690" i="4"/>
  <c r="F690" i="4" s="1"/>
  <c r="G690" i="4" s="1"/>
  <c r="E722" i="4"/>
  <c r="F722" i="4" s="1"/>
  <c r="G722" i="4" s="1"/>
  <c r="M722" i="4" s="1"/>
  <c r="E754" i="4"/>
  <c r="F754" i="4" s="1"/>
  <c r="G754" i="4" s="1"/>
  <c r="E786" i="4"/>
  <c r="F786" i="4" s="1"/>
  <c r="G786" i="4" s="1"/>
  <c r="E818" i="4"/>
  <c r="F818" i="4" s="1"/>
  <c r="G818" i="4" s="1"/>
  <c r="E850" i="4"/>
  <c r="F850" i="4" s="1"/>
  <c r="G850" i="4" s="1"/>
  <c r="M850" i="4" s="1"/>
  <c r="E882" i="4"/>
  <c r="F882" i="4" s="1"/>
  <c r="G882" i="4" s="1"/>
  <c r="E914" i="4"/>
  <c r="F914" i="4" s="1"/>
  <c r="G914" i="4" s="1"/>
  <c r="E946" i="4"/>
  <c r="F946" i="4" s="1"/>
  <c r="G946" i="4" s="1"/>
  <c r="M946" i="4" s="1"/>
  <c r="E978" i="4"/>
  <c r="F978" i="4" s="1"/>
  <c r="G978" i="4" s="1"/>
  <c r="M978" i="4" s="1"/>
  <c r="E1010" i="4"/>
  <c r="F1010" i="4" s="1"/>
  <c r="G1010" i="4" s="1"/>
  <c r="M1010" i="4" s="1"/>
  <c r="E1042" i="4"/>
  <c r="F1042" i="4" s="1"/>
  <c r="G1042" i="4" s="1"/>
  <c r="M1042" i="4" s="1"/>
  <c r="E1074" i="4"/>
  <c r="F1074" i="4" s="1"/>
  <c r="G1074" i="4" s="1"/>
  <c r="M1074" i="4" s="1"/>
  <c r="E1106" i="4"/>
  <c r="F1106" i="4" s="1"/>
  <c r="G1106" i="4" s="1"/>
  <c r="M1106" i="4" s="1"/>
  <c r="E1114" i="4"/>
  <c r="F1114" i="4" s="1"/>
  <c r="G1114" i="4" s="1"/>
  <c r="E1122" i="4"/>
  <c r="F1122" i="4" s="1"/>
  <c r="G1122" i="4" s="1"/>
  <c r="M1122" i="4" s="1"/>
  <c r="E1130" i="4"/>
  <c r="F1130" i="4" s="1"/>
  <c r="G1130" i="4" s="1"/>
  <c r="M1130" i="4" s="1"/>
  <c r="E1138" i="4"/>
  <c r="F1138" i="4" s="1"/>
  <c r="G1138" i="4" s="1"/>
  <c r="M1138" i="4" s="1"/>
  <c r="E1146" i="4"/>
  <c r="F1146" i="4" s="1"/>
  <c r="G1146" i="4" s="1"/>
  <c r="E1154" i="4"/>
  <c r="F1154" i="4" s="1"/>
  <c r="G1154" i="4" s="1"/>
  <c r="M1154" i="4" s="1"/>
  <c r="E1162" i="4"/>
  <c r="F1162" i="4" s="1"/>
  <c r="G1162" i="4" s="1"/>
  <c r="M1162" i="4" s="1"/>
  <c r="E1170" i="4"/>
  <c r="F1170" i="4" s="1"/>
  <c r="G1170" i="4" s="1"/>
  <c r="M1170" i="4" s="1"/>
  <c r="E1178" i="4"/>
  <c r="F1178" i="4" s="1"/>
  <c r="G1178" i="4" s="1"/>
  <c r="E1186" i="4"/>
  <c r="F1186" i="4" s="1"/>
  <c r="G1186" i="4" s="1"/>
  <c r="M1186" i="4" s="1"/>
  <c r="E1194" i="4"/>
  <c r="F1194" i="4" s="1"/>
  <c r="G1194" i="4" s="1"/>
  <c r="M1194" i="4" s="1"/>
  <c r="E1202" i="4"/>
  <c r="F1202" i="4" s="1"/>
  <c r="G1202" i="4" s="1"/>
  <c r="M1202" i="4" s="1"/>
  <c r="E1210" i="4"/>
  <c r="F1210" i="4" s="1"/>
  <c r="G1210" i="4" s="1"/>
  <c r="M1210" i="4" s="1"/>
  <c r="E1218" i="4"/>
  <c r="F1218" i="4" s="1"/>
  <c r="G1218" i="4" s="1"/>
  <c r="M1218" i="4" s="1"/>
  <c r="E1226" i="4"/>
  <c r="F1226" i="4" s="1"/>
  <c r="G1226" i="4" s="1"/>
  <c r="M1226" i="4" s="1"/>
  <c r="E1234" i="4"/>
  <c r="F1234" i="4" s="1"/>
  <c r="G1234" i="4" s="1"/>
  <c r="M1234" i="4" s="1"/>
  <c r="E1242" i="4"/>
  <c r="F1242" i="4" s="1"/>
  <c r="G1242" i="4" s="1"/>
  <c r="E1250" i="4"/>
  <c r="F1250" i="4" s="1"/>
  <c r="G1250" i="4" s="1"/>
  <c r="E1258" i="4"/>
  <c r="F1258" i="4" s="1"/>
  <c r="G1258" i="4" s="1"/>
  <c r="M1258" i="4" s="1"/>
  <c r="E132" i="4"/>
  <c r="F132" i="4" s="1"/>
  <c r="G132" i="4" s="1"/>
  <c r="M132" i="4" s="1"/>
  <c r="E339" i="4"/>
  <c r="F339" i="4" s="1"/>
  <c r="G339" i="4" s="1"/>
  <c r="M339" i="4" s="1"/>
  <c r="E404" i="4"/>
  <c r="F404" i="4" s="1"/>
  <c r="G404" i="4" s="1"/>
  <c r="M404" i="4" s="1"/>
  <c r="E468" i="4"/>
  <c r="F468" i="4" s="1"/>
  <c r="G468" i="4" s="1"/>
  <c r="E532" i="4"/>
  <c r="F532" i="4" s="1"/>
  <c r="G532" i="4" s="1"/>
  <c r="M532" i="4" s="1"/>
  <c r="E592" i="4"/>
  <c r="F592" i="4" s="1"/>
  <c r="G592" i="4" s="1"/>
  <c r="M592" i="4" s="1"/>
  <c r="E634" i="4"/>
  <c r="F634" i="4" s="1"/>
  <c r="G634" i="4" s="1"/>
  <c r="M634" i="4" s="1"/>
  <c r="E666" i="4"/>
  <c r="F666" i="4" s="1"/>
  <c r="G666" i="4" s="1"/>
  <c r="M666" i="4" s="1"/>
  <c r="E698" i="4"/>
  <c r="F698" i="4" s="1"/>
  <c r="G698" i="4" s="1"/>
  <c r="M698" i="4" s="1"/>
  <c r="E730" i="4"/>
  <c r="F730" i="4" s="1"/>
  <c r="G730" i="4" s="1"/>
  <c r="M730" i="4" s="1"/>
  <c r="E762" i="4"/>
  <c r="F762" i="4" s="1"/>
  <c r="G762" i="4" s="1"/>
  <c r="M762" i="4" s="1"/>
  <c r="E794" i="4"/>
  <c r="F794" i="4" s="1"/>
  <c r="G794" i="4" s="1"/>
  <c r="M794" i="4" s="1"/>
  <c r="E826" i="4"/>
  <c r="F826" i="4" s="1"/>
  <c r="G826" i="4" s="1"/>
  <c r="M826" i="4" s="1"/>
  <c r="E858" i="4"/>
  <c r="F858" i="4" s="1"/>
  <c r="G858" i="4" s="1"/>
  <c r="M858" i="4" s="1"/>
  <c r="E890" i="4"/>
  <c r="F890" i="4" s="1"/>
  <c r="G890" i="4" s="1"/>
  <c r="M890" i="4" s="1"/>
  <c r="E922" i="4"/>
  <c r="F922" i="4" s="1"/>
  <c r="G922" i="4" s="1"/>
  <c r="M922" i="4" s="1"/>
  <c r="E954" i="4"/>
  <c r="F954" i="4" s="1"/>
  <c r="G954" i="4" s="1"/>
  <c r="M954" i="4" s="1"/>
  <c r="E986" i="4"/>
  <c r="F986" i="4" s="1"/>
  <c r="G986" i="4" s="1"/>
  <c r="E1018" i="4"/>
  <c r="F1018" i="4" s="1"/>
  <c r="G1018" i="4" s="1"/>
  <c r="E1050" i="4"/>
  <c r="F1050" i="4" s="1"/>
  <c r="G1050" i="4" s="1"/>
  <c r="M1050" i="4" s="1"/>
  <c r="E1082" i="4"/>
  <c r="F1082" i="4" s="1"/>
  <c r="G1082" i="4" s="1"/>
  <c r="M1082" i="4" s="1"/>
  <c r="E1109" i="4"/>
  <c r="F1109" i="4" s="1"/>
  <c r="G1109" i="4" s="1"/>
  <c r="M1109" i="4" s="1"/>
  <c r="E1117" i="4"/>
  <c r="F1117" i="4" s="1"/>
  <c r="G1117" i="4" s="1"/>
  <c r="E1125" i="4"/>
  <c r="F1125" i="4" s="1"/>
  <c r="G1125" i="4" s="1"/>
  <c r="M1125" i="4" s="1"/>
  <c r="E1133" i="4"/>
  <c r="F1133" i="4" s="1"/>
  <c r="G1133" i="4" s="1"/>
  <c r="M1133" i="4" s="1"/>
  <c r="E1141" i="4"/>
  <c r="F1141" i="4" s="1"/>
  <c r="G1141" i="4" s="1"/>
  <c r="M1141" i="4" s="1"/>
  <c r="E1149" i="4"/>
  <c r="F1149" i="4" s="1"/>
  <c r="G1149" i="4" s="1"/>
  <c r="E1157" i="4"/>
  <c r="F1157" i="4" s="1"/>
  <c r="G1157" i="4" s="1"/>
  <c r="M1157" i="4" s="1"/>
  <c r="E1165" i="4"/>
  <c r="F1165" i="4" s="1"/>
  <c r="G1165" i="4" s="1"/>
  <c r="M1165" i="4" s="1"/>
  <c r="E1173" i="4"/>
  <c r="F1173" i="4" s="1"/>
  <c r="G1173" i="4" s="1"/>
  <c r="M1173" i="4" s="1"/>
  <c r="E1181" i="4"/>
  <c r="F1181" i="4" s="1"/>
  <c r="G1181" i="4" s="1"/>
  <c r="E1189" i="4"/>
  <c r="F1189" i="4" s="1"/>
  <c r="G1189" i="4" s="1"/>
  <c r="M1189" i="4" s="1"/>
  <c r="E1197" i="4"/>
  <c r="F1197" i="4" s="1"/>
  <c r="G1197" i="4" s="1"/>
  <c r="M1197" i="4" s="1"/>
  <c r="E1205" i="4"/>
  <c r="F1205" i="4" s="1"/>
  <c r="G1205" i="4" s="1"/>
  <c r="M1205" i="4" s="1"/>
  <c r="E1213" i="4"/>
  <c r="F1213" i="4" s="1"/>
  <c r="G1213" i="4" s="1"/>
  <c r="E1221" i="4"/>
  <c r="F1221" i="4" s="1"/>
  <c r="G1221" i="4" s="1"/>
  <c r="M1221" i="4" s="1"/>
  <c r="E1229" i="4"/>
  <c r="F1229" i="4" s="1"/>
  <c r="G1229" i="4" s="1"/>
  <c r="M1229" i="4" s="1"/>
  <c r="E1237" i="4"/>
  <c r="F1237" i="4" s="1"/>
  <c r="G1237" i="4" s="1"/>
  <c r="M1237" i="4" s="1"/>
  <c r="E1245" i="4"/>
  <c r="F1245" i="4" s="1"/>
  <c r="G1245" i="4" s="1"/>
  <c r="E1253" i="4"/>
  <c r="F1253" i="4" s="1"/>
  <c r="G1253" i="4" s="1"/>
  <c r="M1253" i="4" s="1"/>
  <c r="E1261" i="4"/>
  <c r="F1261" i="4" s="1"/>
  <c r="G1261" i="4" s="1"/>
  <c r="M1261" i="4" s="1"/>
  <c r="E260" i="4"/>
  <c r="F260" i="4" s="1"/>
  <c r="G260" i="4" s="1"/>
  <c r="E436" i="4"/>
  <c r="F436" i="4" s="1"/>
  <c r="G436" i="4" s="1"/>
  <c r="M436" i="4" s="1"/>
  <c r="E500" i="4"/>
  <c r="F500" i="4" s="1"/>
  <c r="G500" i="4" s="1"/>
  <c r="E564" i="4"/>
  <c r="F564" i="4" s="1"/>
  <c r="G564" i="4" s="1"/>
  <c r="M564" i="4" s="1"/>
  <c r="E614" i="4"/>
  <c r="F614" i="4" s="1"/>
  <c r="G614" i="4" s="1"/>
  <c r="M614" i="4" s="1"/>
  <c r="E650" i="4"/>
  <c r="F650" i="4" s="1"/>
  <c r="G650" i="4" s="1"/>
  <c r="M650" i="4" s="1"/>
  <c r="E682" i="4"/>
  <c r="F682" i="4" s="1"/>
  <c r="G682" i="4" s="1"/>
  <c r="M682" i="4" s="1"/>
  <c r="E714" i="4"/>
  <c r="F714" i="4" s="1"/>
  <c r="G714" i="4" s="1"/>
  <c r="M714" i="4" s="1"/>
  <c r="E746" i="4"/>
  <c r="F746" i="4" s="1"/>
  <c r="G746" i="4" s="1"/>
  <c r="M746" i="4" s="1"/>
  <c r="E778" i="4"/>
  <c r="F778" i="4" s="1"/>
  <c r="G778" i="4" s="1"/>
  <c r="M778" i="4" s="1"/>
  <c r="E810" i="4"/>
  <c r="F810" i="4" s="1"/>
  <c r="G810" i="4" s="1"/>
  <c r="M810" i="4" s="1"/>
  <c r="E842" i="4"/>
  <c r="F842" i="4" s="1"/>
  <c r="G842" i="4" s="1"/>
  <c r="M842" i="4" s="1"/>
  <c r="E906" i="4"/>
  <c r="F906" i="4" s="1"/>
  <c r="G906" i="4" s="1"/>
  <c r="M906" i="4" s="1"/>
  <c r="E970" i="4"/>
  <c r="F970" i="4" s="1"/>
  <c r="G970" i="4" s="1"/>
  <c r="E1034" i="4"/>
  <c r="F1034" i="4" s="1"/>
  <c r="G1034" i="4" s="1"/>
  <c r="M1034" i="4" s="1"/>
  <c r="E1098" i="4"/>
  <c r="F1098" i="4" s="1"/>
  <c r="G1098" i="4" s="1"/>
  <c r="M1098" i="4" s="1"/>
  <c r="E1121" i="4"/>
  <c r="F1121" i="4" s="1"/>
  <c r="G1121" i="4" s="1"/>
  <c r="M1121" i="4" s="1"/>
  <c r="E1137" i="4"/>
  <c r="F1137" i="4" s="1"/>
  <c r="G1137" i="4" s="1"/>
  <c r="M1137" i="4" s="1"/>
  <c r="E1153" i="4"/>
  <c r="F1153" i="4" s="1"/>
  <c r="G1153" i="4" s="1"/>
  <c r="M1153" i="4" s="1"/>
  <c r="E1169" i="4"/>
  <c r="F1169" i="4" s="1"/>
  <c r="G1169" i="4" s="1"/>
  <c r="M1169" i="4" s="1"/>
  <c r="E1185" i="4"/>
  <c r="F1185" i="4" s="1"/>
  <c r="G1185" i="4" s="1"/>
  <c r="M1185" i="4" s="1"/>
  <c r="E1201" i="4"/>
  <c r="F1201" i="4" s="1"/>
  <c r="G1201" i="4" s="1"/>
  <c r="M1201" i="4" s="1"/>
  <c r="E1217" i="4"/>
  <c r="F1217" i="4" s="1"/>
  <c r="G1217" i="4" s="1"/>
  <c r="M1217" i="4" s="1"/>
  <c r="E1225" i="4"/>
  <c r="F1225" i="4" s="1"/>
  <c r="G1225" i="4" s="1"/>
  <c r="M1225" i="4" s="1"/>
  <c r="E1241" i="4"/>
  <c r="F1241" i="4" s="1"/>
  <c r="G1241" i="4" s="1"/>
  <c r="E1257" i="4"/>
  <c r="F1257" i="4" s="1"/>
  <c r="G1257" i="4" s="1"/>
  <c r="E196" i="4"/>
  <c r="F196" i="4" s="1"/>
  <c r="G196" i="4" s="1"/>
  <c r="M196" i="4" s="1"/>
  <c r="E356" i="4"/>
  <c r="F356" i="4" s="1"/>
  <c r="G356" i="4" s="1"/>
  <c r="M356" i="4" s="1"/>
  <c r="E420" i="4"/>
  <c r="F420" i="4" s="1"/>
  <c r="G420" i="4" s="1"/>
  <c r="E484" i="4"/>
  <c r="F484" i="4" s="1"/>
  <c r="G484" i="4" s="1"/>
  <c r="M484" i="4" s="1"/>
  <c r="E548" i="4"/>
  <c r="F548" i="4" s="1"/>
  <c r="G548" i="4" s="1"/>
  <c r="E603" i="4"/>
  <c r="F603" i="4" s="1"/>
  <c r="G603" i="4" s="1"/>
  <c r="M603" i="4" s="1"/>
  <c r="E642" i="4"/>
  <c r="F642" i="4" s="1"/>
  <c r="G642" i="4" s="1"/>
  <c r="E674" i="4"/>
  <c r="F674" i="4" s="1"/>
  <c r="G674" i="4" s="1"/>
  <c r="E706" i="4"/>
  <c r="F706" i="4" s="1"/>
  <c r="G706" i="4" s="1"/>
  <c r="E738" i="4"/>
  <c r="F738" i="4" s="1"/>
  <c r="G738" i="4" s="1"/>
  <c r="M738" i="4" s="1"/>
  <c r="E770" i="4"/>
  <c r="F770" i="4" s="1"/>
  <c r="G770" i="4" s="1"/>
  <c r="E802" i="4"/>
  <c r="F802" i="4" s="1"/>
  <c r="G802" i="4" s="1"/>
  <c r="E834" i="4"/>
  <c r="F834" i="4" s="1"/>
  <c r="G834" i="4" s="1"/>
  <c r="E866" i="4"/>
  <c r="F866" i="4" s="1"/>
  <c r="G866" i="4" s="1"/>
  <c r="M866" i="4" s="1"/>
  <c r="E898" i="4"/>
  <c r="F898" i="4" s="1"/>
  <c r="G898" i="4" s="1"/>
  <c r="E930" i="4"/>
  <c r="F930" i="4" s="1"/>
  <c r="G930" i="4" s="1"/>
  <c r="E962" i="4"/>
  <c r="F962" i="4" s="1"/>
  <c r="G962" i="4" s="1"/>
  <c r="M962" i="4" s="1"/>
  <c r="E994" i="4"/>
  <c r="F994" i="4" s="1"/>
  <c r="G994" i="4" s="1"/>
  <c r="M994" i="4" s="1"/>
  <c r="E1026" i="4"/>
  <c r="F1026" i="4" s="1"/>
  <c r="G1026" i="4" s="1"/>
  <c r="M1026" i="4" s="1"/>
  <c r="E1058" i="4"/>
  <c r="F1058" i="4" s="1"/>
  <c r="G1058" i="4" s="1"/>
  <c r="M1058" i="4" s="1"/>
  <c r="E1090" i="4"/>
  <c r="F1090" i="4" s="1"/>
  <c r="G1090" i="4" s="1"/>
  <c r="M1090" i="4" s="1"/>
  <c r="E1110" i="4"/>
  <c r="F1110" i="4" s="1"/>
  <c r="G1110" i="4" s="1"/>
  <c r="M1110" i="4" s="1"/>
  <c r="E1118" i="4"/>
  <c r="F1118" i="4" s="1"/>
  <c r="G1118" i="4" s="1"/>
  <c r="E1126" i="4"/>
  <c r="F1126" i="4" s="1"/>
  <c r="G1126" i="4" s="1"/>
  <c r="M1126" i="4" s="1"/>
  <c r="E1134" i="4"/>
  <c r="F1134" i="4" s="1"/>
  <c r="G1134" i="4" s="1"/>
  <c r="E1142" i="4"/>
  <c r="F1142" i="4" s="1"/>
  <c r="G1142" i="4" s="1"/>
  <c r="M1142" i="4" s="1"/>
  <c r="E1150" i="4"/>
  <c r="F1150" i="4" s="1"/>
  <c r="G1150" i="4" s="1"/>
  <c r="E1158" i="4"/>
  <c r="F1158" i="4" s="1"/>
  <c r="G1158" i="4" s="1"/>
  <c r="M1158" i="4" s="1"/>
  <c r="E1166" i="4"/>
  <c r="F1166" i="4" s="1"/>
  <c r="G1166" i="4" s="1"/>
  <c r="E1174" i="4"/>
  <c r="F1174" i="4" s="1"/>
  <c r="G1174" i="4" s="1"/>
  <c r="M1174" i="4" s="1"/>
  <c r="E1182" i="4"/>
  <c r="F1182" i="4" s="1"/>
  <c r="G1182" i="4" s="1"/>
  <c r="M1182" i="4" s="1"/>
  <c r="E1190" i="4"/>
  <c r="F1190" i="4" s="1"/>
  <c r="G1190" i="4" s="1"/>
  <c r="M1190" i="4" s="1"/>
  <c r="E1198" i="4"/>
  <c r="F1198" i="4" s="1"/>
  <c r="G1198" i="4" s="1"/>
  <c r="E1206" i="4"/>
  <c r="F1206" i="4" s="1"/>
  <c r="G1206" i="4" s="1"/>
  <c r="M1206" i="4" s="1"/>
  <c r="E1214" i="4"/>
  <c r="F1214" i="4" s="1"/>
  <c r="G1214" i="4" s="1"/>
  <c r="M1214" i="4" s="1"/>
  <c r="E1222" i="4"/>
  <c r="F1222" i="4" s="1"/>
  <c r="G1222" i="4" s="1"/>
  <c r="E1230" i="4"/>
  <c r="F1230" i="4" s="1"/>
  <c r="G1230" i="4" s="1"/>
  <c r="M1230" i="4" s="1"/>
  <c r="E1238" i="4"/>
  <c r="F1238" i="4" s="1"/>
  <c r="G1238" i="4" s="1"/>
  <c r="M1238" i="4" s="1"/>
  <c r="E1246" i="4"/>
  <c r="F1246" i="4" s="1"/>
  <c r="G1246" i="4" s="1"/>
  <c r="M1246" i="4" s="1"/>
  <c r="E1254" i="4"/>
  <c r="F1254" i="4" s="1"/>
  <c r="G1254" i="4" s="1"/>
  <c r="M1254" i="4" s="1"/>
  <c r="E7" i="4"/>
  <c r="F7" i="4" s="1"/>
  <c r="G7" i="4" s="1"/>
  <c r="E372" i="4"/>
  <c r="F372" i="4" s="1"/>
  <c r="G372" i="4" s="1"/>
  <c r="M372" i="4" s="1"/>
  <c r="E874" i="4"/>
  <c r="F874" i="4" s="1"/>
  <c r="G874" i="4" s="1"/>
  <c r="M874" i="4" s="1"/>
  <c r="E938" i="4"/>
  <c r="F938" i="4" s="1"/>
  <c r="G938" i="4" s="1"/>
  <c r="M938" i="4" s="1"/>
  <c r="E1002" i="4"/>
  <c r="F1002" i="4" s="1"/>
  <c r="G1002" i="4" s="1"/>
  <c r="M1002" i="4" s="1"/>
  <c r="E1066" i="4"/>
  <c r="F1066" i="4" s="1"/>
  <c r="G1066" i="4" s="1"/>
  <c r="M1066" i="4" s="1"/>
  <c r="E1113" i="4"/>
  <c r="F1113" i="4" s="1"/>
  <c r="G1113" i="4" s="1"/>
  <c r="E1129" i="4"/>
  <c r="F1129" i="4" s="1"/>
  <c r="G1129" i="4" s="1"/>
  <c r="E1145" i="4"/>
  <c r="F1145" i="4" s="1"/>
  <c r="G1145" i="4" s="1"/>
  <c r="M1145" i="4" s="1"/>
  <c r="E1161" i="4"/>
  <c r="F1161" i="4" s="1"/>
  <c r="G1161" i="4" s="1"/>
  <c r="M1161" i="4" s="1"/>
  <c r="E1177" i="4"/>
  <c r="F1177" i="4" s="1"/>
  <c r="G1177" i="4" s="1"/>
  <c r="E1193" i="4"/>
  <c r="F1193" i="4" s="1"/>
  <c r="G1193" i="4" s="1"/>
  <c r="E1209" i="4"/>
  <c r="F1209" i="4" s="1"/>
  <c r="G1209" i="4" s="1"/>
  <c r="M1209" i="4" s="1"/>
  <c r="E1233" i="4"/>
  <c r="F1233" i="4" s="1"/>
  <c r="G1233" i="4" s="1"/>
  <c r="M1233" i="4" s="1"/>
  <c r="E1249" i="4"/>
  <c r="F1249" i="4" s="1"/>
  <c r="G1249" i="4" s="1"/>
  <c r="M1249" i="4" s="1"/>
  <c r="J7" i="4"/>
  <c r="K7" i="4" s="1"/>
  <c r="L7" i="4" s="1"/>
  <c r="M333" i="4" l="1"/>
  <c r="M1198" i="4"/>
  <c r="M921" i="4"/>
  <c r="M793" i="4"/>
  <c r="M697" i="4"/>
  <c r="M633" i="4"/>
  <c r="M591" i="4"/>
  <c r="M1252" i="4"/>
  <c r="M1188" i="4"/>
  <c r="M1078" i="4"/>
  <c r="M1046" i="4"/>
  <c r="M1014" i="4"/>
  <c r="M982" i="4"/>
  <c r="M950" i="4"/>
  <c r="M524" i="4"/>
  <c r="M1251" i="4"/>
  <c r="M1219" i="4"/>
  <c r="M1187" i="4"/>
  <c r="M1077" i="4"/>
  <c r="M1045" i="4"/>
  <c r="M1013" i="4"/>
  <c r="M981" i="4"/>
  <c r="M949" i="4"/>
  <c r="M853" i="4"/>
  <c r="M725" i="4"/>
  <c r="M586" i="4"/>
  <c r="M459" i="4"/>
  <c r="M395" i="4"/>
  <c r="M1080" i="4"/>
  <c r="M1032" i="4"/>
  <c r="M968" i="4"/>
  <c r="M888" i="4"/>
  <c r="M824" i="4"/>
  <c r="M760" i="4"/>
  <c r="M696" i="4"/>
  <c r="M632" i="4"/>
  <c r="M611" i="4"/>
  <c r="M1087" i="4"/>
  <c r="M975" i="4"/>
  <c r="M911" i="4"/>
  <c r="M895" i="4"/>
  <c r="M847" i="4"/>
  <c r="M783" i="4"/>
  <c r="M767" i="4"/>
  <c r="M639" i="4"/>
  <c r="M415" i="4"/>
  <c r="M304" i="4"/>
  <c r="M510" i="4"/>
  <c r="M494" i="4"/>
  <c r="M414" i="4"/>
  <c r="M366" i="4"/>
  <c r="M331" i="4"/>
  <c r="M609" i="4"/>
  <c r="M545" i="4"/>
  <c r="M297" i="4"/>
  <c r="M217" i="4"/>
  <c r="M169" i="4"/>
  <c r="M121" i="4"/>
  <c r="M41" i="4"/>
  <c r="M1164" i="4"/>
  <c r="M1132" i="4"/>
  <c r="M1211" i="4"/>
  <c r="M1163" i="4"/>
  <c r="M1131" i="4"/>
  <c r="M837" i="4"/>
  <c r="M773" i="4"/>
  <c r="M677" i="4"/>
  <c r="M555" i="4"/>
  <c r="M1040" i="4"/>
  <c r="M976" i="4"/>
  <c r="M912" i="4"/>
  <c r="M896" i="4"/>
  <c r="M880" i="4"/>
  <c r="M768" i="4"/>
  <c r="M688" i="4"/>
  <c r="M640" i="4"/>
  <c r="M1079" i="4"/>
  <c r="M1031" i="4"/>
  <c r="M999" i="4"/>
  <c r="M887" i="4"/>
  <c r="M823" i="4"/>
  <c r="M759" i="4"/>
  <c r="M695" i="4"/>
  <c r="M631" i="4"/>
  <c r="M588" i="4"/>
  <c r="M559" i="4"/>
  <c r="M495" i="4"/>
  <c r="M367" i="4"/>
  <c r="M438" i="4"/>
  <c r="M374" i="4"/>
  <c r="M553" i="4"/>
  <c r="M505" i="4"/>
  <c r="M489" i="4"/>
  <c r="M473" i="4"/>
  <c r="M457" i="4"/>
  <c r="M441" i="4"/>
  <c r="M425" i="4"/>
  <c r="M409" i="4"/>
  <c r="M393" i="4"/>
  <c r="M377" i="4"/>
  <c r="M361" i="4"/>
  <c r="M279" i="4"/>
  <c r="M247" i="4"/>
  <c r="M215" i="4"/>
  <c r="M183" i="4"/>
  <c r="M151" i="4"/>
  <c r="M119" i="4"/>
  <c r="M87" i="4"/>
  <c r="M55" i="4"/>
  <c r="M23" i="4"/>
  <c r="M273" i="4"/>
  <c r="M161" i="4"/>
  <c r="M145" i="4"/>
  <c r="M129" i="4"/>
  <c r="M17" i="4"/>
  <c r="M706" i="4"/>
  <c r="M468" i="4"/>
  <c r="M818" i="4"/>
  <c r="M857" i="4"/>
  <c r="M467" i="4"/>
  <c r="M1220" i="4"/>
  <c r="M396" i="4"/>
  <c r="M789" i="4"/>
  <c r="M856" i="4"/>
  <c r="M1007" i="4"/>
  <c r="M959" i="4"/>
  <c r="M879" i="4"/>
  <c r="M831" i="4"/>
  <c r="M599" i="4"/>
  <c r="M430" i="4"/>
  <c r="M577" i="4"/>
  <c r="M497" i="4"/>
  <c r="M449" i="4"/>
  <c r="M417" i="4"/>
  <c r="M385" i="4"/>
  <c r="M248" i="4"/>
  <c r="M56" i="4"/>
  <c r="M105" i="4"/>
  <c r="M57" i="4"/>
  <c r="M1129" i="4"/>
  <c r="M1222" i="4"/>
  <c r="M802" i="4"/>
  <c r="M1257" i="4"/>
  <c r="M970" i="4"/>
  <c r="M1213" i="4"/>
  <c r="M1117" i="4"/>
  <c r="M786" i="4"/>
  <c r="M785" i="4"/>
  <c r="M721" i="4"/>
  <c r="M623" i="4"/>
  <c r="M312" i="4"/>
  <c r="M1200" i="4"/>
  <c r="M1152" i="4"/>
  <c r="M1102" i="4"/>
  <c r="M1006" i="4"/>
  <c r="M942" i="4"/>
  <c r="M846" i="4"/>
  <c r="M782" i="4"/>
  <c r="M686" i="4"/>
  <c r="M619" i="4"/>
  <c r="M36" i="4"/>
  <c r="M1151" i="4"/>
  <c r="M1069" i="4"/>
  <c r="M1037" i="4"/>
  <c r="M973" i="4"/>
  <c r="M941" i="4"/>
  <c r="M877" i="4"/>
  <c r="M813" i="4"/>
  <c r="M749" i="4"/>
  <c r="M685" i="4"/>
  <c r="M507" i="4"/>
  <c r="M443" i="4"/>
  <c r="M379" i="4"/>
  <c r="M1076" i="4"/>
  <c r="M1044" i="4"/>
  <c r="M1012" i="4"/>
  <c r="M980" i="4"/>
  <c r="M948" i="4"/>
  <c r="M932" i="4"/>
  <c r="M916" i="4"/>
  <c r="M868" i="4"/>
  <c r="M820" i="4"/>
  <c r="M804" i="4"/>
  <c r="M788" i="4"/>
  <c r="M740" i="4"/>
  <c r="M692" i="4"/>
  <c r="M660" i="4"/>
  <c r="M644" i="4"/>
  <c r="M606" i="4"/>
  <c r="M552" i="4"/>
  <c r="M456" i="4"/>
  <c r="M360" i="4"/>
  <c r="M323" i="4"/>
  <c r="M212" i="4"/>
  <c r="M84" i="4"/>
  <c r="M1083" i="4"/>
  <c r="M1051" i="4"/>
  <c r="M1019" i="4"/>
  <c r="M987" i="4"/>
  <c r="M955" i="4"/>
  <c r="M923" i="4"/>
  <c r="M907" i="4"/>
  <c r="M875" i="4"/>
  <c r="M859" i="4"/>
  <c r="M827" i="4"/>
  <c r="M795" i="4"/>
  <c r="M779" i="4"/>
  <c r="M747" i="4"/>
  <c r="M731" i="4"/>
  <c r="M699" i="4"/>
  <c r="M651" i="4"/>
  <c r="M635" i="4"/>
  <c r="M615" i="4"/>
  <c r="M594" i="4"/>
  <c r="M535" i="4"/>
  <c r="M503" i="4"/>
  <c r="M439" i="4"/>
  <c r="M375" i="4"/>
  <c r="M506" i="4"/>
  <c r="M474" i="4"/>
  <c r="M458" i="4"/>
  <c r="M378" i="4"/>
  <c r="M362" i="4"/>
  <c r="M621" i="4"/>
  <c r="M573" i="4"/>
  <c r="M557" i="4"/>
  <c r="M509" i="4"/>
  <c r="M493" i="4"/>
  <c r="M477" i="4"/>
  <c r="M461" i="4"/>
  <c r="M445" i="4"/>
  <c r="M429" i="4"/>
  <c r="M413" i="4"/>
  <c r="M397" i="4"/>
  <c r="M381" i="4"/>
  <c r="M365" i="4"/>
  <c r="M349" i="4"/>
  <c r="M296" i="4"/>
  <c r="M232" i="4"/>
  <c r="M168" i="4"/>
  <c r="M104" i="4"/>
  <c r="M40" i="4"/>
  <c r="M283" i="4"/>
  <c r="M251" i="4"/>
  <c r="M235" i="4"/>
  <c r="M203" i="4"/>
  <c r="M171" i="4"/>
  <c r="M155" i="4"/>
  <c r="M123" i="4"/>
  <c r="M75" i="4"/>
  <c r="M27" i="4"/>
  <c r="M11" i="4"/>
  <c r="M341" i="4"/>
  <c r="M325" i="4"/>
  <c r="M293" i="4"/>
  <c r="M245" i="4"/>
  <c r="M197" i="4"/>
  <c r="M181" i="4"/>
  <c r="M165" i="4"/>
  <c r="M149" i="4"/>
  <c r="M85" i="4"/>
  <c r="M69" i="4"/>
  <c r="M53" i="4"/>
  <c r="M37" i="4"/>
  <c r="M1166" i="4"/>
  <c r="M1134" i="4"/>
  <c r="M834" i="4"/>
  <c r="M548" i="4"/>
  <c r="M500" i="4"/>
  <c r="M690" i="4"/>
  <c r="M516" i="4"/>
  <c r="M665" i="4"/>
  <c r="M338" i="4"/>
  <c r="M460" i="4"/>
  <c r="M328" i="4"/>
  <c r="M1203" i="4"/>
  <c r="M917" i="4"/>
  <c r="M661" i="4"/>
  <c r="M327" i="4"/>
  <c r="M1000" i="4"/>
  <c r="M920" i="4"/>
  <c r="M792" i="4"/>
  <c r="M728" i="4"/>
  <c r="M664" i="4"/>
  <c r="M1039" i="4"/>
  <c r="M815" i="4"/>
  <c r="M751" i="4"/>
  <c r="M703" i="4"/>
  <c r="M620" i="4"/>
  <c r="M575" i="4"/>
  <c r="M511" i="4"/>
  <c r="M383" i="4"/>
  <c r="M351" i="4"/>
  <c r="M478" i="4"/>
  <c r="M382" i="4"/>
  <c r="M513" i="4"/>
  <c r="M481" i="4"/>
  <c r="M465" i="4"/>
  <c r="M433" i="4"/>
  <c r="M401" i="4"/>
  <c r="M369" i="4"/>
  <c r="M353" i="4"/>
  <c r="M184" i="4"/>
  <c r="M120" i="4"/>
  <c r="M313" i="4"/>
  <c r="M249" i="4"/>
  <c r="M233" i="4"/>
  <c r="M89" i="4"/>
  <c r="U16" i="4"/>
  <c r="M1193" i="4"/>
  <c r="M930" i="4"/>
  <c r="M674" i="4"/>
  <c r="M1245" i="4"/>
  <c r="M1181" i="4"/>
  <c r="M1149" i="4"/>
  <c r="M1018" i="4"/>
  <c r="M1250" i="4"/>
  <c r="M914" i="4"/>
  <c r="M658" i="4"/>
  <c r="M913" i="4"/>
  <c r="M849" i="4"/>
  <c r="M657" i="4"/>
  <c r="M579" i="4"/>
  <c r="M387" i="4"/>
  <c r="M1216" i="4"/>
  <c r="M1168" i="4"/>
  <c r="M1070" i="4"/>
  <c r="M1038" i="4"/>
  <c r="M974" i="4"/>
  <c r="M910" i="4"/>
  <c r="M878" i="4"/>
  <c r="M814" i="4"/>
  <c r="M750" i="4"/>
  <c r="M718" i="4"/>
  <c r="M654" i="4"/>
  <c r="M572" i="4"/>
  <c r="M292" i="4"/>
  <c r="M1215" i="4"/>
  <c r="M1199" i="4"/>
  <c r="M1101" i="4"/>
  <c r="M1005" i="4"/>
  <c r="M1177" i="4"/>
  <c r="M1113" i="4"/>
  <c r="M1150" i="4"/>
  <c r="M1118" i="4"/>
  <c r="M898" i="4"/>
  <c r="M770" i="4"/>
  <c r="M642" i="4"/>
  <c r="M420" i="4"/>
  <c r="M1241" i="4"/>
  <c r="M260" i="4"/>
  <c r="M986" i="4"/>
  <c r="M1242" i="4"/>
  <c r="M1178" i="4"/>
  <c r="M1146" i="4"/>
  <c r="M1114" i="4"/>
  <c r="M882" i="4"/>
  <c r="M754" i="4"/>
  <c r="M624" i="4"/>
  <c r="M388" i="4"/>
  <c r="M1097" i="4"/>
  <c r="M1065" i="4"/>
  <c r="M1033" i="4"/>
  <c r="M1001" i="4"/>
  <c r="M969" i="4"/>
  <c r="M905" i="4"/>
  <c r="M873" i="4"/>
  <c r="M777" i="4"/>
  <c r="M745" i="4"/>
  <c r="M649" i="4"/>
  <c r="M435" i="4"/>
  <c r="M371" i="4"/>
  <c r="M1260" i="4"/>
  <c r="M1228" i="4"/>
  <c r="M1196" i="4"/>
  <c r="M1180" i="4"/>
  <c r="M1148" i="4"/>
  <c r="M1116" i="4"/>
  <c r="M608" i="4"/>
  <c r="M556" i="4"/>
  <c r="M228" i="4"/>
  <c r="M1259" i="4"/>
  <c r="M1243" i="4"/>
  <c r="M1195" i="4"/>
  <c r="M1179" i="4"/>
  <c r="M1147" i="4"/>
  <c r="M1115" i="4"/>
  <c r="M933" i="4"/>
  <c r="M901" i="4"/>
  <c r="M869" i="4"/>
  <c r="M805" i="4"/>
  <c r="M709" i="4"/>
  <c r="M607" i="4"/>
  <c r="M491" i="4"/>
  <c r="M427" i="4"/>
  <c r="M363" i="4"/>
  <c r="M1088" i="4"/>
  <c r="M1056" i="4"/>
  <c r="M1008" i="4"/>
  <c r="M992" i="4"/>
  <c r="M944" i="4"/>
  <c r="M864" i="4"/>
  <c r="M832" i="4"/>
  <c r="M784" i="4"/>
  <c r="M736" i="4"/>
  <c r="M720" i="4"/>
  <c r="M704" i="4"/>
  <c r="M656" i="4"/>
  <c r="M622" i="4"/>
  <c r="M600" i="4"/>
  <c r="M576" i="4"/>
  <c r="M512" i="4"/>
  <c r="M448" i="4"/>
  <c r="M384" i="4"/>
  <c r="M307" i="4"/>
  <c r="M180" i="4"/>
  <c r="M52" i="4"/>
  <c r="M1095" i="4"/>
  <c r="M1063" i="4"/>
  <c r="M1047" i="4"/>
  <c r="M1015" i="4"/>
  <c r="M951" i="4"/>
  <c r="M935" i="4"/>
  <c r="M919" i="4"/>
  <c r="M871" i="4"/>
  <c r="M855" i="4"/>
  <c r="M807" i="4"/>
  <c r="M791" i="4"/>
  <c r="M743" i="4"/>
  <c r="M727" i="4"/>
  <c r="M679" i="4"/>
  <c r="M663" i="4"/>
  <c r="M610" i="4"/>
  <c r="M527" i="4"/>
  <c r="M463" i="4"/>
  <c r="M431" i="4"/>
  <c r="M486" i="4"/>
  <c r="M470" i="4"/>
  <c r="M422" i="4"/>
  <c r="M406" i="4"/>
  <c r="M358" i="4"/>
  <c r="M319" i="4"/>
  <c r="M617" i="4"/>
  <c r="M601" i="4"/>
  <c r="M521" i="4"/>
  <c r="M345" i="4"/>
  <c r="M324" i="4"/>
  <c r="M280" i="4"/>
  <c r="M216" i="4"/>
  <c r="M152" i="4"/>
  <c r="M88" i="4"/>
  <c r="M24" i="4"/>
  <c r="M295" i="4"/>
  <c r="M263" i="4"/>
  <c r="M231" i="4"/>
  <c r="M199" i="4"/>
  <c r="M167" i="4"/>
  <c r="M135" i="4"/>
  <c r="M103" i="4"/>
  <c r="M71" i="4"/>
  <c r="M39" i="4"/>
  <c r="M322" i="4"/>
  <c r="M306" i="4"/>
  <c r="M290" i="4"/>
  <c r="M274" i="4"/>
  <c r="M258" i="4"/>
  <c r="M242" i="4"/>
  <c r="M226" i="4"/>
  <c r="M210" i="4"/>
  <c r="M194" i="4"/>
  <c r="M178" i="4"/>
  <c r="M162" i="4"/>
  <c r="M146" i="4"/>
  <c r="M130" i="4"/>
  <c r="M114" i="4"/>
  <c r="M98" i="4"/>
  <c r="M82" i="4"/>
  <c r="M66" i="4"/>
  <c r="M50" i="4"/>
  <c r="M34" i="4"/>
  <c r="M18" i="4"/>
  <c r="M337" i="4"/>
  <c r="M321" i="4"/>
  <c r="M257" i="4"/>
  <c r="M241" i="4"/>
  <c r="M225" i="4"/>
  <c r="M209" i="4"/>
  <c r="M113" i="4"/>
  <c r="M81" i="4"/>
  <c r="M65" i="4"/>
  <c r="M33" i="4"/>
  <c r="U13" i="4"/>
  <c r="U14" i="4"/>
  <c r="U7" i="4"/>
  <c r="U8" i="4"/>
  <c r="P16" i="4"/>
  <c r="P14" i="4"/>
  <c r="P13" i="4"/>
  <c r="P8" i="4"/>
  <c r="P7" i="4"/>
  <c r="M7" i="4"/>
  <c r="Z16" i="4" l="1"/>
  <c r="Z13" i="4"/>
  <c r="Z14" i="4"/>
  <c r="Z7" i="4"/>
  <c r="Z8" i="4"/>
  <c r="U9" i="4"/>
  <c r="P9" i="4"/>
  <c r="Z9" i="4" l="1"/>
</calcChain>
</file>

<file path=xl/sharedStrings.xml><?xml version="1.0" encoding="utf-8"?>
<sst xmlns="http://schemas.openxmlformats.org/spreadsheetml/2006/main" count="70" uniqueCount="47">
  <si>
    <t>Fecha</t>
  </si>
  <si>
    <t>Distribución de Pérdidas y Ganancias</t>
  </si>
  <si>
    <t>Min</t>
  </si>
  <si>
    <t>Max</t>
  </si>
  <si>
    <t>Rango</t>
  </si>
  <si>
    <t>Intervalos</t>
  </si>
  <si>
    <t>Num Obs</t>
  </si>
  <si>
    <t>Media</t>
  </si>
  <si>
    <t xml:space="preserve">Desviación </t>
  </si>
  <si>
    <t>Nivel de Confianza</t>
  </si>
  <si>
    <t>VAR</t>
  </si>
  <si>
    <t>Descripción</t>
  </si>
  <si>
    <t>Ponente</t>
  </si>
  <si>
    <t>Jorge Luis Reyes García</t>
  </si>
  <si>
    <t>Aplicación</t>
  </si>
  <si>
    <t>Rendimiento A</t>
  </si>
  <si>
    <t>Rendimiento B</t>
  </si>
  <si>
    <t>Reevaluar A</t>
  </si>
  <si>
    <t>Reevaluar B</t>
  </si>
  <si>
    <t>P&amp;L A</t>
  </si>
  <si>
    <t>P&amp;L Total</t>
  </si>
  <si>
    <t>P&amp;L B</t>
  </si>
  <si>
    <t xml:space="preserve"> </t>
  </si>
  <si>
    <t>Redimiento A Simualdo</t>
  </si>
  <si>
    <t>Rendimiento B Simulado</t>
  </si>
  <si>
    <t>Valor en Riesgo mediante Simulación Montecarlo</t>
  </si>
  <si>
    <t xml:space="preserve">Determinación del Valor en Riesgo (VaR; Value at Risk) mediante un modelo de Simulación Montecarlo </t>
  </si>
  <si>
    <t>Riesgo de Mercado</t>
  </si>
  <si>
    <t>Bimbo</t>
  </si>
  <si>
    <t>GMEXICO</t>
  </si>
  <si>
    <t>Desvest</t>
  </si>
  <si>
    <t>Valor en Riesgo: Simulación Montecarlo (Mismo supuesto de normalidad sobre los rendimientos)</t>
  </si>
  <si>
    <t>Se espera ver un ruido blanco, pues se está haciendo un supuesto de normalidad</t>
  </si>
  <si>
    <t>Cálculo de P&amp;L con base en simulaciones de rendimiento normal</t>
  </si>
  <si>
    <t>Gméxico</t>
  </si>
  <si>
    <t>Total</t>
  </si>
  <si>
    <t>Escenario</t>
  </si>
  <si>
    <t>Var_Bimbo</t>
  </si>
  <si>
    <t>Var_Gméx</t>
  </si>
  <si>
    <t>Var_Total</t>
  </si>
  <si>
    <t>=P16</t>
  </si>
  <si>
    <t>=U16</t>
  </si>
  <si>
    <t>=Z16</t>
  </si>
  <si>
    <t>VaR_Bimbo</t>
  </si>
  <si>
    <t>VaR_Gméx</t>
  </si>
  <si>
    <t>VaR_Total</t>
  </si>
  <si>
    <t xml:space="preserve">VaR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</si>
</sst>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,##0.0000"/>
    <numFmt numFmtId="165" formatCode="_-* #,##0.0000_-;\-* #,##0.0000_-;_-* &quot;-&quot;??_-;_-@_-"/>
    <numFmt numFmtId="166" formatCode="_(* #,##0.0000_);_(* \(#,##0.0000\);_(* &quot;-&quot;??_);_(@_)"/>
    <numFmt numFmtId="167" formatCode="_-* #,##0_-;\-* #,##0_-;_-* &quot;-&quot;??_-;_-@_-"/>
    <numFmt numFmtId="168" formatCode="_-* #,##0.00\ _€_-;\-* #,##0.00\ _€_-;_-* &quot;-&quot;??\ _€_-;_-@_-"/>
  </numFmts>
  <fonts count="1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3" fillId="2" borderId="0" xfId="0" applyFont="1" applyFill="1"/>
    <xf numFmtId="0" fontId="4" fillId="2" borderId="0" xfId="0" applyFont="1" applyFill="1"/>
    <xf numFmtId="165" fontId="0" fillId="2" borderId="2" xfId="0" applyNumberFormat="1" applyFill="1" applyBorder="1"/>
    <xf numFmtId="165" fontId="0" fillId="2" borderId="4" xfId="0" applyNumberFormat="1" applyFill="1" applyBorder="1"/>
    <xf numFmtId="166" fontId="6" fillId="2" borderId="4" xfId="1" applyNumberFormat="1" applyFont="1" applyFill="1" applyBorder="1"/>
    <xf numFmtId="0" fontId="0" fillId="2" borderId="6" xfId="0" applyFill="1" applyBorder="1"/>
    <xf numFmtId="166" fontId="6" fillId="2" borderId="6" xfId="1" applyNumberFormat="1" applyFont="1" applyFill="1" applyBorder="1"/>
    <xf numFmtId="167" fontId="0" fillId="2" borderId="0" xfId="0" applyNumberFormat="1" applyFill="1"/>
    <xf numFmtId="0" fontId="3" fillId="3" borderId="1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7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12" fillId="2" borderId="0" xfId="2" applyFill="1"/>
    <xf numFmtId="0" fontId="3" fillId="3" borderId="7" xfId="0" applyFont="1" applyFill="1" applyBorder="1" applyAlignment="1">
      <alignment horizontal="center" vertical="center" wrapText="1"/>
    </xf>
    <xf numFmtId="164" fontId="5" fillId="2" borderId="7" xfId="0" applyNumberFormat="1" applyFont="1" applyFill="1" applyBorder="1" applyAlignment="1">
      <alignment horizontal="right"/>
    </xf>
    <xf numFmtId="164" fontId="0" fillId="2" borderId="7" xfId="0" applyNumberFormat="1" applyFill="1" applyBorder="1"/>
    <xf numFmtId="0" fontId="1" fillId="2" borderId="0" xfId="0" applyFont="1" applyFill="1" applyAlignment="1">
      <alignment horizontal="left"/>
    </xf>
    <xf numFmtId="0" fontId="0" fillId="2" borderId="7" xfId="0" applyFill="1" applyBorder="1"/>
    <xf numFmtId="0" fontId="9" fillId="2" borderId="0" xfId="0" applyFont="1" applyFill="1" applyAlignment="1">
      <alignment horizontal="left" indent="43"/>
    </xf>
    <xf numFmtId="0" fontId="7" fillId="4" borderId="0" xfId="0" applyFont="1" applyFill="1"/>
    <xf numFmtId="0" fontId="8" fillId="2" borderId="0" xfId="0" applyFont="1" applyFill="1" applyAlignment="1">
      <alignment horizontal="left" indent="33"/>
    </xf>
    <xf numFmtId="43" fontId="0" fillId="0" borderId="7" xfId="1" applyFont="1" applyBorder="1"/>
    <xf numFmtId="43" fontId="0" fillId="5" borderId="7" xfId="1" applyFont="1" applyFill="1" applyBorder="1"/>
    <xf numFmtId="4" fontId="0" fillId="2" borderId="7" xfId="0" applyNumberFormat="1" applyFill="1" applyBorder="1"/>
    <xf numFmtId="14" fontId="0" fillId="0" borderId="7" xfId="0" applyNumberFormat="1" applyBorder="1"/>
    <xf numFmtId="14" fontId="0" fillId="5" borderId="7" xfId="0" applyNumberFormat="1" applyFill="1" applyBorder="1"/>
    <xf numFmtId="0" fontId="14" fillId="2" borderId="0" xfId="0" applyFont="1" applyFill="1"/>
    <xf numFmtId="164" fontId="0" fillId="2" borderId="0" xfId="0" applyNumberFormat="1" applyFill="1"/>
    <xf numFmtId="10" fontId="5" fillId="2" borderId="7" xfId="4" applyNumberFormat="1" applyFont="1" applyFill="1" applyBorder="1" applyAlignment="1">
      <alignment horizontal="right"/>
    </xf>
    <xf numFmtId="0" fontId="0" fillId="2" borderId="0" xfId="0" quotePrefix="1" applyFill="1"/>
    <xf numFmtId="0" fontId="13" fillId="4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</cellXfs>
  <cellStyles count="5">
    <cellStyle name="Hipervínculo" xfId="2" builtinId="8"/>
    <cellStyle name="Millares" xfId="1" builtinId="3"/>
    <cellStyle name="Millares 2" xfId="3" xr:uid="{D49415EF-1FD8-4310-B913-5AA329A3F9FC}"/>
    <cellStyle name="Normal" xfId="0" builtinId="0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Bimbo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'VAR SM'!$B$6:$B$1261</c:f>
              <c:numCache>
                <c:formatCode>m/d/yyyy</c:formatCode>
                <c:ptCount val="1256"/>
                <c:pt idx="0">
                  <c:v>42639</c:v>
                </c:pt>
                <c:pt idx="1">
                  <c:v>42640</c:v>
                </c:pt>
                <c:pt idx="2">
                  <c:v>42641</c:v>
                </c:pt>
                <c:pt idx="3">
                  <c:v>42642</c:v>
                </c:pt>
                <c:pt idx="4">
                  <c:v>42643</c:v>
                </c:pt>
                <c:pt idx="5">
                  <c:v>42646</c:v>
                </c:pt>
                <c:pt idx="6">
                  <c:v>42647</c:v>
                </c:pt>
                <c:pt idx="7">
                  <c:v>42648</c:v>
                </c:pt>
                <c:pt idx="8">
                  <c:v>42649</c:v>
                </c:pt>
                <c:pt idx="9">
                  <c:v>42650</c:v>
                </c:pt>
                <c:pt idx="10">
                  <c:v>42653</c:v>
                </c:pt>
                <c:pt idx="11">
                  <c:v>42654</c:v>
                </c:pt>
                <c:pt idx="12">
                  <c:v>42655</c:v>
                </c:pt>
                <c:pt idx="13">
                  <c:v>42656</c:v>
                </c:pt>
                <c:pt idx="14">
                  <c:v>42657</c:v>
                </c:pt>
                <c:pt idx="15">
                  <c:v>42660</c:v>
                </c:pt>
                <c:pt idx="16">
                  <c:v>42661</c:v>
                </c:pt>
                <c:pt idx="17">
                  <c:v>42662</c:v>
                </c:pt>
                <c:pt idx="18">
                  <c:v>42663</c:v>
                </c:pt>
                <c:pt idx="19">
                  <c:v>42664</c:v>
                </c:pt>
                <c:pt idx="20">
                  <c:v>42667</c:v>
                </c:pt>
                <c:pt idx="21">
                  <c:v>42668</c:v>
                </c:pt>
                <c:pt idx="22">
                  <c:v>42669</c:v>
                </c:pt>
                <c:pt idx="23">
                  <c:v>42670</c:v>
                </c:pt>
                <c:pt idx="24">
                  <c:v>42671</c:v>
                </c:pt>
                <c:pt idx="25">
                  <c:v>42674</c:v>
                </c:pt>
                <c:pt idx="26">
                  <c:v>42675</c:v>
                </c:pt>
                <c:pt idx="27">
                  <c:v>42677</c:v>
                </c:pt>
                <c:pt idx="28">
                  <c:v>42678</c:v>
                </c:pt>
                <c:pt idx="29">
                  <c:v>42681</c:v>
                </c:pt>
                <c:pt idx="30">
                  <c:v>42682</c:v>
                </c:pt>
                <c:pt idx="31">
                  <c:v>42683</c:v>
                </c:pt>
                <c:pt idx="32">
                  <c:v>42684</c:v>
                </c:pt>
                <c:pt idx="33">
                  <c:v>42685</c:v>
                </c:pt>
                <c:pt idx="34">
                  <c:v>42688</c:v>
                </c:pt>
                <c:pt idx="35">
                  <c:v>42689</c:v>
                </c:pt>
                <c:pt idx="36">
                  <c:v>42690</c:v>
                </c:pt>
                <c:pt idx="37">
                  <c:v>42691</c:v>
                </c:pt>
                <c:pt idx="38">
                  <c:v>42692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42717</c:v>
                </c:pt>
                <c:pt idx="54">
                  <c:v>42718</c:v>
                </c:pt>
                <c:pt idx="55">
                  <c:v>42719</c:v>
                </c:pt>
                <c:pt idx="56">
                  <c:v>42720</c:v>
                </c:pt>
                <c:pt idx="57">
                  <c:v>42723</c:v>
                </c:pt>
                <c:pt idx="58">
                  <c:v>42724</c:v>
                </c:pt>
                <c:pt idx="59">
                  <c:v>42725</c:v>
                </c:pt>
                <c:pt idx="60">
                  <c:v>42726</c:v>
                </c:pt>
                <c:pt idx="61">
                  <c:v>42727</c:v>
                </c:pt>
                <c:pt idx="62">
                  <c:v>42730</c:v>
                </c:pt>
                <c:pt idx="63">
                  <c:v>42731</c:v>
                </c:pt>
                <c:pt idx="64">
                  <c:v>42732</c:v>
                </c:pt>
                <c:pt idx="65">
                  <c:v>42733</c:v>
                </c:pt>
                <c:pt idx="66">
                  <c:v>42734</c:v>
                </c:pt>
                <c:pt idx="67">
                  <c:v>42737</c:v>
                </c:pt>
                <c:pt idx="68">
                  <c:v>42738</c:v>
                </c:pt>
                <c:pt idx="69">
                  <c:v>42739</c:v>
                </c:pt>
                <c:pt idx="70">
                  <c:v>42740</c:v>
                </c:pt>
                <c:pt idx="71">
                  <c:v>42741</c:v>
                </c:pt>
                <c:pt idx="72">
                  <c:v>42744</c:v>
                </c:pt>
                <c:pt idx="73">
                  <c:v>42745</c:v>
                </c:pt>
                <c:pt idx="74">
                  <c:v>42746</c:v>
                </c:pt>
                <c:pt idx="75">
                  <c:v>42747</c:v>
                </c:pt>
                <c:pt idx="76">
                  <c:v>42748</c:v>
                </c:pt>
                <c:pt idx="77">
                  <c:v>42751</c:v>
                </c:pt>
                <c:pt idx="78">
                  <c:v>42752</c:v>
                </c:pt>
                <c:pt idx="79">
                  <c:v>42753</c:v>
                </c:pt>
                <c:pt idx="80">
                  <c:v>42754</c:v>
                </c:pt>
                <c:pt idx="81">
                  <c:v>42755</c:v>
                </c:pt>
                <c:pt idx="82">
                  <c:v>42758</c:v>
                </c:pt>
                <c:pt idx="83">
                  <c:v>42759</c:v>
                </c:pt>
                <c:pt idx="84">
                  <c:v>42760</c:v>
                </c:pt>
                <c:pt idx="85">
                  <c:v>42761</c:v>
                </c:pt>
                <c:pt idx="86">
                  <c:v>42762</c:v>
                </c:pt>
                <c:pt idx="87">
                  <c:v>42765</c:v>
                </c:pt>
                <c:pt idx="88">
                  <c:v>42766</c:v>
                </c:pt>
                <c:pt idx="89">
                  <c:v>42767</c:v>
                </c:pt>
                <c:pt idx="90">
                  <c:v>42768</c:v>
                </c:pt>
                <c:pt idx="91">
                  <c:v>42769</c:v>
                </c:pt>
                <c:pt idx="92">
                  <c:v>42773</c:v>
                </c:pt>
                <c:pt idx="93">
                  <c:v>42774</c:v>
                </c:pt>
                <c:pt idx="94">
                  <c:v>42775</c:v>
                </c:pt>
                <c:pt idx="95">
                  <c:v>42776</c:v>
                </c:pt>
                <c:pt idx="96">
                  <c:v>42779</c:v>
                </c:pt>
                <c:pt idx="97">
                  <c:v>42780</c:v>
                </c:pt>
                <c:pt idx="98">
                  <c:v>42781</c:v>
                </c:pt>
                <c:pt idx="99">
                  <c:v>42782</c:v>
                </c:pt>
                <c:pt idx="100">
                  <c:v>42783</c:v>
                </c:pt>
                <c:pt idx="101">
                  <c:v>42786</c:v>
                </c:pt>
                <c:pt idx="102">
                  <c:v>42787</c:v>
                </c:pt>
                <c:pt idx="103">
                  <c:v>42788</c:v>
                </c:pt>
                <c:pt idx="104">
                  <c:v>42789</c:v>
                </c:pt>
                <c:pt idx="105">
                  <c:v>42790</c:v>
                </c:pt>
                <c:pt idx="106">
                  <c:v>42793</c:v>
                </c:pt>
                <c:pt idx="107">
                  <c:v>42794</c:v>
                </c:pt>
                <c:pt idx="108">
                  <c:v>42795</c:v>
                </c:pt>
                <c:pt idx="109">
                  <c:v>42796</c:v>
                </c:pt>
                <c:pt idx="110">
                  <c:v>42797</c:v>
                </c:pt>
                <c:pt idx="111">
                  <c:v>42800</c:v>
                </c:pt>
                <c:pt idx="112">
                  <c:v>42801</c:v>
                </c:pt>
                <c:pt idx="113">
                  <c:v>42802</c:v>
                </c:pt>
                <c:pt idx="114">
                  <c:v>42803</c:v>
                </c:pt>
                <c:pt idx="115">
                  <c:v>42804</c:v>
                </c:pt>
                <c:pt idx="116">
                  <c:v>42807</c:v>
                </c:pt>
                <c:pt idx="117">
                  <c:v>42808</c:v>
                </c:pt>
                <c:pt idx="118">
                  <c:v>42809</c:v>
                </c:pt>
                <c:pt idx="119">
                  <c:v>42810</c:v>
                </c:pt>
                <c:pt idx="120">
                  <c:v>42811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42842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43042</c:v>
                </c:pt>
                <c:pt idx="281">
                  <c:v>43045</c:v>
                </c:pt>
                <c:pt idx="282">
                  <c:v>43046</c:v>
                </c:pt>
                <c:pt idx="283">
                  <c:v>43047</c:v>
                </c:pt>
                <c:pt idx="284">
                  <c:v>43048</c:v>
                </c:pt>
                <c:pt idx="285">
                  <c:v>43049</c:v>
                </c:pt>
                <c:pt idx="286">
                  <c:v>43052</c:v>
                </c:pt>
                <c:pt idx="287">
                  <c:v>43053</c:v>
                </c:pt>
                <c:pt idx="288">
                  <c:v>43054</c:v>
                </c:pt>
                <c:pt idx="289">
                  <c:v>43055</c:v>
                </c:pt>
                <c:pt idx="290">
                  <c:v>43056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43082</c:v>
                </c:pt>
                <c:pt idx="307">
                  <c:v>43083</c:v>
                </c:pt>
                <c:pt idx="308">
                  <c:v>43084</c:v>
                </c:pt>
                <c:pt idx="309">
                  <c:v>43087</c:v>
                </c:pt>
                <c:pt idx="310">
                  <c:v>43088</c:v>
                </c:pt>
                <c:pt idx="311">
                  <c:v>43089</c:v>
                </c:pt>
                <c:pt idx="312">
                  <c:v>43090</c:v>
                </c:pt>
                <c:pt idx="313">
                  <c:v>43091</c:v>
                </c:pt>
                <c:pt idx="314">
                  <c:v>43095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43137</c:v>
                </c:pt>
                <c:pt idx="343">
                  <c:v>43138</c:v>
                </c:pt>
                <c:pt idx="344">
                  <c:v>43139</c:v>
                </c:pt>
                <c:pt idx="345">
                  <c:v>43140</c:v>
                </c:pt>
                <c:pt idx="346">
                  <c:v>43143</c:v>
                </c:pt>
                <c:pt idx="347">
                  <c:v>43144</c:v>
                </c:pt>
                <c:pt idx="348">
                  <c:v>43145</c:v>
                </c:pt>
                <c:pt idx="349">
                  <c:v>43146</c:v>
                </c:pt>
                <c:pt idx="350">
                  <c:v>43147</c:v>
                </c:pt>
                <c:pt idx="351">
                  <c:v>43150</c:v>
                </c:pt>
                <c:pt idx="352">
                  <c:v>43151</c:v>
                </c:pt>
                <c:pt idx="353">
                  <c:v>43152</c:v>
                </c:pt>
                <c:pt idx="354">
                  <c:v>43153</c:v>
                </c:pt>
                <c:pt idx="355">
                  <c:v>43154</c:v>
                </c:pt>
                <c:pt idx="356">
                  <c:v>43157</c:v>
                </c:pt>
                <c:pt idx="357">
                  <c:v>43158</c:v>
                </c:pt>
                <c:pt idx="358">
                  <c:v>43159</c:v>
                </c:pt>
                <c:pt idx="359">
                  <c:v>43160</c:v>
                </c:pt>
                <c:pt idx="360">
                  <c:v>43161</c:v>
                </c:pt>
                <c:pt idx="361">
                  <c:v>43164</c:v>
                </c:pt>
                <c:pt idx="362">
                  <c:v>43165</c:v>
                </c:pt>
                <c:pt idx="363">
                  <c:v>43166</c:v>
                </c:pt>
                <c:pt idx="364">
                  <c:v>43167</c:v>
                </c:pt>
                <c:pt idx="365">
                  <c:v>43168</c:v>
                </c:pt>
                <c:pt idx="366">
                  <c:v>43171</c:v>
                </c:pt>
                <c:pt idx="367">
                  <c:v>43172</c:v>
                </c:pt>
                <c:pt idx="368">
                  <c:v>43173</c:v>
                </c:pt>
                <c:pt idx="369">
                  <c:v>43174</c:v>
                </c:pt>
                <c:pt idx="370">
                  <c:v>43175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43192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43222</c:v>
                </c:pt>
                <c:pt idx="400">
                  <c:v>43223</c:v>
                </c:pt>
                <c:pt idx="401">
                  <c:v>43224</c:v>
                </c:pt>
                <c:pt idx="402">
                  <c:v>43227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43248</c:v>
                </c:pt>
                <c:pt idx="418">
                  <c:v>43249</c:v>
                </c:pt>
                <c:pt idx="419">
                  <c:v>43250</c:v>
                </c:pt>
                <c:pt idx="420">
                  <c:v>43251</c:v>
                </c:pt>
                <c:pt idx="421">
                  <c:v>43252</c:v>
                </c:pt>
                <c:pt idx="422">
                  <c:v>43255</c:v>
                </c:pt>
                <c:pt idx="423">
                  <c:v>43256</c:v>
                </c:pt>
                <c:pt idx="424">
                  <c:v>43257</c:v>
                </c:pt>
                <c:pt idx="425">
                  <c:v>43258</c:v>
                </c:pt>
                <c:pt idx="426">
                  <c:v>43259</c:v>
                </c:pt>
                <c:pt idx="427">
                  <c:v>43262</c:v>
                </c:pt>
                <c:pt idx="428">
                  <c:v>43263</c:v>
                </c:pt>
                <c:pt idx="429">
                  <c:v>43264</c:v>
                </c:pt>
                <c:pt idx="430">
                  <c:v>43265</c:v>
                </c:pt>
                <c:pt idx="431">
                  <c:v>43266</c:v>
                </c:pt>
                <c:pt idx="432">
                  <c:v>43269</c:v>
                </c:pt>
                <c:pt idx="433">
                  <c:v>43270</c:v>
                </c:pt>
                <c:pt idx="434">
                  <c:v>43271</c:v>
                </c:pt>
                <c:pt idx="435">
                  <c:v>43272</c:v>
                </c:pt>
                <c:pt idx="436">
                  <c:v>43273</c:v>
                </c:pt>
                <c:pt idx="437">
                  <c:v>43276</c:v>
                </c:pt>
                <c:pt idx="438">
                  <c:v>43277</c:v>
                </c:pt>
                <c:pt idx="439">
                  <c:v>43278</c:v>
                </c:pt>
                <c:pt idx="440">
                  <c:v>43279</c:v>
                </c:pt>
                <c:pt idx="441">
                  <c:v>43280</c:v>
                </c:pt>
                <c:pt idx="442">
                  <c:v>43283</c:v>
                </c:pt>
                <c:pt idx="443">
                  <c:v>43284</c:v>
                </c:pt>
                <c:pt idx="444">
                  <c:v>43285</c:v>
                </c:pt>
                <c:pt idx="445">
                  <c:v>43286</c:v>
                </c:pt>
                <c:pt idx="446">
                  <c:v>43287</c:v>
                </c:pt>
                <c:pt idx="447">
                  <c:v>43290</c:v>
                </c:pt>
                <c:pt idx="448">
                  <c:v>43291</c:v>
                </c:pt>
                <c:pt idx="449">
                  <c:v>43292</c:v>
                </c:pt>
                <c:pt idx="450">
                  <c:v>43293</c:v>
                </c:pt>
                <c:pt idx="451">
                  <c:v>43294</c:v>
                </c:pt>
                <c:pt idx="452">
                  <c:v>43297</c:v>
                </c:pt>
                <c:pt idx="453">
                  <c:v>43298</c:v>
                </c:pt>
                <c:pt idx="454">
                  <c:v>43299</c:v>
                </c:pt>
                <c:pt idx="455">
                  <c:v>43300</c:v>
                </c:pt>
                <c:pt idx="456">
                  <c:v>43301</c:v>
                </c:pt>
                <c:pt idx="457">
                  <c:v>43304</c:v>
                </c:pt>
                <c:pt idx="458">
                  <c:v>43305</c:v>
                </c:pt>
                <c:pt idx="459">
                  <c:v>43306</c:v>
                </c:pt>
                <c:pt idx="460">
                  <c:v>43307</c:v>
                </c:pt>
                <c:pt idx="461">
                  <c:v>43308</c:v>
                </c:pt>
                <c:pt idx="462">
                  <c:v>43311</c:v>
                </c:pt>
                <c:pt idx="463">
                  <c:v>43312</c:v>
                </c:pt>
                <c:pt idx="464">
                  <c:v>43313</c:v>
                </c:pt>
                <c:pt idx="465">
                  <c:v>43314</c:v>
                </c:pt>
                <c:pt idx="466">
                  <c:v>43315</c:v>
                </c:pt>
                <c:pt idx="467">
                  <c:v>43318</c:v>
                </c:pt>
                <c:pt idx="468">
                  <c:v>43319</c:v>
                </c:pt>
                <c:pt idx="469">
                  <c:v>43320</c:v>
                </c:pt>
                <c:pt idx="470">
                  <c:v>43321</c:v>
                </c:pt>
                <c:pt idx="471">
                  <c:v>43322</c:v>
                </c:pt>
                <c:pt idx="472">
                  <c:v>43325</c:v>
                </c:pt>
                <c:pt idx="473">
                  <c:v>43326</c:v>
                </c:pt>
                <c:pt idx="474">
                  <c:v>43327</c:v>
                </c:pt>
                <c:pt idx="475">
                  <c:v>43328</c:v>
                </c:pt>
                <c:pt idx="476">
                  <c:v>43329</c:v>
                </c:pt>
                <c:pt idx="477">
                  <c:v>43332</c:v>
                </c:pt>
                <c:pt idx="478">
                  <c:v>43333</c:v>
                </c:pt>
                <c:pt idx="479">
                  <c:v>43334</c:v>
                </c:pt>
                <c:pt idx="480">
                  <c:v>43335</c:v>
                </c:pt>
                <c:pt idx="481">
                  <c:v>43336</c:v>
                </c:pt>
                <c:pt idx="482">
                  <c:v>43339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43389</c:v>
                </c:pt>
                <c:pt idx="519">
                  <c:v>43390</c:v>
                </c:pt>
                <c:pt idx="520">
                  <c:v>43391</c:v>
                </c:pt>
                <c:pt idx="521">
                  <c:v>43392</c:v>
                </c:pt>
                <c:pt idx="522">
                  <c:v>43395</c:v>
                </c:pt>
                <c:pt idx="523">
                  <c:v>43396</c:v>
                </c:pt>
                <c:pt idx="524">
                  <c:v>43397</c:v>
                </c:pt>
                <c:pt idx="525">
                  <c:v>43398</c:v>
                </c:pt>
                <c:pt idx="526">
                  <c:v>43399</c:v>
                </c:pt>
                <c:pt idx="527">
                  <c:v>43402</c:v>
                </c:pt>
                <c:pt idx="528">
                  <c:v>43403</c:v>
                </c:pt>
                <c:pt idx="529">
                  <c:v>43404</c:v>
                </c:pt>
                <c:pt idx="530">
                  <c:v>43405</c:v>
                </c:pt>
                <c:pt idx="531">
                  <c:v>43409</c:v>
                </c:pt>
                <c:pt idx="532">
                  <c:v>43410</c:v>
                </c:pt>
                <c:pt idx="533">
                  <c:v>43411</c:v>
                </c:pt>
                <c:pt idx="534">
                  <c:v>43412</c:v>
                </c:pt>
                <c:pt idx="535">
                  <c:v>43413</c:v>
                </c:pt>
                <c:pt idx="536">
                  <c:v>43416</c:v>
                </c:pt>
                <c:pt idx="537">
                  <c:v>43417</c:v>
                </c:pt>
                <c:pt idx="538">
                  <c:v>43418</c:v>
                </c:pt>
                <c:pt idx="539">
                  <c:v>43419</c:v>
                </c:pt>
                <c:pt idx="540">
                  <c:v>43420</c:v>
                </c:pt>
                <c:pt idx="541">
                  <c:v>43424</c:v>
                </c:pt>
                <c:pt idx="542">
                  <c:v>43425</c:v>
                </c:pt>
                <c:pt idx="543">
                  <c:v>43426</c:v>
                </c:pt>
                <c:pt idx="544">
                  <c:v>43427</c:v>
                </c:pt>
                <c:pt idx="545">
                  <c:v>43430</c:v>
                </c:pt>
                <c:pt idx="546">
                  <c:v>43431</c:v>
                </c:pt>
                <c:pt idx="547">
                  <c:v>43432</c:v>
                </c:pt>
                <c:pt idx="548">
                  <c:v>43433</c:v>
                </c:pt>
                <c:pt idx="549">
                  <c:v>43434</c:v>
                </c:pt>
                <c:pt idx="550">
                  <c:v>43437</c:v>
                </c:pt>
                <c:pt idx="551">
                  <c:v>43438</c:v>
                </c:pt>
                <c:pt idx="552">
                  <c:v>43439</c:v>
                </c:pt>
                <c:pt idx="553">
                  <c:v>43440</c:v>
                </c:pt>
                <c:pt idx="554">
                  <c:v>43441</c:v>
                </c:pt>
                <c:pt idx="555">
                  <c:v>43444</c:v>
                </c:pt>
                <c:pt idx="556">
                  <c:v>43445</c:v>
                </c:pt>
                <c:pt idx="557">
                  <c:v>43447</c:v>
                </c:pt>
                <c:pt idx="558">
                  <c:v>43448</c:v>
                </c:pt>
                <c:pt idx="559">
                  <c:v>43451</c:v>
                </c:pt>
                <c:pt idx="560">
                  <c:v>43452</c:v>
                </c:pt>
                <c:pt idx="561">
                  <c:v>43453</c:v>
                </c:pt>
                <c:pt idx="562">
                  <c:v>43454</c:v>
                </c:pt>
                <c:pt idx="563">
                  <c:v>43455</c:v>
                </c:pt>
                <c:pt idx="564">
                  <c:v>43458</c:v>
                </c:pt>
                <c:pt idx="565">
                  <c:v>43460</c:v>
                </c:pt>
                <c:pt idx="566">
                  <c:v>43461</c:v>
                </c:pt>
                <c:pt idx="567">
                  <c:v>43462</c:v>
                </c:pt>
                <c:pt idx="568">
                  <c:v>43465</c:v>
                </c:pt>
                <c:pt idx="569">
                  <c:v>43467</c:v>
                </c:pt>
                <c:pt idx="570">
                  <c:v>43468</c:v>
                </c:pt>
                <c:pt idx="571">
                  <c:v>43469</c:v>
                </c:pt>
                <c:pt idx="572">
                  <c:v>43472</c:v>
                </c:pt>
                <c:pt idx="573">
                  <c:v>43473</c:v>
                </c:pt>
                <c:pt idx="574">
                  <c:v>43474</c:v>
                </c:pt>
                <c:pt idx="575">
                  <c:v>43475</c:v>
                </c:pt>
                <c:pt idx="576">
                  <c:v>43476</c:v>
                </c:pt>
                <c:pt idx="577">
                  <c:v>43479</c:v>
                </c:pt>
                <c:pt idx="578">
                  <c:v>43480</c:v>
                </c:pt>
                <c:pt idx="579">
                  <c:v>43481</c:v>
                </c:pt>
                <c:pt idx="580">
                  <c:v>43482</c:v>
                </c:pt>
                <c:pt idx="581">
                  <c:v>43483</c:v>
                </c:pt>
                <c:pt idx="582">
                  <c:v>43486</c:v>
                </c:pt>
                <c:pt idx="583">
                  <c:v>43487</c:v>
                </c:pt>
                <c:pt idx="584">
                  <c:v>43488</c:v>
                </c:pt>
                <c:pt idx="585">
                  <c:v>43489</c:v>
                </c:pt>
                <c:pt idx="586">
                  <c:v>43490</c:v>
                </c:pt>
                <c:pt idx="587">
                  <c:v>43493</c:v>
                </c:pt>
                <c:pt idx="588">
                  <c:v>43494</c:v>
                </c:pt>
                <c:pt idx="589">
                  <c:v>43495</c:v>
                </c:pt>
                <c:pt idx="590">
                  <c:v>43496</c:v>
                </c:pt>
                <c:pt idx="591">
                  <c:v>43497</c:v>
                </c:pt>
                <c:pt idx="592">
                  <c:v>43501</c:v>
                </c:pt>
                <c:pt idx="593">
                  <c:v>43502</c:v>
                </c:pt>
                <c:pt idx="594">
                  <c:v>43503</c:v>
                </c:pt>
                <c:pt idx="595">
                  <c:v>43504</c:v>
                </c:pt>
                <c:pt idx="596">
                  <c:v>43507</c:v>
                </c:pt>
                <c:pt idx="597">
                  <c:v>43508</c:v>
                </c:pt>
                <c:pt idx="598">
                  <c:v>43509</c:v>
                </c:pt>
                <c:pt idx="599">
                  <c:v>43510</c:v>
                </c:pt>
                <c:pt idx="600">
                  <c:v>43511</c:v>
                </c:pt>
                <c:pt idx="601">
                  <c:v>43514</c:v>
                </c:pt>
                <c:pt idx="602">
                  <c:v>43515</c:v>
                </c:pt>
                <c:pt idx="603">
                  <c:v>43516</c:v>
                </c:pt>
                <c:pt idx="604">
                  <c:v>43517</c:v>
                </c:pt>
                <c:pt idx="605">
                  <c:v>43518</c:v>
                </c:pt>
                <c:pt idx="606">
                  <c:v>43521</c:v>
                </c:pt>
                <c:pt idx="607">
                  <c:v>43522</c:v>
                </c:pt>
                <c:pt idx="608">
                  <c:v>43523</c:v>
                </c:pt>
                <c:pt idx="609">
                  <c:v>43524</c:v>
                </c:pt>
                <c:pt idx="610">
                  <c:v>43525</c:v>
                </c:pt>
                <c:pt idx="611">
                  <c:v>43528</c:v>
                </c:pt>
                <c:pt idx="612">
                  <c:v>43529</c:v>
                </c:pt>
                <c:pt idx="613">
                  <c:v>43530</c:v>
                </c:pt>
                <c:pt idx="614">
                  <c:v>43531</c:v>
                </c:pt>
                <c:pt idx="615">
                  <c:v>43532</c:v>
                </c:pt>
                <c:pt idx="616">
                  <c:v>43535</c:v>
                </c:pt>
                <c:pt idx="617">
                  <c:v>43536</c:v>
                </c:pt>
                <c:pt idx="618">
                  <c:v>43537</c:v>
                </c:pt>
                <c:pt idx="619">
                  <c:v>43538</c:v>
                </c:pt>
                <c:pt idx="620">
                  <c:v>43539</c:v>
                </c:pt>
                <c:pt idx="621">
                  <c:v>43543</c:v>
                </c:pt>
                <c:pt idx="622">
                  <c:v>43544</c:v>
                </c:pt>
                <c:pt idx="623">
                  <c:v>43545</c:v>
                </c:pt>
                <c:pt idx="624">
                  <c:v>43546</c:v>
                </c:pt>
                <c:pt idx="625">
                  <c:v>43549</c:v>
                </c:pt>
                <c:pt idx="626">
                  <c:v>43550</c:v>
                </c:pt>
                <c:pt idx="627">
                  <c:v>43551</c:v>
                </c:pt>
                <c:pt idx="628">
                  <c:v>43552</c:v>
                </c:pt>
                <c:pt idx="629">
                  <c:v>43553</c:v>
                </c:pt>
                <c:pt idx="630">
                  <c:v>43556</c:v>
                </c:pt>
                <c:pt idx="631">
                  <c:v>43557</c:v>
                </c:pt>
                <c:pt idx="632">
                  <c:v>43558</c:v>
                </c:pt>
                <c:pt idx="633">
                  <c:v>43559</c:v>
                </c:pt>
                <c:pt idx="634">
                  <c:v>43560</c:v>
                </c:pt>
                <c:pt idx="635">
                  <c:v>43563</c:v>
                </c:pt>
                <c:pt idx="636">
                  <c:v>43564</c:v>
                </c:pt>
                <c:pt idx="637">
                  <c:v>43565</c:v>
                </c:pt>
                <c:pt idx="638">
                  <c:v>43566</c:v>
                </c:pt>
                <c:pt idx="639">
                  <c:v>43567</c:v>
                </c:pt>
                <c:pt idx="640">
                  <c:v>43570</c:v>
                </c:pt>
                <c:pt idx="641">
                  <c:v>43571</c:v>
                </c:pt>
                <c:pt idx="642">
                  <c:v>43572</c:v>
                </c:pt>
                <c:pt idx="643">
                  <c:v>43577</c:v>
                </c:pt>
                <c:pt idx="644">
                  <c:v>43578</c:v>
                </c:pt>
                <c:pt idx="645">
                  <c:v>43579</c:v>
                </c:pt>
                <c:pt idx="646">
                  <c:v>43580</c:v>
                </c:pt>
                <c:pt idx="647">
                  <c:v>43581</c:v>
                </c:pt>
                <c:pt idx="648">
                  <c:v>43584</c:v>
                </c:pt>
                <c:pt idx="649">
                  <c:v>43585</c:v>
                </c:pt>
                <c:pt idx="650">
                  <c:v>43587</c:v>
                </c:pt>
                <c:pt idx="651">
                  <c:v>43588</c:v>
                </c:pt>
                <c:pt idx="652">
                  <c:v>43591</c:v>
                </c:pt>
                <c:pt idx="653">
                  <c:v>43592</c:v>
                </c:pt>
                <c:pt idx="654">
                  <c:v>43593</c:v>
                </c:pt>
                <c:pt idx="655">
                  <c:v>43594</c:v>
                </c:pt>
                <c:pt idx="656">
                  <c:v>43595</c:v>
                </c:pt>
                <c:pt idx="657">
                  <c:v>43598</c:v>
                </c:pt>
                <c:pt idx="658">
                  <c:v>43599</c:v>
                </c:pt>
                <c:pt idx="659">
                  <c:v>43600</c:v>
                </c:pt>
                <c:pt idx="660">
                  <c:v>43601</c:v>
                </c:pt>
                <c:pt idx="661">
                  <c:v>43602</c:v>
                </c:pt>
                <c:pt idx="662">
                  <c:v>43605</c:v>
                </c:pt>
                <c:pt idx="663">
                  <c:v>43606</c:v>
                </c:pt>
                <c:pt idx="664">
                  <c:v>43607</c:v>
                </c:pt>
                <c:pt idx="665">
                  <c:v>43608</c:v>
                </c:pt>
                <c:pt idx="666">
                  <c:v>43609</c:v>
                </c:pt>
                <c:pt idx="667">
                  <c:v>43612</c:v>
                </c:pt>
                <c:pt idx="668">
                  <c:v>43613</c:v>
                </c:pt>
                <c:pt idx="669">
                  <c:v>43614</c:v>
                </c:pt>
                <c:pt idx="670">
                  <c:v>43615</c:v>
                </c:pt>
                <c:pt idx="671">
                  <c:v>43616</c:v>
                </c:pt>
                <c:pt idx="672">
                  <c:v>43619</c:v>
                </c:pt>
                <c:pt idx="673">
                  <c:v>43620</c:v>
                </c:pt>
                <c:pt idx="674">
                  <c:v>43621</c:v>
                </c:pt>
                <c:pt idx="675">
                  <c:v>43622</c:v>
                </c:pt>
                <c:pt idx="676">
                  <c:v>43623</c:v>
                </c:pt>
                <c:pt idx="677">
                  <c:v>43626</c:v>
                </c:pt>
                <c:pt idx="678">
                  <c:v>43627</c:v>
                </c:pt>
                <c:pt idx="679">
                  <c:v>43628</c:v>
                </c:pt>
                <c:pt idx="680">
                  <c:v>43629</c:v>
                </c:pt>
                <c:pt idx="681">
                  <c:v>43630</c:v>
                </c:pt>
                <c:pt idx="682">
                  <c:v>43633</c:v>
                </c:pt>
                <c:pt idx="683">
                  <c:v>43634</c:v>
                </c:pt>
                <c:pt idx="684">
                  <c:v>43635</c:v>
                </c:pt>
                <c:pt idx="685">
                  <c:v>43636</c:v>
                </c:pt>
                <c:pt idx="686">
                  <c:v>43637</c:v>
                </c:pt>
                <c:pt idx="687">
                  <c:v>43640</c:v>
                </c:pt>
                <c:pt idx="688">
                  <c:v>43641</c:v>
                </c:pt>
                <c:pt idx="689">
                  <c:v>43642</c:v>
                </c:pt>
                <c:pt idx="690">
                  <c:v>43643</c:v>
                </c:pt>
                <c:pt idx="691">
                  <c:v>43644</c:v>
                </c:pt>
                <c:pt idx="692">
                  <c:v>43647</c:v>
                </c:pt>
                <c:pt idx="693">
                  <c:v>43648</c:v>
                </c:pt>
                <c:pt idx="694">
                  <c:v>43649</c:v>
                </c:pt>
                <c:pt idx="695">
                  <c:v>43650</c:v>
                </c:pt>
                <c:pt idx="696">
                  <c:v>43651</c:v>
                </c:pt>
                <c:pt idx="697">
                  <c:v>43654</c:v>
                </c:pt>
                <c:pt idx="698">
                  <c:v>43655</c:v>
                </c:pt>
                <c:pt idx="699">
                  <c:v>43656</c:v>
                </c:pt>
                <c:pt idx="700">
                  <c:v>43657</c:v>
                </c:pt>
                <c:pt idx="701">
                  <c:v>43658</c:v>
                </c:pt>
                <c:pt idx="702">
                  <c:v>43661</c:v>
                </c:pt>
                <c:pt idx="703">
                  <c:v>43662</c:v>
                </c:pt>
                <c:pt idx="704">
                  <c:v>43663</c:v>
                </c:pt>
                <c:pt idx="705">
                  <c:v>43664</c:v>
                </c:pt>
                <c:pt idx="706">
                  <c:v>43665</c:v>
                </c:pt>
                <c:pt idx="707">
                  <c:v>43668</c:v>
                </c:pt>
                <c:pt idx="708">
                  <c:v>43669</c:v>
                </c:pt>
                <c:pt idx="709">
                  <c:v>43670</c:v>
                </c:pt>
                <c:pt idx="710">
                  <c:v>43671</c:v>
                </c:pt>
                <c:pt idx="711">
                  <c:v>43672</c:v>
                </c:pt>
                <c:pt idx="712">
                  <c:v>43675</c:v>
                </c:pt>
                <c:pt idx="713">
                  <c:v>43676</c:v>
                </c:pt>
                <c:pt idx="714">
                  <c:v>43677</c:v>
                </c:pt>
                <c:pt idx="715">
                  <c:v>43678</c:v>
                </c:pt>
                <c:pt idx="716">
                  <c:v>43679</c:v>
                </c:pt>
                <c:pt idx="717">
                  <c:v>43682</c:v>
                </c:pt>
                <c:pt idx="718">
                  <c:v>43683</c:v>
                </c:pt>
                <c:pt idx="719">
                  <c:v>43684</c:v>
                </c:pt>
                <c:pt idx="720">
                  <c:v>43685</c:v>
                </c:pt>
                <c:pt idx="721">
                  <c:v>43686</c:v>
                </c:pt>
                <c:pt idx="722">
                  <c:v>43689</c:v>
                </c:pt>
                <c:pt idx="723">
                  <c:v>43690</c:v>
                </c:pt>
                <c:pt idx="724">
                  <c:v>43691</c:v>
                </c:pt>
                <c:pt idx="725">
                  <c:v>43692</c:v>
                </c:pt>
                <c:pt idx="726">
                  <c:v>43693</c:v>
                </c:pt>
                <c:pt idx="727">
                  <c:v>43696</c:v>
                </c:pt>
                <c:pt idx="728">
                  <c:v>43697</c:v>
                </c:pt>
                <c:pt idx="729">
                  <c:v>43698</c:v>
                </c:pt>
                <c:pt idx="730">
                  <c:v>43699</c:v>
                </c:pt>
                <c:pt idx="731">
                  <c:v>43700</c:v>
                </c:pt>
                <c:pt idx="732">
                  <c:v>43703</c:v>
                </c:pt>
                <c:pt idx="733">
                  <c:v>43704</c:v>
                </c:pt>
                <c:pt idx="734">
                  <c:v>43705</c:v>
                </c:pt>
                <c:pt idx="735">
                  <c:v>43706</c:v>
                </c:pt>
                <c:pt idx="736">
                  <c:v>43707</c:v>
                </c:pt>
                <c:pt idx="737">
                  <c:v>43710</c:v>
                </c:pt>
                <c:pt idx="738">
                  <c:v>43711</c:v>
                </c:pt>
                <c:pt idx="739">
                  <c:v>43712</c:v>
                </c:pt>
                <c:pt idx="740">
                  <c:v>43713</c:v>
                </c:pt>
                <c:pt idx="741">
                  <c:v>43714</c:v>
                </c:pt>
                <c:pt idx="742">
                  <c:v>43717</c:v>
                </c:pt>
                <c:pt idx="743">
                  <c:v>43718</c:v>
                </c:pt>
                <c:pt idx="744">
                  <c:v>43719</c:v>
                </c:pt>
                <c:pt idx="745">
                  <c:v>43720</c:v>
                </c:pt>
                <c:pt idx="746">
                  <c:v>43721</c:v>
                </c:pt>
                <c:pt idx="747">
                  <c:v>43725</c:v>
                </c:pt>
                <c:pt idx="748">
                  <c:v>43726</c:v>
                </c:pt>
                <c:pt idx="749">
                  <c:v>43727</c:v>
                </c:pt>
                <c:pt idx="750">
                  <c:v>43728</c:v>
                </c:pt>
                <c:pt idx="751">
                  <c:v>43731</c:v>
                </c:pt>
                <c:pt idx="752">
                  <c:v>43732</c:v>
                </c:pt>
                <c:pt idx="753">
                  <c:v>43733</c:v>
                </c:pt>
                <c:pt idx="754">
                  <c:v>43734</c:v>
                </c:pt>
                <c:pt idx="755">
                  <c:v>43735</c:v>
                </c:pt>
                <c:pt idx="756">
                  <c:v>43738</c:v>
                </c:pt>
                <c:pt idx="757">
                  <c:v>43739</c:v>
                </c:pt>
                <c:pt idx="758">
                  <c:v>43740</c:v>
                </c:pt>
                <c:pt idx="759">
                  <c:v>43741</c:v>
                </c:pt>
                <c:pt idx="760">
                  <c:v>43742</c:v>
                </c:pt>
                <c:pt idx="761">
                  <c:v>43745</c:v>
                </c:pt>
                <c:pt idx="762">
                  <c:v>43746</c:v>
                </c:pt>
                <c:pt idx="763">
                  <c:v>43747</c:v>
                </c:pt>
                <c:pt idx="764">
                  <c:v>43748</c:v>
                </c:pt>
                <c:pt idx="765">
                  <c:v>43749</c:v>
                </c:pt>
                <c:pt idx="766">
                  <c:v>43752</c:v>
                </c:pt>
                <c:pt idx="767">
                  <c:v>43753</c:v>
                </c:pt>
                <c:pt idx="768">
                  <c:v>43754</c:v>
                </c:pt>
                <c:pt idx="769">
                  <c:v>43755</c:v>
                </c:pt>
                <c:pt idx="770">
                  <c:v>43756</c:v>
                </c:pt>
                <c:pt idx="771">
                  <c:v>43759</c:v>
                </c:pt>
                <c:pt idx="772">
                  <c:v>43760</c:v>
                </c:pt>
                <c:pt idx="773">
                  <c:v>43761</c:v>
                </c:pt>
                <c:pt idx="774">
                  <c:v>43762</c:v>
                </c:pt>
                <c:pt idx="775">
                  <c:v>43763</c:v>
                </c:pt>
                <c:pt idx="776">
                  <c:v>43766</c:v>
                </c:pt>
                <c:pt idx="777">
                  <c:v>43767</c:v>
                </c:pt>
                <c:pt idx="778">
                  <c:v>43768</c:v>
                </c:pt>
                <c:pt idx="779">
                  <c:v>43769</c:v>
                </c:pt>
                <c:pt idx="780">
                  <c:v>43770</c:v>
                </c:pt>
                <c:pt idx="781">
                  <c:v>43773</c:v>
                </c:pt>
                <c:pt idx="782">
                  <c:v>43774</c:v>
                </c:pt>
                <c:pt idx="783">
                  <c:v>43775</c:v>
                </c:pt>
                <c:pt idx="784">
                  <c:v>43776</c:v>
                </c:pt>
                <c:pt idx="785">
                  <c:v>43777</c:v>
                </c:pt>
                <c:pt idx="786">
                  <c:v>43780</c:v>
                </c:pt>
                <c:pt idx="787">
                  <c:v>43781</c:v>
                </c:pt>
                <c:pt idx="788">
                  <c:v>43782</c:v>
                </c:pt>
                <c:pt idx="789">
                  <c:v>43783</c:v>
                </c:pt>
                <c:pt idx="790">
                  <c:v>43784</c:v>
                </c:pt>
                <c:pt idx="791">
                  <c:v>43788</c:v>
                </c:pt>
                <c:pt idx="792">
                  <c:v>43789</c:v>
                </c:pt>
                <c:pt idx="793">
                  <c:v>43790</c:v>
                </c:pt>
                <c:pt idx="794">
                  <c:v>43791</c:v>
                </c:pt>
                <c:pt idx="795">
                  <c:v>43794</c:v>
                </c:pt>
                <c:pt idx="796">
                  <c:v>43795</c:v>
                </c:pt>
                <c:pt idx="797">
                  <c:v>43796</c:v>
                </c:pt>
                <c:pt idx="798">
                  <c:v>43797</c:v>
                </c:pt>
                <c:pt idx="799">
                  <c:v>43798</c:v>
                </c:pt>
                <c:pt idx="800">
                  <c:v>43801</c:v>
                </c:pt>
                <c:pt idx="801">
                  <c:v>43802</c:v>
                </c:pt>
                <c:pt idx="802">
                  <c:v>43803</c:v>
                </c:pt>
                <c:pt idx="803">
                  <c:v>43804</c:v>
                </c:pt>
                <c:pt idx="804">
                  <c:v>43805</c:v>
                </c:pt>
                <c:pt idx="805">
                  <c:v>43808</c:v>
                </c:pt>
                <c:pt idx="806">
                  <c:v>43809</c:v>
                </c:pt>
                <c:pt idx="807">
                  <c:v>43810</c:v>
                </c:pt>
                <c:pt idx="808">
                  <c:v>43812</c:v>
                </c:pt>
                <c:pt idx="809">
                  <c:v>43815</c:v>
                </c:pt>
                <c:pt idx="810">
                  <c:v>43816</c:v>
                </c:pt>
                <c:pt idx="811">
                  <c:v>43817</c:v>
                </c:pt>
                <c:pt idx="812">
                  <c:v>43818</c:v>
                </c:pt>
                <c:pt idx="813">
                  <c:v>43819</c:v>
                </c:pt>
                <c:pt idx="814">
                  <c:v>43822</c:v>
                </c:pt>
                <c:pt idx="815">
                  <c:v>43823</c:v>
                </c:pt>
                <c:pt idx="816">
                  <c:v>43825</c:v>
                </c:pt>
                <c:pt idx="817">
                  <c:v>43826</c:v>
                </c:pt>
                <c:pt idx="818">
                  <c:v>43829</c:v>
                </c:pt>
                <c:pt idx="819">
                  <c:v>43830</c:v>
                </c:pt>
                <c:pt idx="820">
                  <c:v>43832</c:v>
                </c:pt>
                <c:pt idx="821">
                  <c:v>43833</c:v>
                </c:pt>
                <c:pt idx="822">
                  <c:v>43836</c:v>
                </c:pt>
                <c:pt idx="823">
                  <c:v>43837</c:v>
                </c:pt>
                <c:pt idx="824">
                  <c:v>43838</c:v>
                </c:pt>
                <c:pt idx="825">
                  <c:v>43839</c:v>
                </c:pt>
                <c:pt idx="826">
                  <c:v>43840</c:v>
                </c:pt>
                <c:pt idx="827">
                  <c:v>43843</c:v>
                </c:pt>
                <c:pt idx="828">
                  <c:v>43844</c:v>
                </c:pt>
                <c:pt idx="829">
                  <c:v>43845</c:v>
                </c:pt>
                <c:pt idx="830">
                  <c:v>43846</c:v>
                </c:pt>
                <c:pt idx="831">
                  <c:v>43847</c:v>
                </c:pt>
                <c:pt idx="832">
                  <c:v>43850</c:v>
                </c:pt>
                <c:pt idx="833">
                  <c:v>43851</c:v>
                </c:pt>
                <c:pt idx="834">
                  <c:v>43852</c:v>
                </c:pt>
                <c:pt idx="835">
                  <c:v>43853</c:v>
                </c:pt>
                <c:pt idx="836">
                  <c:v>43854</c:v>
                </c:pt>
                <c:pt idx="837">
                  <c:v>43857</c:v>
                </c:pt>
                <c:pt idx="838">
                  <c:v>43858</c:v>
                </c:pt>
                <c:pt idx="839">
                  <c:v>43859</c:v>
                </c:pt>
                <c:pt idx="840">
                  <c:v>43860</c:v>
                </c:pt>
                <c:pt idx="841">
                  <c:v>43861</c:v>
                </c:pt>
                <c:pt idx="842">
                  <c:v>43865</c:v>
                </c:pt>
                <c:pt idx="843">
                  <c:v>43866</c:v>
                </c:pt>
                <c:pt idx="844">
                  <c:v>43867</c:v>
                </c:pt>
                <c:pt idx="845">
                  <c:v>43868</c:v>
                </c:pt>
                <c:pt idx="846">
                  <c:v>43871</c:v>
                </c:pt>
                <c:pt idx="847">
                  <c:v>43872</c:v>
                </c:pt>
                <c:pt idx="848">
                  <c:v>43873</c:v>
                </c:pt>
                <c:pt idx="849">
                  <c:v>43874</c:v>
                </c:pt>
                <c:pt idx="850">
                  <c:v>43875</c:v>
                </c:pt>
                <c:pt idx="851">
                  <c:v>43878</c:v>
                </c:pt>
                <c:pt idx="852">
                  <c:v>43879</c:v>
                </c:pt>
                <c:pt idx="853">
                  <c:v>43880</c:v>
                </c:pt>
                <c:pt idx="854">
                  <c:v>43881</c:v>
                </c:pt>
                <c:pt idx="855">
                  <c:v>43882</c:v>
                </c:pt>
                <c:pt idx="856">
                  <c:v>43885</c:v>
                </c:pt>
                <c:pt idx="857">
                  <c:v>43886</c:v>
                </c:pt>
                <c:pt idx="858">
                  <c:v>43887</c:v>
                </c:pt>
                <c:pt idx="859">
                  <c:v>43888</c:v>
                </c:pt>
                <c:pt idx="860">
                  <c:v>43889</c:v>
                </c:pt>
                <c:pt idx="861">
                  <c:v>43892</c:v>
                </c:pt>
                <c:pt idx="862">
                  <c:v>43893</c:v>
                </c:pt>
                <c:pt idx="863">
                  <c:v>43894</c:v>
                </c:pt>
                <c:pt idx="864">
                  <c:v>43895</c:v>
                </c:pt>
                <c:pt idx="865">
                  <c:v>43896</c:v>
                </c:pt>
                <c:pt idx="866">
                  <c:v>43899</c:v>
                </c:pt>
                <c:pt idx="867">
                  <c:v>43900</c:v>
                </c:pt>
                <c:pt idx="868">
                  <c:v>43901</c:v>
                </c:pt>
                <c:pt idx="869">
                  <c:v>43902</c:v>
                </c:pt>
                <c:pt idx="870">
                  <c:v>43903</c:v>
                </c:pt>
                <c:pt idx="871">
                  <c:v>43907</c:v>
                </c:pt>
                <c:pt idx="872">
                  <c:v>43908</c:v>
                </c:pt>
                <c:pt idx="873">
                  <c:v>43909</c:v>
                </c:pt>
                <c:pt idx="874">
                  <c:v>43910</c:v>
                </c:pt>
                <c:pt idx="875">
                  <c:v>43913</c:v>
                </c:pt>
                <c:pt idx="876">
                  <c:v>43914</c:v>
                </c:pt>
                <c:pt idx="877">
                  <c:v>43915</c:v>
                </c:pt>
                <c:pt idx="878">
                  <c:v>43916</c:v>
                </c:pt>
                <c:pt idx="879">
                  <c:v>43917</c:v>
                </c:pt>
                <c:pt idx="880">
                  <c:v>43920</c:v>
                </c:pt>
                <c:pt idx="881">
                  <c:v>43921</c:v>
                </c:pt>
                <c:pt idx="882">
                  <c:v>43922</c:v>
                </c:pt>
                <c:pt idx="883">
                  <c:v>43923</c:v>
                </c:pt>
                <c:pt idx="884">
                  <c:v>43924</c:v>
                </c:pt>
                <c:pt idx="885">
                  <c:v>43927</c:v>
                </c:pt>
                <c:pt idx="886">
                  <c:v>43928</c:v>
                </c:pt>
                <c:pt idx="887">
                  <c:v>43929</c:v>
                </c:pt>
                <c:pt idx="888">
                  <c:v>43934</c:v>
                </c:pt>
                <c:pt idx="889">
                  <c:v>43935</c:v>
                </c:pt>
                <c:pt idx="890">
                  <c:v>43936</c:v>
                </c:pt>
                <c:pt idx="891">
                  <c:v>43937</c:v>
                </c:pt>
                <c:pt idx="892">
                  <c:v>43938</c:v>
                </c:pt>
                <c:pt idx="893">
                  <c:v>43941</c:v>
                </c:pt>
                <c:pt idx="894">
                  <c:v>43942</c:v>
                </c:pt>
                <c:pt idx="895">
                  <c:v>43943</c:v>
                </c:pt>
                <c:pt idx="896">
                  <c:v>43944</c:v>
                </c:pt>
                <c:pt idx="897">
                  <c:v>43945</c:v>
                </c:pt>
                <c:pt idx="898">
                  <c:v>43948</c:v>
                </c:pt>
                <c:pt idx="899">
                  <c:v>43949</c:v>
                </c:pt>
                <c:pt idx="900">
                  <c:v>43950</c:v>
                </c:pt>
                <c:pt idx="901">
                  <c:v>43951</c:v>
                </c:pt>
                <c:pt idx="902">
                  <c:v>43955</c:v>
                </c:pt>
                <c:pt idx="903">
                  <c:v>43956</c:v>
                </c:pt>
                <c:pt idx="904">
                  <c:v>43957</c:v>
                </c:pt>
                <c:pt idx="905">
                  <c:v>43958</c:v>
                </c:pt>
                <c:pt idx="906">
                  <c:v>43959</c:v>
                </c:pt>
                <c:pt idx="907">
                  <c:v>43962</c:v>
                </c:pt>
                <c:pt idx="908">
                  <c:v>43963</c:v>
                </c:pt>
                <c:pt idx="909">
                  <c:v>43964</c:v>
                </c:pt>
                <c:pt idx="910">
                  <c:v>43965</c:v>
                </c:pt>
                <c:pt idx="911">
                  <c:v>43966</c:v>
                </c:pt>
                <c:pt idx="912">
                  <c:v>43969</c:v>
                </c:pt>
                <c:pt idx="913">
                  <c:v>43970</c:v>
                </c:pt>
                <c:pt idx="914">
                  <c:v>43971</c:v>
                </c:pt>
                <c:pt idx="915">
                  <c:v>43972</c:v>
                </c:pt>
                <c:pt idx="916">
                  <c:v>43973</c:v>
                </c:pt>
                <c:pt idx="917">
                  <c:v>43976</c:v>
                </c:pt>
                <c:pt idx="918">
                  <c:v>43977</c:v>
                </c:pt>
                <c:pt idx="919">
                  <c:v>43978</c:v>
                </c:pt>
                <c:pt idx="920">
                  <c:v>43979</c:v>
                </c:pt>
                <c:pt idx="921">
                  <c:v>43980</c:v>
                </c:pt>
                <c:pt idx="922">
                  <c:v>43983</c:v>
                </c:pt>
                <c:pt idx="923">
                  <c:v>43984</c:v>
                </c:pt>
                <c:pt idx="924">
                  <c:v>43985</c:v>
                </c:pt>
                <c:pt idx="925">
                  <c:v>43986</c:v>
                </c:pt>
                <c:pt idx="926">
                  <c:v>43987</c:v>
                </c:pt>
                <c:pt idx="927">
                  <c:v>43990</c:v>
                </c:pt>
                <c:pt idx="928">
                  <c:v>43991</c:v>
                </c:pt>
                <c:pt idx="929">
                  <c:v>43992</c:v>
                </c:pt>
                <c:pt idx="930">
                  <c:v>43993</c:v>
                </c:pt>
                <c:pt idx="931">
                  <c:v>43994</c:v>
                </c:pt>
                <c:pt idx="932">
                  <c:v>43997</c:v>
                </c:pt>
                <c:pt idx="933">
                  <c:v>43998</c:v>
                </c:pt>
                <c:pt idx="934">
                  <c:v>43999</c:v>
                </c:pt>
                <c:pt idx="935">
                  <c:v>44000</c:v>
                </c:pt>
                <c:pt idx="936">
                  <c:v>44001</c:v>
                </c:pt>
                <c:pt idx="937">
                  <c:v>44004</c:v>
                </c:pt>
                <c:pt idx="938">
                  <c:v>44005</c:v>
                </c:pt>
                <c:pt idx="939">
                  <c:v>44006</c:v>
                </c:pt>
                <c:pt idx="940">
                  <c:v>44007</c:v>
                </c:pt>
                <c:pt idx="941">
                  <c:v>44008</c:v>
                </c:pt>
                <c:pt idx="942">
                  <c:v>44011</c:v>
                </c:pt>
                <c:pt idx="943">
                  <c:v>44012</c:v>
                </c:pt>
                <c:pt idx="944">
                  <c:v>44013</c:v>
                </c:pt>
                <c:pt idx="945">
                  <c:v>44014</c:v>
                </c:pt>
                <c:pt idx="946">
                  <c:v>44015</c:v>
                </c:pt>
                <c:pt idx="947">
                  <c:v>44018</c:v>
                </c:pt>
                <c:pt idx="948">
                  <c:v>44019</c:v>
                </c:pt>
                <c:pt idx="949">
                  <c:v>44020</c:v>
                </c:pt>
                <c:pt idx="950">
                  <c:v>44021</c:v>
                </c:pt>
                <c:pt idx="951">
                  <c:v>44022</c:v>
                </c:pt>
                <c:pt idx="952">
                  <c:v>44025</c:v>
                </c:pt>
                <c:pt idx="953">
                  <c:v>44026</c:v>
                </c:pt>
                <c:pt idx="954">
                  <c:v>44027</c:v>
                </c:pt>
                <c:pt idx="955">
                  <c:v>44028</c:v>
                </c:pt>
                <c:pt idx="956">
                  <c:v>44029</c:v>
                </c:pt>
                <c:pt idx="957">
                  <c:v>44032</c:v>
                </c:pt>
                <c:pt idx="958">
                  <c:v>44033</c:v>
                </c:pt>
                <c:pt idx="959">
                  <c:v>44034</c:v>
                </c:pt>
                <c:pt idx="960">
                  <c:v>44035</c:v>
                </c:pt>
                <c:pt idx="961">
                  <c:v>44036</c:v>
                </c:pt>
                <c:pt idx="962">
                  <c:v>44039</c:v>
                </c:pt>
                <c:pt idx="963">
                  <c:v>44040</c:v>
                </c:pt>
                <c:pt idx="964">
                  <c:v>44041</c:v>
                </c:pt>
                <c:pt idx="965">
                  <c:v>44042</c:v>
                </c:pt>
                <c:pt idx="966">
                  <c:v>44043</c:v>
                </c:pt>
                <c:pt idx="967">
                  <c:v>44046</c:v>
                </c:pt>
                <c:pt idx="968">
                  <c:v>44047</c:v>
                </c:pt>
                <c:pt idx="969">
                  <c:v>44048</c:v>
                </c:pt>
                <c:pt idx="970">
                  <c:v>44049</c:v>
                </c:pt>
                <c:pt idx="971">
                  <c:v>44050</c:v>
                </c:pt>
                <c:pt idx="972">
                  <c:v>44053</c:v>
                </c:pt>
                <c:pt idx="973">
                  <c:v>44054</c:v>
                </c:pt>
                <c:pt idx="974">
                  <c:v>44055</c:v>
                </c:pt>
                <c:pt idx="975">
                  <c:v>44056</c:v>
                </c:pt>
                <c:pt idx="976">
                  <c:v>44057</c:v>
                </c:pt>
                <c:pt idx="977">
                  <c:v>44060</c:v>
                </c:pt>
                <c:pt idx="978">
                  <c:v>44061</c:v>
                </c:pt>
                <c:pt idx="979">
                  <c:v>44062</c:v>
                </c:pt>
                <c:pt idx="980">
                  <c:v>44063</c:v>
                </c:pt>
                <c:pt idx="981">
                  <c:v>44064</c:v>
                </c:pt>
                <c:pt idx="982">
                  <c:v>44067</c:v>
                </c:pt>
                <c:pt idx="983">
                  <c:v>44068</c:v>
                </c:pt>
                <c:pt idx="984">
                  <c:v>44069</c:v>
                </c:pt>
                <c:pt idx="985">
                  <c:v>44070</c:v>
                </c:pt>
                <c:pt idx="986">
                  <c:v>44071</c:v>
                </c:pt>
                <c:pt idx="987">
                  <c:v>44074</c:v>
                </c:pt>
                <c:pt idx="988">
                  <c:v>44075</c:v>
                </c:pt>
                <c:pt idx="989">
                  <c:v>44076</c:v>
                </c:pt>
                <c:pt idx="990">
                  <c:v>44077</c:v>
                </c:pt>
                <c:pt idx="991">
                  <c:v>44078</c:v>
                </c:pt>
                <c:pt idx="992">
                  <c:v>44081</c:v>
                </c:pt>
                <c:pt idx="993">
                  <c:v>44082</c:v>
                </c:pt>
                <c:pt idx="994">
                  <c:v>44083</c:v>
                </c:pt>
                <c:pt idx="995">
                  <c:v>44084</c:v>
                </c:pt>
                <c:pt idx="996">
                  <c:v>44085</c:v>
                </c:pt>
                <c:pt idx="997">
                  <c:v>44088</c:v>
                </c:pt>
                <c:pt idx="998">
                  <c:v>44089</c:v>
                </c:pt>
                <c:pt idx="999">
                  <c:v>44091</c:v>
                </c:pt>
                <c:pt idx="1000">
                  <c:v>44092</c:v>
                </c:pt>
                <c:pt idx="1001">
                  <c:v>44095</c:v>
                </c:pt>
                <c:pt idx="1002">
                  <c:v>44096</c:v>
                </c:pt>
                <c:pt idx="1003">
                  <c:v>44097</c:v>
                </c:pt>
                <c:pt idx="1004">
                  <c:v>44098</c:v>
                </c:pt>
                <c:pt idx="1005">
                  <c:v>44099</c:v>
                </c:pt>
                <c:pt idx="1006">
                  <c:v>44102</c:v>
                </c:pt>
                <c:pt idx="1007">
                  <c:v>44103</c:v>
                </c:pt>
                <c:pt idx="1008">
                  <c:v>44104</c:v>
                </c:pt>
                <c:pt idx="1009">
                  <c:v>44105</c:v>
                </c:pt>
                <c:pt idx="1010">
                  <c:v>44106</c:v>
                </c:pt>
                <c:pt idx="1011">
                  <c:v>44109</c:v>
                </c:pt>
                <c:pt idx="1012">
                  <c:v>44110</c:v>
                </c:pt>
                <c:pt idx="1013">
                  <c:v>44111</c:v>
                </c:pt>
                <c:pt idx="1014">
                  <c:v>44112</c:v>
                </c:pt>
                <c:pt idx="1015">
                  <c:v>44113</c:v>
                </c:pt>
                <c:pt idx="1016">
                  <c:v>44116</c:v>
                </c:pt>
                <c:pt idx="1017">
                  <c:v>44117</c:v>
                </c:pt>
                <c:pt idx="1018">
                  <c:v>44118</c:v>
                </c:pt>
                <c:pt idx="1019">
                  <c:v>44119</c:v>
                </c:pt>
                <c:pt idx="1020">
                  <c:v>44120</c:v>
                </c:pt>
                <c:pt idx="1021">
                  <c:v>44123</c:v>
                </c:pt>
                <c:pt idx="1022">
                  <c:v>44124</c:v>
                </c:pt>
                <c:pt idx="1023">
                  <c:v>44125</c:v>
                </c:pt>
                <c:pt idx="1024">
                  <c:v>44126</c:v>
                </c:pt>
                <c:pt idx="1025">
                  <c:v>44127</c:v>
                </c:pt>
                <c:pt idx="1026">
                  <c:v>44130</c:v>
                </c:pt>
                <c:pt idx="1027">
                  <c:v>44131</c:v>
                </c:pt>
                <c:pt idx="1028">
                  <c:v>44132</c:v>
                </c:pt>
                <c:pt idx="1029">
                  <c:v>44133</c:v>
                </c:pt>
                <c:pt idx="1030">
                  <c:v>44134</c:v>
                </c:pt>
                <c:pt idx="1031">
                  <c:v>44138</c:v>
                </c:pt>
                <c:pt idx="1032">
                  <c:v>44139</c:v>
                </c:pt>
                <c:pt idx="1033">
                  <c:v>44140</c:v>
                </c:pt>
                <c:pt idx="1034">
                  <c:v>44141</c:v>
                </c:pt>
                <c:pt idx="1035">
                  <c:v>44144</c:v>
                </c:pt>
                <c:pt idx="1036">
                  <c:v>44145</c:v>
                </c:pt>
                <c:pt idx="1037">
                  <c:v>44146</c:v>
                </c:pt>
                <c:pt idx="1038">
                  <c:v>44147</c:v>
                </c:pt>
                <c:pt idx="1039">
                  <c:v>44148</c:v>
                </c:pt>
                <c:pt idx="1040">
                  <c:v>44152</c:v>
                </c:pt>
                <c:pt idx="1041">
                  <c:v>44153</c:v>
                </c:pt>
                <c:pt idx="1042">
                  <c:v>44154</c:v>
                </c:pt>
                <c:pt idx="1043">
                  <c:v>44155</c:v>
                </c:pt>
                <c:pt idx="1044">
                  <c:v>44158</c:v>
                </c:pt>
                <c:pt idx="1045">
                  <c:v>44159</c:v>
                </c:pt>
                <c:pt idx="1046">
                  <c:v>44160</c:v>
                </c:pt>
                <c:pt idx="1047">
                  <c:v>44161</c:v>
                </c:pt>
                <c:pt idx="1048">
                  <c:v>44162</c:v>
                </c:pt>
                <c:pt idx="1049">
                  <c:v>44165</c:v>
                </c:pt>
                <c:pt idx="1050">
                  <c:v>44166</c:v>
                </c:pt>
                <c:pt idx="1051">
                  <c:v>44167</c:v>
                </c:pt>
                <c:pt idx="1052">
                  <c:v>44168</c:v>
                </c:pt>
                <c:pt idx="1053">
                  <c:v>44169</c:v>
                </c:pt>
                <c:pt idx="1054">
                  <c:v>44172</c:v>
                </c:pt>
                <c:pt idx="1055">
                  <c:v>44173</c:v>
                </c:pt>
                <c:pt idx="1056">
                  <c:v>44174</c:v>
                </c:pt>
                <c:pt idx="1057">
                  <c:v>44175</c:v>
                </c:pt>
                <c:pt idx="1058">
                  <c:v>44176</c:v>
                </c:pt>
                <c:pt idx="1059">
                  <c:v>44179</c:v>
                </c:pt>
                <c:pt idx="1060">
                  <c:v>44180</c:v>
                </c:pt>
                <c:pt idx="1061">
                  <c:v>44181</c:v>
                </c:pt>
                <c:pt idx="1062">
                  <c:v>44182</c:v>
                </c:pt>
                <c:pt idx="1063">
                  <c:v>44183</c:v>
                </c:pt>
                <c:pt idx="1064">
                  <c:v>44186</c:v>
                </c:pt>
                <c:pt idx="1065">
                  <c:v>44187</c:v>
                </c:pt>
                <c:pt idx="1066">
                  <c:v>44188</c:v>
                </c:pt>
                <c:pt idx="1067">
                  <c:v>44189</c:v>
                </c:pt>
                <c:pt idx="1068">
                  <c:v>44193</c:v>
                </c:pt>
                <c:pt idx="1069">
                  <c:v>44194</c:v>
                </c:pt>
                <c:pt idx="1070">
                  <c:v>44195</c:v>
                </c:pt>
                <c:pt idx="1071">
                  <c:v>44196</c:v>
                </c:pt>
                <c:pt idx="1072">
                  <c:v>44200</c:v>
                </c:pt>
                <c:pt idx="1073">
                  <c:v>44201</c:v>
                </c:pt>
                <c:pt idx="1074">
                  <c:v>44202</c:v>
                </c:pt>
                <c:pt idx="1075">
                  <c:v>44203</c:v>
                </c:pt>
                <c:pt idx="1076">
                  <c:v>44204</c:v>
                </c:pt>
                <c:pt idx="1077">
                  <c:v>44207</c:v>
                </c:pt>
                <c:pt idx="1078">
                  <c:v>44208</c:v>
                </c:pt>
                <c:pt idx="1079">
                  <c:v>44209</c:v>
                </c:pt>
                <c:pt idx="1080">
                  <c:v>44210</c:v>
                </c:pt>
                <c:pt idx="1081">
                  <c:v>44211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44221</c:v>
                </c:pt>
                <c:pt idx="1088">
                  <c:v>44222</c:v>
                </c:pt>
                <c:pt idx="1089">
                  <c:v>44223</c:v>
                </c:pt>
                <c:pt idx="1090">
                  <c:v>44224</c:v>
                </c:pt>
                <c:pt idx="1091">
                  <c:v>44225</c:v>
                </c:pt>
                <c:pt idx="1092">
                  <c:v>44229</c:v>
                </c:pt>
                <c:pt idx="1093">
                  <c:v>44230</c:v>
                </c:pt>
                <c:pt idx="1094">
                  <c:v>44231</c:v>
                </c:pt>
                <c:pt idx="1095">
                  <c:v>44232</c:v>
                </c:pt>
                <c:pt idx="1096">
                  <c:v>44235</c:v>
                </c:pt>
                <c:pt idx="1097">
                  <c:v>44236</c:v>
                </c:pt>
                <c:pt idx="1098">
                  <c:v>44237</c:v>
                </c:pt>
                <c:pt idx="1099">
                  <c:v>44238</c:v>
                </c:pt>
                <c:pt idx="1100">
                  <c:v>44239</c:v>
                </c:pt>
                <c:pt idx="1101">
                  <c:v>44242</c:v>
                </c:pt>
                <c:pt idx="1102">
                  <c:v>44243</c:v>
                </c:pt>
                <c:pt idx="1103">
                  <c:v>44244</c:v>
                </c:pt>
                <c:pt idx="1104">
                  <c:v>44245</c:v>
                </c:pt>
                <c:pt idx="1105">
                  <c:v>44246</c:v>
                </c:pt>
                <c:pt idx="1106">
                  <c:v>44249</c:v>
                </c:pt>
                <c:pt idx="1107">
                  <c:v>44250</c:v>
                </c:pt>
                <c:pt idx="1108">
                  <c:v>44251</c:v>
                </c:pt>
                <c:pt idx="1109">
                  <c:v>44252</c:v>
                </c:pt>
                <c:pt idx="1110">
                  <c:v>44253</c:v>
                </c:pt>
                <c:pt idx="1111">
                  <c:v>44256</c:v>
                </c:pt>
                <c:pt idx="1112">
                  <c:v>44257</c:v>
                </c:pt>
                <c:pt idx="1113">
                  <c:v>44258</c:v>
                </c:pt>
                <c:pt idx="1114">
                  <c:v>44259</c:v>
                </c:pt>
                <c:pt idx="1115">
                  <c:v>44260</c:v>
                </c:pt>
                <c:pt idx="1116">
                  <c:v>44263</c:v>
                </c:pt>
                <c:pt idx="1117">
                  <c:v>44264</c:v>
                </c:pt>
                <c:pt idx="1118">
                  <c:v>44265</c:v>
                </c:pt>
                <c:pt idx="1119">
                  <c:v>44266</c:v>
                </c:pt>
                <c:pt idx="1120">
                  <c:v>44267</c:v>
                </c:pt>
                <c:pt idx="1121">
                  <c:v>44271</c:v>
                </c:pt>
                <c:pt idx="1122">
                  <c:v>44272</c:v>
                </c:pt>
                <c:pt idx="1123">
                  <c:v>44273</c:v>
                </c:pt>
                <c:pt idx="1124">
                  <c:v>44274</c:v>
                </c:pt>
                <c:pt idx="1125">
                  <c:v>44277</c:v>
                </c:pt>
                <c:pt idx="1126">
                  <c:v>44278</c:v>
                </c:pt>
                <c:pt idx="1127">
                  <c:v>44279</c:v>
                </c:pt>
                <c:pt idx="1128">
                  <c:v>44280</c:v>
                </c:pt>
                <c:pt idx="1129">
                  <c:v>44281</c:v>
                </c:pt>
                <c:pt idx="1130">
                  <c:v>44284</c:v>
                </c:pt>
                <c:pt idx="1131">
                  <c:v>44285</c:v>
                </c:pt>
                <c:pt idx="1132">
                  <c:v>44286</c:v>
                </c:pt>
                <c:pt idx="1133">
                  <c:v>44291</c:v>
                </c:pt>
                <c:pt idx="1134">
                  <c:v>44292</c:v>
                </c:pt>
                <c:pt idx="1135">
                  <c:v>44293</c:v>
                </c:pt>
                <c:pt idx="1136">
                  <c:v>44294</c:v>
                </c:pt>
                <c:pt idx="1137">
                  <c:v>44295</c:v>
                </c:pt>
                <c:pt idx="1138">
                  <c:v>44298</c:v>
                </c:pt>
                <c:pt idx="1139">
                  <c:v>44299</c:v>
                </c:pt>
                <c:pt idx="1140">
                  <c:v>44300</c:v>
                </c:pt>
                <c:pt idx="1141">
                  <c:v>44301</c:v>
                </c:pt>
                <c:pt idx="1142">
                  <c:v>44302</c:v>
                </c:pt>
                <c:pt idx="1143">
                  <c:v>44305</c:v>
                </c:pt>
                <c:pt idx="1144">
                  <c:v>44306</c:v>
                </c:pt>
                <c:pt idx="1145">
                  <c:v>44307</c:v>
                </c:pt>
                <c:pt idx="1146">
                  <c:v>44308</c:v>
                </c:pt>
                <c:pt idx="1147">
                  <c:v>44309</c:v>
                </c:pt>
                <c:pt idx="1148">
                  <c:v>44312</c:v>
                </c:pt>
                <c:pt idx="1149">
                  <c:v>44313</c:v>
                </c:pt>
                <c:pt idx="1150">
                  <c:v>44314</c:v>
                </c:pt>
                <c:pt idx="1151">
                  <c:v>44315</c:v>
                </c:pt>
                <c:pt idx="1152">
                  <c:v>44316</c:v>
                </c:pt>
                <c:pt idx="1153">
                  <c:v>44319</c:v>
                </c:pt>
                <c:pt idx="1154">
                  <c:v>44320</c:v>
                </c:pt>
                <c:pt idx="1155">
                  <c:v>44321</c:v>
                </c:pt>
                <c:pt idx="1156">
                  <c:v>44322</c:v>
                </c:pt>
                <c:pt idx="1157">
                  <c:v>44323</c:v>
                </c:pt>
                <c:pt idx="1158">
                  <c:v>44326</c:v>
                </c:pt>
                <c:pt idx="1159">
                  <c:v>44327</c:v>
                </c:pt>
                <c:pt idx="1160">
                  <c:v>44328</c:v>
                </c:pt>
                <c:pt idx="1161">
                  <c:v>44329</c:v>
                </c:pt>
                <c:pt idx="1162">
                  <c:v>44330</c:v>
                </c:pt>
                <c:pt idx="1163">
                  <c:v>44333</c:v>
                </c:pt>
                <c:pt idx="1164">
                  <c:v>44334</c:v>
                </c:pt>
                <c:pt idx="1165">
                  <c:v>44335</c:v>
                </c:pt>
                <c:pt idx="1166">
                  <c:v>44336</c:v>
                </c:pt>
                <c:pt idx="1167">
                  <c:v>44337</c:v>
                </c:pt>
                <c:pt idx="1168">
                  <c:v>44340</c:v>
                </c:pt>
                <c:pt idx="1169">
                  <c:v>44341</c:v>
                </c:pt>
                <c:pt idx="1170">
                  <c:v>44342</c:v>
                </c:pt>
                <c:pt idx="1171">
                  <c:v>44343</c:v>
                </c:pt>
                <c:pt idx="1172">
                  <c:v>44344</c:v>
                </c:pt>
                <c:pt idx="1173">
                  <c:v>44347</c:v>
                </c:pt>
                <c:pt idx="1174">
                  <c:v>44348</c:v>
                </c:pt>
                <c:pt idx="1175">
                  <c:v>44349</c:v>
                </c:pt>
                <c:pt idx="1176">
                  <c:v>44350</c:v>
                </c:pt>
                <c:pt idx="1177">
                  <c:v>44351</c:v>
                </c:pt>
                <c:pt idx="1178">
                  <c:v>44354</c:v>
                </c:pt>
                <c:pt idx="1179">
                  <c:v>44355</c:v>
                </c:pt>
                <c:pt idx="1180">
                  <c:v>44356</c:v>
                </c:pt>
                <c:pt idx="1181">
                  <c:v>44357</c:v>
                </c:pt>
                <c:pt idx="1182">
                  <c:v>44358</c:v>
                </c:pt>
                <c:pt idx="1183">
                  <c:v>44361</c:v>
                </c:pt>
                <c:pt idx="1184">
                  <c:v>44362</c:v>
                </c:pt>
                <c:pt idx="1185">
                  <c:v>44363</c:v>
                </c:pt>
                <c:pt idx="1186">
                  <c:v>44364</c:v>
                </c:pt>
                <c:pt idx="1187">
                  <c:v>44365</c:v>
                </c:pt>
                <c:pt idx="1188">
                  <c:v>44368</c:v>
                </c:pt>
                <c:pt idx="1189">
                  <c:v>44369</c:v>
                </c:pt>
                <c:pt idx="1190">
                  <c:v>44370</c:v>
                </c:pt>
                <c:pt idx="1191">
                  <c:v>44371</c:v>
                </c:pt>
                <c:pt idx="1192">
                  <c:v>44372</c:v>
                </c:pt>
                <c:pt idx="1193">
                  <c:v>44375</c:v>
                </c:pt>
                <c:pt idx="1194">
                  <c:v>44376</c:v>
                </c:pt>
                <c:pt idx="1195">
                  <c:v>44377</c:v>
                </c:pt>
                <c:pt idx="1196">
                  <c:v>44378</c:v>
                </c:pt>
                <c:pt idx="1197">
                  <c:v>44379</c:v>
                </c:pt>
                <c:pt idx="1198">
                  <c:v>44382</c:v>
                </c:pt>
                <c:pt idx="1199">
                  <c:v>44383</c:v>
                </c:pt>
                <c:pt idx="1200">
                  <c:v>44384</c:v>
                </c:pt>
                <c:pt idx="1201">
                  <c:v>44385</c:v>
                </c:pt>
                <c:pt idx="1202">
                  <c:v>44386</c:v>
                </c:pt>
                <c:pt idx="1203">
                  <c:v>44389</c:v>
                </c:pt>
                <c:pt idx="1204">
                  <c:v>44390</c:v>
                </c:pt>
                <c:pt idx="1205">
                  <c:v>44391</c:v>
                </c:pt>
                <c:pt idx="1206">
                  <c:v>44392</c:v>
                </c:pt>
                <c:pt idx="1207">
                  <c:v>44393</c:v>
                </c:pt>
                <c:pt idx="1208">
                  <c:v>44396</c:v>
                </c:pt>
                <c:pt idx="1209">
                  <c:v>44397</c:v>
                </c:pt>
                <c:pt idx="1210">
                  <c:v>44398</c:v>
                </c:pt>
                <c:pt idx="1211">
                  <c:v>44399</c:v>
                </c:pt>
                <c:pt idx="1212">
                  <c:v>44400</c:v>
                </c:pt>
                <c:pt idx="1213">
                  <c:v>44403</c:v>
                </c:pt>
                <c:pt idx="1214">
                  <c:v>44404</c:v>
                </c:pt>
                <c:pt idx="1215">
                  <c:v>44405</c:v>
                </c:pt>
                <c:pt idx="1216">
                  <c:v>44406</c:v>
                </c:pt>
                <c:pt idx="1217">
                  <c:v>44407</c:v>
                </c:pt>
                <c:pt idx="1218">
                  <c:v>44410</c:v>
                </c:pt>
                <c:pt idx="1219">
                  <c:v>44411</c:v>
                </c:pt>
                <c:pt idx="1220">
                  <c:v>44412</c:v>
                </c:pt>
                <c:pt idx="1221">
                  <c:v>44413</c:v>
                </c:pt>
                <c:pt idx="1222">
                  <c:v>44414</c:v>
                </c:pt>
                <c:pt idx="1223">
                  <c:v>44417</c:v>
                </c:pt>
                <c:pt idx="1224">
                  <c:v>44418</c:v>
                </c:pt>
                <c:pt idx="1225">
                  <c:v>44419</c:v>
                </c:pt>
                <c:pt idx="1226">
                  <c:v>44420</c:v>
                </c:pt>
                <c:pt idx="1227">
                  <c:v>44421</c:v>
                </c:pt>
                <c:pt idx="1228">
                  <c:v>44424</c:v>
                </c:pt>
                <c:pt idx="1229">
                  <c:v>44425</c:v>
                </c:pt>
                <c:pt idx="1230">
                  <c:v>44426</c:v>
                </c:pt>
                <c:pt idx="1231">
                  <c:v>44427</c:v>
                </c:pt>
                <c:pt idx="1232">
                  <c:v>44428</c:v>
                </c:pt>
                <c:pt idx="1233">
                  <c:v>44431</c:v>
                </c:pt>
                <c:pt idx="1234">
                  <c:v>44432</c:v>
                </c:pt>
                <c:pt idx="1235">
                  <c:v>44433</c:v>
                </c:pt>
                <c:pt idx="1236">
                  <c:v>44434</c:v>
                </c:pt>
                <c:pt idx="1237">
                  <c:v>44435</c:v>
                </c:pt>
                <c:pt idx="1238">
                  <c:v>44438</c:v>
                </c:pt>
                <c:pt idx="1239">
                  <c:v>44439</c:v>
                </c:pt>
                <c:pt idx="1240">
                  <c:v>44440</c:v>
                </c:pt>
                <c:pt idx="1241">
                  <c:v>44441</c:v>
                </c:pt>
                <c:pt idx="1242">
                  <c:v>44442</c:v>
                </c:pt>
                <c:pt idx="1243">
                  <c:v>44445</c:v>
                </c:pt>
                <c:pt idx="1244">
                  <c:v>44446</c:v>
                </c:pt>
                <c:pt idx="1245">
                  <c:v>44447</c:v>
                </c:pt>
                <c:pt idx="1246">
                  <c:v>44448</c:v>
                </c:pt>
                <c:pt idx="1247">
                  <c:v>44449</c:v>
                </c:pt>
                <c:pt idx="1248">
                  <c:v>44452</c:v>
                </c:pt>
                <c:pt idx="1249">
                  <c:v>44453</c:v>
                </c:pt>
                <c:pt idx="1250">
                  <c:v>44454</c:v>
                </c:pt>
                <c:pt idx="1251">
                  <c:v>44456</c:v>
                </c:pt>
                <c:pt idx="1252">
                  <c:v>44459</c:v>
                </c:pt>
                <c:pt idx="1253">
                  <c:v>44460</c:v>
                </c:pt>
                <c:pt idx="1254">
                  <c:v>44461</c:v>
                </c:pt>
                <c:pt idx="1255">
                  <c:v>44462</c:v>
                </c:pt>
              </c:numCache>
            </c:numRef>
          </c:cat>
          <c:val>
            <c:numRef>
              <c:f>'VAR SM'!$C$6:$C$1261</c:f>
              <c:numCache>
                <c:formatCode>_(* #,##0.00_);_(* \(#,##0.00\);_(* "-"??_);_(@_)</c:formatCode>
                <c:ptCount val="1256"/>
                <c:pt idx="0">
                  <c:v>52.75</c:v>
                </c:pt>
                <c:pt idx="1">
                  <c:v>54.48</c:v>
                </c:pt>
                <c:pt idx="2">
                  <c:v>53.279998999999997</c:v>
                </c:pt>
                <c:pt idx="3">
                  <c:v>52.900002000000001</c:v>
                </c:pt>
                <c:pt idx="4">
                  <c:v>51.110000999999997</c:v>
                </c:pt>
                <c:pt idx="5">
                  <c:v>53.029998999999997</c:v>
                </c:pt>
                <c:pt idx="6">
                  <c:v>53.41</c:v>
                </c:pt>
                <c:pt idx="7">
                  <c:v>53.290000999999997</c:v>
                </c:pt>
                <c:pt idx="8">
                  <c:v>52.490001999999997</c:v>
                </c:pt>
                <c:pt idx="9">
                  <c:v>51.669998</c:v>
                </c:pt>
                <c:pt idx="10">
                  <c:v>52.209999000000003</c:v>
                </c:pt>
                <c:pt idx="11">
                  <c:v>52.18</c:v>
                </c:pt>
                <c:pt idx="12">
                  <c:v>51.490001999999997</c:v>
                </c:pt>
                <c:pt idx="13">
                  <c:v>51.200001</c:v>
                </c:pt>
                <c:pt idx="14">
                  <c:v>51.799999</c:v>
                </c:pt>
                <c:pt idx="15">
                  <c:v>51.139999000000003</c:v>
                </c:pt>
                <c:pt idx="16">
                  <c:v>52</c:v>
                </c:pt>
                <c:pt idx="17">
                  <c:v>53.299999</c:v>
                </c:pt>
                <c:pt idx="18">
                  <c:v>51.91</c:v>
                </c:pt>
                <c:pt idx="19">
                  <c:v>51.66</c:v>
                </c:pt>
                <c:pt idx="20">
                  <c:v>52.009998000000003</c:v>
                </c:pt>
                <c:pt idx="21">
                  <c:v>51.240001999999997</c:v>
                </c:pt>
                <c:pt idx="22">
                  <c:v>50.900002000000001</c:v>
                </c:pt>
                <c:pt idx="23">
                  <c:v>51.509998000000003</c:v>
                </c:pt>
                <c:pt idx="24">
                  <c:v>51.419998</c:v>
                </c:pt>
                <c:pt idx="25">
                  <c:v>50.91</c:v>
                </c:pt>
                <c:pt idx="26">
                  <c:v>50.130001</c:v>
                </c:pt>
                <c:pt idx="27">
                  <c:v>48.75</c:v>
                </c:pt>
                <c:pt idx="28">
                  <c:v>49.669998</c:v>
                </c:pt>
                <c:pt idx="29">
                  <c:v>51.73</c:v>
                </c:pt>
                <c:pt idx="30">
                  <c:v>52.009998000000003</c:v>
                </c:pt>
                <c:pt idx="31">
                  <c:v>52.009998000000003</c:v>
                </c:pt>
                <c:pt idx="32">
                  <c:v>50</c:v>
                </c:pt>
                <c:pt idx="33">
                  <c:v>49.93</c:v>
                </c:pt>
                <c:pt idx="34">
                  <c:v>51.349997999999999</c:v>
                </c:pt>
                <c:pt idx="35">
                  <c:v>49.91</c:v>
                </c:pt>
                <c:pt idx="36">
                  <c:v>49.66</c:v>
                </c:pt>
                <c:pt idx="37">
                  <c:v>48.66</c:v>
                </c:pt>
                <c:pt idx="38">
                  <c:v>46.549999</c:v>
                </c:pt>
                <c:pt idx="39">
                  <c:v>48.049999</c:v>
                </c:pt>
                <c:pt idx="40">
                  <c:v>48.68</c:v>
                </c:pt>
                <c:pt idx="41">
                  <c:v>48.169998</c:v>
                </c:pt>
                <c:pt idx="42">
                  <c:v>48.57</c:v>
                </c:pt>
                <c:pt idx="43">
                  <c:v>47.959999000000003</c:v>
                </c:pt>
                <c:pt idx="44">
                  <c:v>47.34</c:v>
                </c:pt>
                <c:pt idx="45">
                  <c:v>47.349997999999999</c:v>
                </c:pt>
                <c:pt idx="46">
                  <c:v>46.830002</c:v>
                </c:pt>
                <c:pt idx="47">
                  <c:v>45.369999</c:v>
                </c:pt>
                <c:pt idx="48">
                  <c:v>46.209999000000003</c:v>
                </c:pt>
                <c:pt idx="49">
                  <c:v>47.619999</c:v>
                </c:pt>
                <c:pt idx="50">
                  <c:v>47.209999000000003</c:v>
                </c:pt>
                <c:pt idx="51">
                  <c:v>47.509998000000003</c:v>
                </c:pt>
                <c:pt idx="52">
                  <c:v>47.360000999999997</c:v>
                </c:pt>
                <c:pt idx="53">
                  <c:v>47.740001999999997</c:v>
                </c:pt>
                <c:pt idx="54">
                  <c:v>46.830002</c:v>
                </c:pt>
                <c:pt idx="55">
                  <c:v>46.509998000000003</c:v>
                </c:pt>
                <c:pt idx="56">
                  <c:v>45.75</c:v>
                </c:pt>
                <c:pt idx="57">
                  <c:v>45.48</c:v>
                </c:pt>
                <c:pt idx="58">
                  <c:v>44.900002000000001</c:v>
                </c:pt>
                <c:pt idx="59">
                  <c:v>45.040000999999997</c:v>
                </c:pt>
                <c:pt idx="60">
                  <c:v>44.66</c:v>
                </c:pt>
                <c:pt idx="61">
                  <c:v>44.540000999999997</c:v>
                </c:pt>
                <c:pt idx="62">
                  <c:v>44.790000999999997</c:v>
                </c:pt>
                <c:pt idx="63">
                  <c:v>44.43</c:v>
                </c:pt>
                <c:pt idx="64">
                  <c:v>45.169998</c:v>
                </c:pt>
                <c:pt idx="65">
                  <c:v>46.939999</c:v>
                </c:pt>
                <c:pt idx="66">
                  <c:v>47.009998000000003</c:v>
                </c:pt>
                <c:pt idx="67">
                  <c:v>47.009998000000003</c:v>
                </c:pt>
                <c:pt idx="68">
                  <c:v>46.439999</c:v>
                </c:pt>
                <c:pt idx="69">
                  <c:v>47.040000999999997</c:v>
                </c:pt>
                <c:pt idx="70">
                  <c:v>47.290000999999997</c:v>
                </c:pt>
                <c:pt idx="71">
                  <c:v>47.619999</c:v>
                </c:pt>
                <c:pt idx="72">
                  <c:v>46.299999</c:v>
                </c:pt>
                <c:pt idx="73">
                  <c:v>46.630001</c:v>
                </c:pt>
                <c:pt idx="74">
                  <c:v>46.490001999999997</c:v>
                </c:pt>
                <c:pt idx="75">
                  <c:v>46.470001000000003</c:v>
                </c:pt>
                <c:pt idx="76">
                  <c:v>46.509998000000003</c:v>
                </c:pt>
                <c:pt idx="77">
                  <c:v>46.630001</c:v>
                </c:pt>
                <c:pt idx="78">
                  <c:v>45.799999</c:v>
                </c:pt>
                <c:pt idx="79">
                  <c:v>45.82</c:v>
                </c:pt>
                <c:pt idx="80">
                  <c:v>46.549999</c:v>
                </c:pt>
                <c:pt idx="81">
                  <c:v>45.310001</c:v>
                </c:pt>
                <c:pt idx="82">
                  <c:v>46.84</c:v>
                </c:pt>
                <c:pt idx="83">
                  <c:v>47.529998999999997</c:v>
                </c:pt>
                <c:pt idx="84">
                  <c:v>48.380001</c:v>
                </c:pt>
                <c:pt idx="85">
                  <c:v>47.490001999999997</c:v>
                </c:pt>
                <c:pt idx="86">
                  <c:v>47.459999000000003</c:v>
                </c:pt>
                <c:pt idx="87">
                  <c:v>46.959999000000003</c:v>
                </c:pt>
                <c:pt idx="88">
                  <c:v>46.23</c:v>
                </c:pt>
                <c:pt idx="89">
                  <c:v>45.849997999999999</c:v>
                </c:pt>
                <c:pt idx="90">
                  <c:v>46.560001</c:v>
                </c:pt>
                <c:pt idx="91">
                  <c:v>47.5</c:v>
                </c:pt>
                <c:pt idx="92">
                  <c:v>47.029998999999997</c:v>
                </c:pt>
                <c:pt idx="93">
                  <c:v>46.740001999999997</c:v>
                </c:pt>
                <c:pt idx="94">
                  <c:v>47.23</c:v>
                </c:pt>
                <c:pt idx="95">
                  <c:v>48.439999</c:v>
                </c:pt>
                <c:pt idx="96">
                  <c:v>48.299999</c:v>
                </c:pt>
                <c:pt idx="97">
                  <c:v>47.52</c:v>
                </c:pt>
                <c:pt idx="98">
                  <c:v>47.360000999999997</c:v>
                </c:pt>
                <c:pt idx="99">
                  <c:v>47.799999</c:v>
                </c:pt>
                <c:pt idx="100">
                  <c:v>47.560001</c:v>
                </c:pt>
                <c:pt idx="101">
                  <c:v>47.970001000000003</c:v>
                </c:pt>
                <c:pt idx="102">
                  <c:v>48.110000999999997</c:v>
                </c:pt>
                <c:pt idx="103">
                  <c:v>48.110000999999997</c:v>
                </c:pt>
                <c:pt idx="104">
                  <c:v>47.66</c:v>
                </c:pt>
                <c:pt idx="105">
                  <c:v>46.950001</c:v>
                </c:pt>
                <c:pt idx="106">
                  <c:v>47.330002</c:v>
                </c:pt>
                <c:pt idx="107">
                  <c:v>47.419998</c:v>
                </c:pt>
                <c:pt idx="108">
                  <c:v>46.48</c:v>
                </c:pt>
                <c:pt idx="109">
                  <c:v>46.799999</c:v>
                </c:pt>
                <c:pt idx="110">
                  <c:v>46.939999</c:v>
                </c:pt>
                <c:pt idx="111">
                  <c:v>47.43</c:v>
                </c:pt>
                <c:pt idx="112">
                  <c:v>46.950001</c:v>
                </c:pt>
                <c:pt idx="113">
                  <c:v>46.689999</c:v>
                </c:pt>
                <c:pt idx="114">
                  <c:v>46.669998</c:v>
                </c:pt>
                <c:pt idx="115">
                  <c:v>46.52</c:v>
                </c:pt>
                <c:pt idx="116">
                  <c:v>46.32</c:v>
                </c:pt>
                <c:pt idx="117">
                  <c:v>45.450001</c:v>
                </c:pt>
                <c:pt idx="118">
                  <c:v>45.490001999999997</c:v>
                </c:pt>
                <c:pt idx="119">
                  <c:v>46.290000999999997</c:v>
                </c:pt>
                <c:pt idx="120">
                  <c:v>47.32</c:v>
                </c:pt>
                <c:pt idx="121">
                  <c:v>46.73</c:v>
                </c:pt>
                <c:pt idx="122">
                  <c:v>48.029998999999997</c:v>
                </c:pt>
                <c:pt idx="123">
                  <c:v>47.119999</c:v>
                </c:pt>
                <c:pt idx="124">
                  <c:v>47.57</c:v>
                </c:pt>
                <c:pt idx="125">
                  <c:v>48.169998</c:v>
                </c:pt>
                <c:pt idx="126">
                  <c:v>48.509998000000003</c:v>
                </c:pt>
                <c:pt idx="127">
                  <c:v>47.509998000000003</c:v>
                </c:pt>
                <c:pt idx="128">
                  <c:v>46.959999000000003</c:v>
                </c:pt>
                <c:pt idx="129">
                  <c:v>46.59</c:v>
                </c:pt>
                <c:pt idx="130">
                  <c:v>46.509998000000003</c:v>
                </c:pt>
                <c:pt idx="131">
                  <c:v>47.580002</c:v>
                </c:pt>
                <c:pt idx="132">
                  <c:v>47.799999</c:v>
                </c:pt>
                <c:pt idx="133">
                  <c:v>47.060001</c:v>
                </c:pt>
                <c:pt idx="134">
                  <c:v>47.02</c:v>
                </c:pt>
                <c:pt idx="135">
                  <c:v>46.529998999999997</c:v>
                </c:pt>
                <c:pt idx="136">
                  <c:v>46.07</c:v>
                </c:pt>
                <c:pt idx="137">
                  <c:v>45.279998999999997</c:v>
                </c:pt>
                <c:pt idx="138">
                  <c:v>45.599997999999999</c:v>
                </c:pt>
                <c:pt idx="139">
                  <c:v>45.169998</c:v>
                </c:pt>
                <c:pt idx="140">
                  <c:v>45.369999</c:v>
                </c:pt>
                <c:pt idx="141">
                  <c:v>46.75</c:v>
                </c:pt>
                <c:pt idx="142">
                  <c:v>46.950001</c:v>
                </c:pt>
                <c:pt idx="143">
                  <c:v>47.459999000000003</c:v>
                </c:pt>
                <c:pt idx="144">
                  <c:v>47.610000999999997</c:v>
                </c:pt>
                <c:pt idx="145">
                  <c:v>46.43</c:v>
                </c:pt>
                <c:pt idx="146">
                  <c:v>46.290000999999997</c:v>
                </c:pt>
                <c:pt idx="147">
                  <c:v>46.080002</c:v>
                </c:pt>
                <c:pt idx="148">
                  <c:v>46.75</c:v>
                </c:pt>
                <c:pt idx="149">
                  <c:v>45.299999</c:v>
                </c:pt>
                <c:pt idx="150">
                  <c:v>44.939999</c:v>
                </c:pt>
                <c:pt idx="151">
                  <c:v>45.139999000000003</c:v>
                </c:pt>
                <c:pt idx="152">
                  <c:v>45.110000999999997</c:v>
                </c:pt>
                <c:pt idx="153">
                  <c:v>45.310001</c:v>
                </c:pt>
                <c:pt idx="154">
                  <c:v>45.290000999999997</c:v>
                </c:pt>
                <c:pt idx="155">
                  <c:v>46.290000999999997</c:v>
                </c:pt>
                <c:pt idx="156">
                  <c:v>45.84</c:v>
                </c:pt>
                <c:pt idx="157">
                  <c:v>46.110000999999997</c:v>
                </c:pt>
                <c:pt idx="158">
                  <c:v>45.84</c:v>
                </c:pt>
                <c:pt idx="159">
                  <c:v>45.099997999999999</c:v>
                </c:pt>
                <c:pt idx="160">
                  <c:v>45.389999000000003</c:v>
                </c:pt>
                <c:pt idx="161">
                  <c:v>45.59</c:v>
                </c:pt>
                <c:pt idx="162">
                  <c:v>44.700001</c:v>
                </c:pt>
                <c:pt idx="163">
                  <c:v>43.759998000000003</c:v>
                </c:pt>
                <c:pt idx="164">
                  <c:v>44.34</c:v>
                </c:pt>
                <c:pt idx="165">
                  <c:v>44.48</c:v>
                </c:pt>
                <c:pt idx="166">
                  <c:v>44.82</c:v>
                </c:pt>
                <c:pt idx="167">
                  <c:v>44.860000999999997</c:v>
                </c:pt>
                <c:pt idx="168">
                  <c:v>44.16</c:v>
                </c:pt>
                <c:pt idx="169">
                  <c:v>43.029998999999997</c:v>
                </c:pt>
                <c:pt idx="170">
                  <c:v>46.41</c:v>
                </c:pt>
                <c:pt idx="171">
                  <c:v>46.380001</c:v>
                </c:pt>
                <c:pt idx="172">
                  <c:v>46.189999</c:v>
                </c:pt>
                <c:pt idx="173">
                  <c:v>45.849997999999999</c:v>
                </c:pt>
                <c:pt idx="174">
                  <c:v>46.189999</c:v>
                </c:pt>
                <c:pt idx="175">
                  <c:v>46.27</c:v>
                </c:pt>
                <c:pt idx="176">
                  <c:v>45.82</c:v>
                </c:pt>
                <c:pt idx="177">
                  <c:v>46.919998</c:v>
                </c:pt>
                <c:pt idx="178">
                  <c:v>46.130001</c:v>
                </c:pt>
                <c:pt idx="179">
                  <c:v>46.759998000000003</c:v>
                </c:pt>
                <c:pt idx="180">
                  <c:v>47.07</c:v>
                </c:pt>
                <c:pt idx="181">
                  <c:v>47.119999</c:v>
                </c:pt>
                <c:pt idx="182">
                  <c:v>46.07</c:v>
                </c:pt>
                <c:pt idx="183">
                  <c:v>46.150002000000001</c:v>
                </c:pt>
                <c:pt idx="184">
                  <c:v>46.709999000000003</c:v>
                </c:pt>
                <c:pt idx="185">
                  <c:v>46.560001</c:v>
                </c:pt>
                <c:pt idx="186">
                  <c:v>46.169998</c:v>
                </c:pt>
                <c:pt idx="187">
                  <c:v>45.93</c:v>
                </c:pt>
                <c:pt idx="188">
                  <c:v>45.540000999999997</c:v>
                </c:pt>
                <c:pt idx="189">
                  <c:v>45.259998000000003</c:v>
                </c:pt>
                <c:pt idx="190">
                  <c:v>44.790000999999997</c:v>
                </c:pt>
                <c:pt idx="191">
                  <c:v>45.599997999999999</c:v>
                </c:pt>
                <c:pt idx="192">
                  <c:v>45.23</c:v>
                </c:pt>
                <c:pt idx="193">
                  <c:v>44.900002000000001</c:v>
                </c:pt>
                <c:pt idx="194">
                  <c:v>44.799999</c:v>
                </c:pt>
                <c:pt idx="195">
                  <c:v>44.490001999999997</c:v>
                </c:pt>
                <c:pt idx="196">
                  <c:v>45</c:v>
                </c:pt>
                <c:pt idx="197">
                  <c:v>45.360000999999997</c:v>
                </c:pt>
                <c:pt idx="198">
                  <c:v>45.220001000000003</c:v>
                </c:pt>
                <c:pt idx="199">
                  <c:v>45.59</c:v>
                </c:pt>
                <c:pt idx="200">
                  <c:v>45.900002000000001</c:v>
                </c:pt>
                <c:pt idx="201">
                  <c:v>46.27</c:v>
                </c:pt>
                <c:pt idx="202">
                  <c:v>46.389999000000003</c:v>
                </c:pt>
                <c:pt idx="203">
                  <c:v>46.279998999999997</c:v>
                </c:pt>
                <c:pt idx="204">
                  <c:v>46.009998000000003</c:v>
                </c:pt>
                <c:pt idx="205">
                  <c:v>45.900002000000001</c:v>
                </c:pt>
                <c:pt idx="206">
                  <c:v>46.619999</c:v>
                </c:pt>
                <c:pt idx="207">
                  <c:v>47.369999</c:v>
                </c:pt>
                <c:pt idx="208">
                  <c:v>47.669998</c:v>
                </c:pt>
                <c:pt idx="209">
                  <c:v>46.369999</c:v>
                </c:pt>
                <c:pt idx="210">
                  <c:v>45.290000999999997</c:v>
                </c:pt>
                <c:pt idx="211">
                  <c:v>45.119999</c:v>
                </c:pt>
                <c:pt idx="212">
                  <c:v>45.009998000000003</c:v>
                </c:pt>
                <c:pt idx="213">
                  <c:v>44.599997999999999</c:v>
                </c:pt>
                <c:pt idx="214">
                  <c:v>44.209999000000003</c:v>
                </c:pt>
                <c:pt idx="215">
                  <c:v>43.950001</c:v>
                </c:pt>
                <c:pt idx="216">
                  <c:v>43.959999000000003</c:v>
                </c:pt>
                <c:pt idx="217">
                  <c:v>45.02</c:v>
                </c:pt>
                <c:pt idx="218">
                  <c:v>44.700001</c:v>
                </c:pt>
                <c:pt idx="219">
                  <c:v>44.41</c:v>
                </c:pt>
                <c:pt idx="220">
                  <c:v>43.639999000000003</c:v>
                </c:pt>
                <c:pt idx="221">
                  <c:v>43.540000999999997</c:v>
                </c:pt>
                <c:pt idx="222">
                  <c:v>44.119999</c:v>
                </c:pt>
                <c:pt idx="223">
                  <c:v>43.810001</c:v>
                </c:pt>
                <c:pt idx="224">
                  <c:v>43.139999000000003</c:v>
                </c:pt>
                <c:pt idx="225">
                  <c:v>42.810001</c:v>
                </c:pt>
                <c:pt idx="226">
                  <c:v>43.029998999999997</c:v>
                </c:pt>
                <c:pt idx="227">
                  <c:v>43.400002000000001</c:v>
                </c:pt>
                <c:pt idx="228">
                  <c:v>43.619999</c:v>
                </c:pt>
                <c:pt idx="229">
                  <c:v>43.75</c:v>
                </c:pt>
                <c:pt idx="230">
                  <c:v>44.150002000000001</c:v>
                </c:pt>
                <c:pt idx="231">
                  <c:v>44.419998</c:v>
                </c:pt>
                <c:pt idx="232">
                  <c:v>43.709999000000003</c:v>
                </c:pt>
                <c:pt idx="233">
                  <c:v>43.360000999999997</c:v>
                </c:pt>
                <c:pt idx="234">
                  <c:v>42.799999</c:v>
                </c:pt>
                <c:pt idx="235">
                  <c:v>43.34</c:v>
                </c:pt>
                <c:pt idx="236">
                  <c:v>43.369999</c:v>
                </c:pt>
                <c:pt idx="237">
                  <c:v>43.25</c:v>
                </c:pt>
                <c:pt idx="238">
                  <c:v>43</c:v>
                </c:pt>
                <c:pt idx="239">
                  <c:v>43.32</c:v>
                </c:pt>
                <c:pt idx="240">
                  <c:v>43.5</c:v>
                </c:pt>
                <c:pt idx="241">
                  <c:v>43.32</c:v>
                </c:pt>
                <c:pt idx="242">
                  <c:v>43.790000999999997</c:v>
                </c:pt>
                <c:pt idx="243">
                  <c:v>44.240001999999997</c:v>
                </c:pt>
                <c:pt idx="244">
                  <c:v>44.470001000000003</c:v>
                </c:pt>
                <c:pt idx="245">
                  <c:v>44.209999000000003</c:v>
                </c:pt>
                <c:pt idx="246">
                  <c:v>44.349997999999999</c:v>
                </c:pt>
                <c:pt idx="247">
                  <c:v>43.540000999999997</c:v>
                </c:pt>
                <c:pt idx="248">
                  <c:v>43.060001</c:v>
                </c:pt>
                <c:pt idx="249">
                  <c:v>43.009998000000003</c:v>
                </c:pt>
                <c:pt idx="250">
                  <c:v>42.610000999999997</c:v>
                </c:pt>
                <c:pt idx="251">
                  <c:v>42.810001</c:v>
                </c:pt>
                <c:pt idx="252">
                  <c:v>43.25</c:v>
                </c:pt>
                <c:pt idx="253">
                  <c:v>43.360000999999997</c:v>
                </c:pt>
                <c:pt idx="254">
                  <c:v>43.189999</c:v>
                </c:pt>
                <c:pt idx="255">
                  <c:v>43.990001999999997</c:v>
                </c:pt>
                <c:pt idx="256">
                  <c:v>43.970001000000003</c:v>
                </c:pt>
                <c:pt idx="257">
                  <c:v>44.509998000000003</c:v>
                </c:pt>
                <c:pt idx="258">
                  <c:v>44.889999000000003</c:v>
                </c:pt>
                <c:pt idx="259">
                  <c:v>45.880001</c:v>
                </c:pt>
                <c:pt idx="260">
                  <c:v>45.860000999999997</c:v>
                </c:pt>
                <c:pt idx="261">
                  <c:v>45.830002</c:v>
                </c:pt>
                <c:pt idx="262">
                  <c:v>45.68</c:v>
                </c:pt>
                <c:pt idx="263">
                  <c:v>45.099997999999999</c:v>
                </c:pt>
                <c:pt idx="264">
                  <c:v>45.630001</c:v>
                </c:pt>
                <c:pt idx="265">
                  <c:v>45.43</c:v>
                </c:pt>
                <c:pt idx="266">
                  <c:v>45.52</c:v>
                </c:pt>
                <c:pt idx="267">
                  <c:v>44.529998999999997</c:v>
                </c:pt>
                <c:pt idx="268">
                  <c:v>45.790000999999997</c:v>
                </c:pt>
                <c:pt idx="269">
                  <c:v>45.029998999999997</c:v>
                </c:pt>
                <c:pt idx="270">
                  <c:v>44.59</c:v>
                </c:pt>
                <c:pt idx="271">
                  <c:v>44.02</c:v>
                </c:pt>
                <c:pt idx="272">
                  <c:v>45</c:v>
                </c:pt>
                <c:pt idx="273">
                  <c:v>44.830002</c:v>
                </c:pt>
                <c:pt idx="274">
                  <c:v>45.049999</c:v>
                </c:pt>
                <c:pt idx="275">
                  <c:v>45.02</c:v>
                </c:pt>
                <c:pt idx="276">
                  <c:v>45.009998000000003</c:v>
                </c:pt>
                <c:pt idx="277">
                  <c:v>44.529998999999997</c:v>
                </c:pt>
                <c:pt idx="278">
                  <c:v>44.32</c:v>
                </c:pt>
                <c:pt idx="279">
                  <c:v>43.959999000000003</c:v>
                </c:pt>
                <c:pt idx="280">
                  <c:v>45.110000999999997</c:v>
                </c:pt>
                <c:pt idx="281">
                  <c:v>45.75</c:v>
                </c:pt>
                <c:pt idx="282">
                  <c:v>46.09</c:v>
                </c:pt>
                <c:pt idx="283">
                  <c:v>44.98</c:v>
                </c:pt>
                <c:pt idx="284">
                  <c:v>44.68</c:v>
                </c:pt>
                <c:pt idx="285">
                  <c:v>43.709999000000003</c:v>
                </c:pt>
                <c:pt idx="286">
                  <c:v>43.919998</c:v>
                </c:pt>
                <c:pt idx="287">
                  <c:v>43.98</c:v>
                </c:pt>
                <c:pt idx="288">
                  <c:v>43.759998000000003</c:v>
                </c:pt>
                <c:pt idx="289">
                  <c:v>44.360000999999997</c:v>
                </c:pt>
                <c:pt idx="290">
                  <c:v>43.669998</c:v>
                </c:pt>
                <c:pt idx="291">
                  <c:v>44.279998999999997</c:v>
                </c:pt>
                <c:pt idx="292">
                  <c:v>44.419998</c:v>
                </c:pt>
                <c:pt idx="293">
                  <c:v>44.48</c:v>
                </c:pt>
                <c:pt idx="294">
                  <c:v>44.27</c:v>
                </c:pt>
                <c:pt idx="295">
                  <c:v>43.599997999999999</c:v>
                </c:pt>
                <c:pt idx="296">
                  <c:v>43.099997999999999</c:v>
                </c:pt>
                <c:pt idx="297">
                  <c:v>44.139999000000003</c:v>
                </c:pt>
                <c:pt idx="298">
                  <c:v>43.450001</c:v>
                </c:pt>
                <c:pt idx="299">
                  <c:v>43.450001</c:v>
                </c:pt>
                <c:pt idx="300">
                  <c:v>43.43</c:v>
                </c:pt>
                <c:pt idx="301">
                  <c:v>43.380001</c:v>
                </c:pt>
                <c:pt idx="302">
                  <c:v>42.509998000000003</c:v>
                </c:pt>
                <c:pt idx="303">
                  <c:v>42.509998000000003</c:v>
                </c:pt>
                <c:pt idx="304">
                  <c:v>42.650002000000001</c:v>
                </c:pt>
                <c:pt idx="305">
                  <c:v>42.360000999999997</c:v>
                </c:pt>
                <c:pt idx="306">
                  <c:v>43.849997999999999</c:v>
                </c:pt>
                <c:pt idx="307">
                  <c:v>44.139999000000003</c:v>
                </c:pt>
                <c:pt idx="308">
                  <c:v>44.09</c:v>
                </c:pt>
                <c:pt idx="309">
                  <c:v>43.82</c:v>
                </c:pt>
                <c:pt idx="310">
                  <c:v>42.75</c:v>
                </c:pt>
                <c:pt idx="311">
                  <c:v>43</c:v>
                </c:pt>
                <c:pt idx="312">
                  <c:v>42.98</c:v>
                </c:pt>
                <c:pt idx="313">
                  <c:v>42.279998999999997</c:v>
                </c:pt>
                <c:pt idx="314">
                  <c:v>42.189999</c:v>
                </c:pt>
                <c:pt idx="315">
                  <c:v>42.380001</c:v>
                </c:pt>
                <c:pt idx="316">
                  <c:v>43.02</c:v>
                </c:pt>
                <c:pt idx="317">
                  <c:v>43.509998000000003</c:v>
                </c:pt>
                <c:pt idx="318">
                  <c:v>43.380001</c:v>
                </c:pt>
                <c:pt idx="319">
                  <c:v>43.400002000000001</c:v>
                </c:pt>
                <c:pt idx="320">
                  <c:v>43.669998</c:v>
                </c:pt>
                <c:pt idx="321">
                  <c:v>43.540000999999997</c:v>
                </c:pt>
                <c:pt idx="322">
                  <c:v>43.509998000000003</c:v>
                </c:pt>
                <c:pt idx="323">
                  <c:v>43.630001</c:v>
                </c:pt>
                <c:pt idx="324">
                  <c:v>43.07</c:v>
                </c:pt>
                <c:pt idx="325">
                  <c:v>43.450001</c:v>
                </c:pt>
                <c:pt idx="326">
                  <c:v>43.580002</c:v>
                </c:pt>
                <c:pt idx="327">
                  <c:v>43.880001</c:v>
                </c:pt>
                <c:pt idx="328">
                  <c:v>44.400002000000001</c:v>
                </c:pt>
                <c:pt idx="329">
                  <c:v>45.23</c:v>
                </c:pt>
                <c:pt idx="330">
                  <c:v>44.91</c:v>
                </c:pt>
                <c:pt idx="331">
                  <c:v>44.16</c:v>
                </c:pt>
                <c:pt idx="332">
                  <c:v>45.599997999999999</c:v>
                </c:pt>
                <c:pt idx="333">
                  <c:v>45.720001000000003</c:v>
                </c:pt>
                <c:pt idx="334">
                  <c:v>46.560001</c:v>
                </c:pt>
                <c:pt idx="335">
                  <c:v>46.07</c:v>
                </c:pt>
                <c:pt idx="336">
                  <c:v>45.57</c:v>
                </c:pt>
                <c:pt idx="337">
                  <c:v>45.439999</c:v>
                </c:pt>
                <c:pt idx="338">
                  <c:v>45.580002</c:v>
                </c:pt>
                <c:pt idx="339">
                  <c:v>45.400002000000001</c:v>
                </c:pt>
                <c:pt idx="340">
                  <c:v>46.169998</c:v>
                </c:pt>
                <c:pt idx="341">
                  <c:v>46.310001</c:v>
                </c:pt>
                <c:pt idx="342">
                  <c:v>46.009998000000003</c:v>
                </c:pt>
                <c:pt idx="343">
                  <c:v>45.779998999999997</c:v>
                </c:pt>
                <c:pt idx="344">
                  <c:v>44.830002</c:v>
                </c:pt>
                <c:pt idx="345">
                  <c:v>44.84</c:v>
                </c:pt>
                <c:pt idx="346">
                  <c:v>44.380001</c:v>
                </c:pt>
                <c:pt idx="347">
                  <c:v>43.73</c:v>
                </c:pt>
                <c:pt idx="348">
                  <c:v>43.950001</c:v>
                </c:pt>
                <c:pt idx="349">
                  <c:v>43.759998000000003</c:v>
                </c:pt>
                <c:pt idx="350">
                  <c:v>44.009998000000003</c:v>
                </c:pt>
                <c:pt idx="351">
                  <c:v>43.919998</c:v>
                </c:pt>
                <c:pt idx="352">
                  <c:v>44.060001</c:v>
                </c:pt>
                <c:pt idx="353">
                  <c:v>43.970001000000003</c:v>
                </c:pt>
                <c:pt idx="354">
                  <c:v>44.400002000000001</c:v>
                </c:pt>
                <c:pt idx="355">
                  <c:v>44.43</c:v>
                </c:pt>
                <c:pt idx="356">
                  <c:v>44.200001</c:v>
                </c:pt>
                <c:pt idx="357">
                  <c:v>44.240001999999997</c:v>
                </c:pt>
                <c:pt idx="358">
                  <c:v>44.110000999999997</c:v>
                </c:pt>
                <c:pt idx="359">
                  <c:v>44.080002</c:v>
                </c:pt>
                <c:pt idx="360">
                  <c:v>43.040000999999997</c:v>
                </c:pt>
                <c:pt idx="361">
                  <c:v>42.73</c:v>
                </c:pt>
                <c:pt idx="362">
                  <c:v>42.48</c:v>
                </c:pt>
                <c:pt idx="363">
                  <c:v>41.099997999999999</c:v>
                </c:pt>
                <c:pt idx="364">
                  <c:v>42.259998000000003</c:v>
                </c:pt>
                <c:pt idx="365">
                  <c:v>42.549999</c:v>
                </c:pt>
                <c:pt idx="366">
                  <c:v>43.16</c:v>
                </c:pt>
                <c:pt idx="367">
                  <c:v>41.91</c:v>
                </c:pt>
                <c:pt idx="368">
                  <c:v>41.59</c:v>
                </c:pt>
                <c:pt idx="369">
                  <c:v>41.66</c:v>
                </c:pt>
                <c:pt idx="370">
                  <c:v>41.259998000000003</c:v>
                </c:pt>
                <c:pt idx="371">
                  <c:v>41.650002000000001</c:v>
                </c:pt>
                <c:pt idx="372">
                  <c:v>42.02</c:v>
                </c:pt>
                <c:pt idx="373">
                  <c:v>41.639999000000003</c:v>
                </c:pt>
                <c:pt idx="374">
                  <c:v>41.52</c:v>
                </c:pt>
                <c:pt idx="375">
                  <c:v>40.759998000000003</c:v>
                </c:pt>
                <c:pt idx="376">
                  <c:v>40.759998000000003</c:v>
                </c:pt>
                <c:pt idx="377">
                  <c:v>39.779998999999997</c:v>
                </c:pt>
                <c:pt idx="378">
                  <c:v>39.380001</c:v>
                </c:pt>
                <c:pt idx="379">
                  <c:v>39.43</c:v>
                </c:pt>
                <c:pt idx="380">
                  <c:v>41.25</c:v>
                </c:pt>
                <c:pt idx="381">
                  <c:v>40.939999</c:v>
                </c:pt>
                <c:pt idx="382">
                  <c:v>40.799999</c:v>
                </c:pt>
                <c:pt idx="383">
                  <c:v>40.889999000000003</c:v>
                </c:pt>
                <c:pt idx="384">
                  <c:v>41.41</c:v>
                </c:pt>
                <c:pt idx="385">
                  <c:v>41.080002</c:v>
                </c:pt>
                <c:pt idx="386">
                  <c:v>42.689999</c:v>
                </c:pt>
                <c:pt idx="387">
                  <c:v>42.09</c:v>
                </c:pt>
                <c:pt idx="388">
                  <c:v>41.509998000000003</c:v>
                </c:pt>
                <c:pt idx="389">
                  <c:v>42.939999</c:v>
                </c:pt>
                <c:pt idx="390">
                  <c:v>43.66</c:v>
                </c:pt>
                <c:pt idx="391">
                  <c:v>43.049999</c:v>
                </c:pt>
                <c:pt idx="392">
                  <c:v>43.259998000000003</c:v>
                </c:pt>
                <c:pt idx="393">
                  <c:v>42.759998000000003</c:v>
                </c:pt>
                <c:pt idx="394">
                  <c:v>43.040000999999997</c:v>
                </c:pt>
                <c:pt idx="395">
                  <c:v>43.27</c:v>
                </c:pt>
                <c:pt idx="396">
                  <c:v>43.099997999999999</c:v>
                </c:pt>
                <c:pt idx="397">
                  <c:v>43.290000999999997</c:v>
                </c:pt>
                <c:pt idx="398">
                  <c:v>43.529998999999997</c:v>
                </c:pt>
                <c:pt idx="399">
                  <c:v>42.459999000000003</c:v>
                </c:pt>
                <c:pt idx="400">
                  <c:v>41.139999000000003</c:v>
                </c:pt>
                <c:pt idx="401">
                  <c:v>41.189999</c:v>
                </c:pt>
                <c:pt idx="402">
                  <c:v>40.659999999999997</c:v>
                </c:pt>
                <c:pt idx="403">
                  <c:v>40.840000000000003</c:v>
                </c:pt>
                <c:pt idx="404">
                  <c:v>39.590000000000003</c:v>
                </c:pt>
                <c:pt idx="405">
                  <c:v>40.349997999999999</c:v>
                </c:pt>
                <c:pt idx="406">
                  <c:v>39.979999999999997</c:v>
                </c:pt>
                <c:pt idx="407">
                  <c:v>39.950001</c:v>
                </c:pt>
                <c:pt idx="408">
                  <c:v>39.959999000000003</c:v>
                </c:pt>
                <c:pt idx="409">
                  <c:v>40.090000000000003</c:v>
                </c:pt>
                <c:pt idx="410">
                  <c:v>38.759998000000003</c:v>
                </c:pt>
                <c:pt idx="411">
                  <c:v>38.900002000000001</c:v>
                </c:pt>
                <c:pt idx="412">
                  <c:v>38.409999999999997</c:v>
                </c:pt>
                <c:pt idx="413">
                  <c:v>39.349997999999999</c:v>
                </c:pt>
                <c:pt idx="414">
                  <c:v>39.630001</c:v>
                </c:pt>
                <c:pt idx="415">
                  <c:v>39.409999999999997</c:v>
                </c:pt>
                <c:pt idx="416">
                  <c:v>37.979999999999997</c:v>
                </c:pt>
                <c:pt idx="417">
                  <c:v>37.900002000000001</c:v>
                </c:pt>
                <c:pt idx="418">
                  <c:v>37.32</c:v>
                </c:pt>
                <c:pt idx="419">
                  <c:v>37.849997999999999</c:v>
                </c:pt>
                <c:pt idx="420">
                  <c:v>38.060001</c:v>
                </c:pt>
                <c:pt idx="421">
                  <c:v>37.349997999999999</c:v>
                </c:pt>
                <c:pt idx="422">
                  <c:v>36.279998999999997</c:v>
                </c:pt>
                <c:pt idx="423">
                  <c:v>36.75</c:v>
                </c:pt>
                <c:pt idx="424">
                  <c:v>36.220001000000003</c:v>
                </c:pt>
                <c:pt idx="425">
                  <c:v>35.07</c:v>
                </c:pt>
                <c:pt idx="426">
                  <c:v>35.729999999999997</c:v>
                </c:pt>
                <c:pt idx="427">
                  <c:v>36.68</c:v>
                </c:pt>
                <c:pt idx="428">
                  <c:v>36.659999999999997</c:v>
                </c:pt>
                <c:pt idx="429">
                  <c:v>36.529998999999997</c:v>
                </c:pt>
                <c:pt idx="430">
                  <c:v>36.729999999999997</c:v>
                </c:pt>
                <c:pt idx="431">
                  <c:v>36.869999</c:v>
                </c:pt>
                <c:pt idx="432">
                  <c:v>37.110000999999997</c:v>
                </c:pt>
                <c:pt idx="433">
                  <c:v>37</c:v>
                </c:pt>
                <c:pt idx="434">
                  <c:v>37.029998999999997</c:v>
                </c:pt>
                <c:pt idx="435">
                  <c:v>36.779998999999997</c:v>
                </c:pt>
                <c:pt idx="436">
                  <c:v>37.220001000000003</c:v>
                </c:pt>
                <c:pt idx="437">
                  <c:v>37.310001</c:v>
                </c:pt>
                <c:pt idx="438">
                  <c:v>37.220001000000003</c:v>
                </c:pt>
                <c:pt idx="439">
                  <c:v>36.659999999999997</c:v>
                </c:pt>
                <c:pt idx="440">
                  <c:v>37.119999</c:v>
                </c:pt>
                <c:pt idx="441">
                  <c:v>38.689999</c:v>
                </c:pt>
                <c:pt idx="442">
                  <c:v>37.439999</c:v>
                </c:pt>
                <c:pt idx="443">
                  <c:v>37.07</c:v>
                </c:pt>
                <c:pt idx="444">
                  <c:v>37.919998</c:v>
                </c:pt>
                <c:pt idx="445">
                  <c:v>39.759998000000003</c:v>
                </c:pt>
                <c:pt idx="446">
                  <c:v>40.310001</c:v>
                </c:pt>
                <c:pt idx="447">
                  <c:v>40.389999000000003</c:v>
                </c:pt>
                <c:pt idx="448">
                  <c:v>40.299999</c:v>
                </c:pt>
                <c:pt idx="449">
                  <c:v>39.939999</c:v>
                </c:pt>
                <c:pt idx="450">
                  <c:v>40.009998000000003</c:v>
                </c:pt>
                <c:pt idx="451">
                  <c:v>39.619999</c:v>
                </c:pt>
                <c:pt idx="452">
                  <c:v>38.979999999999997</c:v>
                </c:pt>
                <c:pt idx="453">
                  <c:v>38.18</c:v>
                </c:pt>
                <c:pt idx="454">
                  <c:v>38.900002000000001</c:v>
                </c:pt>
                <c:pt idx="455">
                  <c:v>38.840000000000003</c:v>
                </c:pt>
                <c:pt idx="456">
                  <c:v>39.849997999999999</c:v>
                </c:pt>
                <c:pt idx="457">
                  <c:v>38.439999</c:v>
                </c:pt>
                <c:pt idx="458">
                  <c:v>38.630001</c:v>
                </c:pt>
                <c:pt idx="459">
                  <c:v>38.009998000000003</c:v>
                </c:pt>
                <c:pt idx="460">
                  <c:v>38.18</c:v>
                </c:pt>
                <c:pt idx="461">
                  <c:v>39.099997999999999</c:v>
                </c:pt>
                <c:pt idx="462">
                  <c:v>39.740001999999997</c:v>
                </c:pt>
                <c:pt idx="463">
                  <c:v>39.659999999999997</c:v>
                </c:pt>
                <c:pt idx="464">
                  <c:v>38.479999999999997</c:v>
                </c:pt>
                <c:pt idx="465">
                  <c:v>38.259998000000003</c:v>
                </c:pt>
                <c:pt idx="466">
                  <c:v>39.18</c:v>
                </c:pt>
                <c:pt idx="467">
                  <c:v>39.259998000000003</c:v>
                </c:pt>
                <c:pt idx="468">
                  <c:v>40.330002</c:v>
                </c:pt>
                <c:pt idx="469">
                  <c:v>39.970001000000003</c:v>
                </c:pt>
                <c:pt idx="470">
                  <c:v>39.57</c:v>
                </c:pt>
                <c:pt idx="471">
                  <c:v>38.799999</c:v>
                </c:pt>
                <c:pt idx="472">
                  <c:v>39.159999999999997</c:v>
                </c:pt>
                <c:pt idx="473">
                  <c:v>39.479999999999997</c:v>
                </c:pt>
                <c:pt idx="474">
                  <c:v>38.630001</c:v>
                </c:pt>
                <c:pt idx="475">
                  <c:v>38.959999000000003</c:v>
                </c:pt>
                <c:pt idx="476">
                  <c:v>39.099997999999999</c:v>
                </c:pt>
                <c:pt idx="477">
                  <c:v>39.939999</c:v>
                </c:pt>
                <c:pt idx="478">
                  <c:v>40.299999</c:v>
                </c:pt>
                <c:pt idx="479">
                  <c:v>40.5</c:v>
                </c:pt>
                <c:pt idx="480">
                  <c:v>40.259998000000003</c:v>
                </c:pt>
                <c:pt idx="481">
                  <c:v>40.240001999999997</c:v>
                </c:pt>
                <c:pt idx="482">
                  <c:v>40.630001</c:v>
                </c:pt>
                <c:pt idx="483">
                  <c:v>39.900002000000001</c:v>
                </c:pt>
                <c:pt idx="484">
                  <c:v>40.659999999999997</c:v>
                </c:pt>
                <c:pt idx="485">
                  <c:v>39.490001999999997</c:v>
                </c:pt>
                <c:pt idx="486">
                  <c:v>39.75</c:v>
                </c:pt>
                <c:pt idx="487">
                  <c:v>39.779998999999997</c:v>
                </c:pt>
                <c:pt idx="488">
                  <c:v>39.380001</c:v>
                </c:pt>
                <c:pt idx="489">
                  <c:v>38.740001999999997</c:v>
                </c:pt>
                <c:pt idx="490">
                  <c:v>38.409999999999997</c:v>
                </c:pt>
                <c:pt idx="491">
                  <c:v>38.810001</c:v>
                </c:pt>
                <c:pt idx="492">
                  <c:v>38.840000000000003</c:v>
                </c:pt>
                <c:pt idx="493">
                  <c:v>38.720001000000003</c:v>
                </c:pt>
                <c:pt idx="494">
                  <c:v>38.880001</c:v>
                </c:pt>
                <c:pt idx="495">
                  <c:v>38.959999000000003</c:v>
                </c:pt>
                <c:pt idx="496">
                  <c:v>39.779998999999997</c:v>
                </c:pt>
                <c:pt idx="497">
                  <c:v>40</c:v>
                </c:pt>
                <c:pt idx="498">
                  <c:v>40.5</c:v>
                </c:pt>
                <c:pt idx="499">
                  <c:v>40.479999999999997</c:v>
                </c:pt>
                <c:pt idx="500">
                  <c:v>40.119999</c:v>
                </c:pt>
                <c:pt idx="501">
                  <c:v>40.25</c:v>
                </c:pt>
                <c:pt idx="502">
                  <c:v>40.389999000000003</c:v>
                </c:pt>
                <c:pt idx="503">
                  <c:v>40.619999</c:v>
                </c:pt>
                <c:pt idx="504">
                  <c:v>40.689999</c:v>
                </c:pt>
                <c:pt idx="505">
                  <c:v>40.560001</c:v>
                </c:pt>
                <c:pt idx="506">
                  <c:v>39.909999999999997</c:v>
                </c:pt>
                <c:pt idx="507">
                  <c:v>39.860000999999997</c:v>
                </c:pt>
                <c:pt idx="508">
                  <c:v>39.040000999999997</c:v>
                </c:pt>
                <c:pt idx="509">
                  <c:v>38.82</c:v>
                </c:pt>
                <c:pt idx="510">
                  <c:v>38.549999</c:v>
                </c:pt>
                <c:pt idx="511">
                  <c:v>38.189999</c:v>
                </c:pt>
                <c:pt idx="512">
                  <c:v>38.310001</c:v>
                </c:pt>
                <c:pt idx="513">
                  <c:v>38.540000999999997</c:v>
                </c:pt>
                <c:pt idx="514">
                  <c:v>38.270000000000003</c:v>
                </c:pt>
                <c:pt idx="515">
                  <c:v>38.610000999999997</c:v>
                </c:pt>
                <c:pt idx="516">
                  <c:v>37.349997999999999</c:v>
                </c:pt>
                <c:pt idx="517">
                  <c:v>37.340000000000003</c:v>
                </c:pt>
                <c:pt idx="518">
                  <c:v>38.220001000000003</c:v>
                </c:pt>
                <c:pt idx="519">
                  <c:v>37.669998</c:v>
                </c:pt>
                <c:pt idx="520">
                  <c:v>37.459999000000003</c:v>
                </c:pt>
                <c:pt idx="521">
                  <c:v>36.779998999999997</c:v>
                </c:pt>
                <c:pt idx="522">
                  <c:v>36.779998999999997</c:v>
                </c:pt>
                <c:pt idx="523">
                  <c:v>37.220001000000003</c:v>
                </c:pt>
                <c:pt idx="524">
                  <c:v>36.380001</c:v>
                </c:pt>
                <c:pt idx="525">
                  <c:v>38.299999</c:v>
                </c:pt>
                <c:pt idx="526">
                  <c:v>38.200001</c:v>
                </c:pt>
                <c:pt idx="527">
                  <c:v>36.400002000000001</c:v>
                </c:pt>
                <c:pt idx="528">
                  <c:v>37.889999000000003</c:v>
                </c:pt>
                <c:pt idx="529">
                  <c:v>38.049999</c:v>
                </c:pt>
                <c:pt idx="530">
                  <c:v>38.700001</c:v>
                </c:pt>
                <c:pt idx="531">
                  <c:v>40.220001000000003</c:v>
                </c:pt>
                <c:pt idx="532">
                  <c:v>39.220001000000003</c:v>
                </c:pt>
                <c:pt idx="533">
                  <c:v>39.979999999999997</c:v>
                </c:pt>
                <c:pt idx="534">
                  <c:v>38.529998999999997</c:v>
                </c:pt>
                <c:pt idx="535">
                  <c:v>40.659999999999997</c:v>
                </c:pt>
                <c:pt idx="536">
                  <c:v>39.279998999999997</c:v>
                </c:pt>
                <c:pt idx="537">
                  <c:v>37.959999000000003</c:v>
                </c:pt>
                <c:pt idx="538">
                  <c:v>37.970001000000003</c:v>
                </c:pt>
                <c:pt idx="539">
                  <c:v>37.200001</c:v>
                </c:pt>
                <c:pt idx="540">
                  <c:v>38.810001</c:v>
                </c:pt>
                <c:pt idx="541">
                  <c:v>38.900002000000001</c:v>
                </c:pt>
                <c:pt idx="542">
                  <c:v>38.630001</c:v>
                </c:pt>
                <c:pt idx="543">
                  <c:v>38.119999</c:v>
                </c:pt>
                <c:pt idx="544">
                  <c:v>37.509998000000003</c:v>
                </c:pt>
                <c:pt idx="545">
                  <c:v>36.790000999999997</c:v>
                </c:pt>
                <c:pt idx="546">
                  <c:v>38.720001000000003</c:v>
                </c:pt>
                <c:pt idx="547">
                  <c:v>39.709999000000003</c:v>
                </c:pt>
                <c:pt idx="548">
                  <c:v>39.990001999999997</c:v>
                </c:pt>
                <c:pt idx="549">
                  <c:v>39</c:v>
                </c:pt>
                <c:pt idx="550">
                  <c:v>39.060001</c:v>
                </c:pt>
                <c:pt idx="551">
                  <c:v>38.540000999999997</c:v>
                </c:pt>
                <c:pt idx="552">
                  <c:v>38.970001000000003</c:v>
                </c:pt>
                <c:pt idx="553">
                  <c:v>38.919998</c:v>
                </c:pt>
                <c:pt idx="554">
                  <c:v>39</c:v>
                </c:pt>
                <c:pt idx="555">
                  <c:v>38.950001</c:v>
                </c:pt>
                <c:pt idx="556">
                  <c:v>38.57</c:v>
                </c:pt>
                <c:pt idx="557">
                  <c:v>38.450001</c:v>
                </c:pt>
                <c:pt idx="558">
                  <c:v>38.779998999999997</c:v>
                </c:pt>
                <c:pt idx="559">
                  <c:v>37.770000000000003</c:v>
                </c:pt>
                <c:pt idx="560">
                  <c:v>38.479999999999997</c:v>
                </c:pt>
                <c:pt idx="561">
                  <c:v>38.779998999999997</c:v>
                </c:pt>
                <c:pt idx="562">
                  <c:v>39.93</c:v>
                </c:pt>
                <c:pt idx="563">
                  <c:v>38.639999000000003</c:v>
                </c:pt>
                <c:pt idx="564">
                  <c:v>38.970001000000003</c:v>
                </c:pt>
                <c:pt idx="565">
                  <c:v>38.860000999999997</c:v>
                </c:pt>
                <c:pt idx="566">
                  <c:v>39.229999999999997</c:v>
                </c:pt>
                <c:pt idx="567">
                  <c:v>38.830002</c:v>
                </c:pt>
                <c:pt idx="568">
                  <c:v>39.150002000000001</c:v>
                </c:pt>
                <c:pt idx="569">
                  <c:v>39.32</c:v>
                </c:pt>
                <c:pt idx="570">
                  <c:v>39.32</c:v>
                </c:pt>
                <c:pt idx="571">
                  <c:v>39.389999000000003</c:v>
                </c:pt>
                <c:pt idx="572">
                  <c:v>39.110000999999997</c:v>
                </c:pt>
                <c:pt idx="573">
                  <c:v>39.259998000000003</c:v>
                </c:pt>
                <c:pt idx="574">
                  <c:v>39.389999000000003</c:v>
                </c:pt>
                <c:pt idx="575">
                  <c:v>39.610000999999997</c:v>
                </c:pt>
                <c:pt idx="576">
                  <c:v>38.590000000000003</c:v>
                </c:pt>
                <c:pt idx="577">
                  <c:v>37.959999000000003</c:v>
                </c:pt>
                <c:pt idx="578">
                  <c:v>38.68</c:v>
                </c:pt>
                <c:pt idx="579">
                  <c:v>38.889999000000003</c:v>
                </c:pt>
                <c:pt idx="580">
                  <c:v>38.450001</c:v>
                </c:pt>
                <c:pt idx="581">
                  <c:v>38.299999</c:v>
                </c:pt>
                <c:pt idx="582">
                  <c:v>38.720001000000003</c:v>
                </c:pt>
                <c:pt idx="583">
                  <c:v>38.610000999999997</c:v>
                </c:pt>
                <c:pt idx="584">
                  <c:v>37.900002000000001</c:v>
                </c:pt>
                <c:pt idx="585">
                  <c:v>37.630001</c:v>
                </c:pt>
                <c:pt idx="586">
                  <c:v>37.900002000000001</c:v>
                </c:pt>
                <c:pt idx="587">
                  <c:v>37.389999000000003</c:v>
                </c:pt>
                <c:pt idx="588">
                  <c:v>37.349997999999999</c:v>
                </c:pt>
                <c:pt idx="589">
                  <c:v>37.360000999999997</c:v>
                </c:pt>
                <c:pt idx="590">
                  <c:v>37.810001</c:v>
                </c:pt>
                <c:pt idx="591">
                  <c:v>36.849997999999999</c:v>
                </c:pt>
                <c:pt idx="592">
                  <c:v>37.400002000000001</c:v>
                </c:pt>
                <c:pt idx="593">
                  <c:v>36.919998</c:v>
                </c:pt>
                <c:pt idx="594">
                  <c:v>37.450001</c:v>
                </c:pt>
                <c:pt idx="595">
                  <c:v>36.840000000000003</c:v>
                </c:pt>
                <c:pt idx="596">
                  <c:v>37.450001</c:v>
                </c:pt>
                <c:pt idx="597">
                  <c:v>37.209999000000003</c:v>
                </c:pt>
                <c:pt idx="598">
                  <c:v>36.479999999999997</c:v>
                </c:pt>
                <c:pt idx="599">
                  <c:v>36.349997999999999</c:v>
                </c:pt>
                <c:pt idx="600">
                  <c:v>36.639999000000003</c:v>
                </c:pt>
                <c:pt idx="601">
                  <c:v>36.540000999999997</c:v>
                </c:pt>
                <c:pt idx="602">
                  <c:v>36.279998999999997</c:v>
                </c:pt>
                <c:pt idx="603">
                  <c:v>35.880001</c:v>
                </c:pt>
                <c:pt idx="604">
                  <c:v>35.82</c:v>
                </c:pt>
                <c:pt idx="605">
                  <c:v>37.669998</c:v>
                </c:pt>
                <c:pt idx="606">
                  <c:v>37.389999000000003</c:v>
                </c:pt>
                <c:pt idx="607">
                  <c:v>37.970001000000003</c:v>
                </c:pt>
                <c:pt idx="608">
                  <c:v>38.470001000000003</c:v>
                </c:pt>
                <c:pt idx="609">
                  <c:v>38.229999999999997</c:v>
                </c:pt>
                <c:pt idx="610">
                  <c:v>38.349997999999999</c:v>
                </c:pt>
                <c:pt idx="611">
                  <c:v>38.150002000000001</c:v>
                </c:pt>
                <c:pt idx="612">
                  <c:v>38.240001999999997</c:v>
                </c:pt>
                <c:pt idx="613">
                  <c:v>38.389999000000003</c:v>
                </c:pt>
                <c:pt idx="614">
                  <c:v>37.720001000000003</c:v>
                </c:pt>
                <c:pt idx="615">
                  <c:v>37.959999000000003</c:v>
                </c:pt>
                <c:pt idx="616">
                  <c:v>38.529998999999997</c:v>
                </c:pt>
                <c:pt idx="617">
                  <c:v>38.029998999999997</c:v>
                </c:pt>
                <c:pt idx="618">
                  <c:v>38.470001000000003</c:v>
                </c:pt>
                <c:pt idx="619">
                  <c:v>38.479999999999997</c:v>
                </c:pt>
                <c:pt idx="620">
                  <c:v>38.790000999999997</c:v>
                </c:pt>
                <c:pt idx="621">
                  <c:v>38.729999999999997</c:v>
                </c:pt>
                <c:pt idx="622">
                  <c:v>39.450001</c:v>
                </c:pt>
                <c:pt idx="623">
                  <c:v>39.720001000000003</c:v>
                </c:pt>
                <c:pt idx="624">
                  <c:v>39.090000000000003</c:v>
                </c:pt>
                <c:pt idx="625">
                  <c:v>39.549999</c:v>
                </c:pt>
                <c:pt idx="626">
                  <c:v>39.619999</c:v>
                </c:pt>
                <c:pt idx="627">
                  <c:v>40.5</c:v>
                </c:pt>
                <c:pt idx="628">
                  <c:v>40.439999</c:v>
                </c:pt>
                <c:pt idx="629">
                  <c:v>40.580002</c:v>
                </c:pt>
                <c:pt idx="630">
                  <c:v>41.150002000000001</c:v>
                </c:pt>
                <c:pt idx="631">
                  <c:v>40.729999999999997</c:v>
                </c:pt>
                <c:pt idx="632">
                  <c:v>40.610000999999997</c:v>
                </c:pt>
                <c:pt idx="633">
                  <c:v>41.209999000000003</c:v>
                </c:pt>
                <c:pt idx="634">
                  <c:v>42.110000999999997</c:v>
                </c:pt>
                <c:pt idx="635">
                  <c:v>41.970001000000003</c:v>
                </c:pt>
                <c:pt idx="636">
                  <c:v>40.970001000000003</c:v>
                </c:pt>
                <c:pt idx="637">
                  <c:v>41.41</c:v>
                </c:pt>
                <c:pt idx="638">
                  <c:v>40.659999999999997</c:v>
                </c:pt>
                <c:pt idx="639">
                  <c:v>40.279998999999997</c:v>
                </c:pt>
                <c:pt idx="640">
                  <c:v>40</c:v>
                </c:pt>
                <c:pt idx="641">
                  <c:v>40.459999000000003</c:v>
                </c:pt>
                <c:pt idx="642">
                  <c:v>40.520000000000003</c:v>
                </c:pt>
                <c:pt idx="643">
                  <c:v>40.520000000000003</c:v>
                </c:pt>
                <c:pt idx="644">
                  <c:v>40.669998</c:v>
                </c:pt>
                <c:pt idx="645">
                  <c:v>41.150002000000001</c:v>
                </c:pt>
                <c:pt idx="646">
                  <c:v>41.639999000000003</c:v>
                </c:pt>
                <c:pt idx="647">
                  <c:v>42.09</c:v>
                </c:pt>
                <c:pt idx="648">
                  <c:v>41.799999</c:v>
                </c:pt>
                <c:pt idx="649">
                  <c:v>42.220001000000003</c:v>
                </c:pt>
                <c:pt idx="650">
                  <c:v>42.59</c:v>
                </c:pt>
                <c:pt idx="651">
                  <c:v>42.889999000000003</c:v>
                </c:pt>
                <c:pt idx="652">
                  <c:v>43.029998999999997</c:v>
                </c:pt>
                <c:pt idx="653">
                  <c:v>42.43</c:v>
                </c:pt>
                <c:pt idx="654">
                  <c:v>43.040000999999997</c:v>
                </c:pt>
                <c:pt idx="655">
                  <c:v>41.610000999999997</c:v>
                </c:pt>
                <c:pt idx="656">
                  <c:v>41.84</c:v>
                </c:pt>
                <c:pt idx="657">
                  <c:v>41.939999</c:v>
                </c:pt>
                <c:pt idx="658">
                  <c:v>42.439999</c:v>
                </c:pt>
                <c:pt idx="659">
                  <c:v>42.09</c:v>
                </c:pt>
                <c:pt idx="660">
                  <c:v>41.439999</c:v>
                </c:pt>
                <c:pt idx="661">
                  <c:v>41.369999</c:v>
                </c:pt>
                <c:pt idx="662">
                  <c:v>41.299999</c:v>
                </c:pt>
                <c:pt idx="663">
                  <c:v>40.479999999999997</c:v>
                </c:pt>
                <c:pt idx="664">
                  <c:v>40.139999000000003</c:v>
                </c:pt>
                <c:pt idx="665">
                  <c:v>39.700001</c:v>
                </c:pt>
                <c:pt idx="666">
                  <c:v>39.639999000000003</c:v>
                </c:pt>
                <c:pt idx="667">
                  <c:v>39.82</c:v>
                </c:pt>
                <c:pt idx="668">
                  <c:v>39.060001</c:v>
                </c:pt>
                <c:pt idx="669">
                  <c:v>39.439999</c:v>
                </c:pt>
                <c:pt idx="670">
                  <c:v>39.689999</c:v>
                </c:pt>
                <c:pt idx="671">
                  <c:v>39.549999</c:v>
                </c:pt>
                <c:pt idx="672">
                  <c:v>39.810001</c:v>
                </c:pt>
                <c:pt idx="673">
                  <c:v>40.020000000000003</c:v>
                </c:pt>
                <c:pt idx="674">
                  <c:v>40.009998000000003</c:v>
                </c:pt>
                <c:pt idx="675">
                  <c:v>40.139999000000003</c:v>
                </c:pt>
                <c:pt idx="676">
                  <c:v>41.32</c:v>
                </c:pt>
                <c:pt idx="677">
                  <c:v>40.380001</c:v>
                </c:pt>
                <c:pt idx="678">
                  <c:v>40.560001</c:v>
                </c:pt>
                <c:pt idx="679">
                  <c:v>40.189999</c:v>
                </c:pt>
                <c:pt idx="680">
                  <c:v>39.099997999999999</c:v>
                </c:pt>
                <c:pt idx="681">
                  <c:v>39.599997999999999</c:v>
                </c:pt>
                <c:pt idx="682">
                  <c:v>39.939999</c:v>
                </c:pt>
                <c:pt idx="683">
                  <c:v>40.090000000000003</c:v>
                </c:pt>
                <c:pt idx="684">
                  <c:v>40.75</c:v>
                </c:pt>
                <c:pt idx="685">
                  <c:v>40.479999999999997</c:v>
                </c:pt>
                <c:pt idx="686">
                  <c:v>40.020000000000003</c:v>
                </c:pt>
                <c:pt idx="687">
                  <c:v>40.970001000000003</c:v>
                </c:pt>
                <c:pt idx="688">
                  <c:v>41.07</c:v>
                </c:pt>
                <c:pt idx="689">
                  <c:v>41.099997999999999</c:v>
                </c:pt>
                <c:pt idx="690">
                  <c:v>40.970001000000003</c:v>
                </c:pt>
                <c:pt idx="691">
                  <c:v>40.029998999999997</c:v>
                </c:pt>
                <c:pt idx="692">
                  <c:v>40.110000999999997</c:v>
                </c:pt>
                <c:pt idx="693">
                  <c:v>40.43</c:v>
                </c:pt>
                <c:pt idx="694">
                  <c:v>40.5</c:v>
                </c:pt>
                <c:pt idx="695">
                  <c:v>40.330002</c:v>
                </c:pt>
                <c:pt idx="696">
                  <c:v>40.25</c:v>
                </c:pt>
                <c:pt idx="697">
                  <c:v>40.060001</c:v>
                </c:pt>
                <c:pt idx="698">
                  <c:v>40.07</c:v>
                </c:pt>
                <c:pt idx="699">
                  <c:v>40.009998000000003</c:v>
                </c:pt>
                <c:pt idx="700">
                  <c:v>40.369999</c:v>
                </c:pt>
                <c:pt idx="701">
                  <c:v>40.310001</c:v>
                </c:pt>
                <c:pt idx="702">
                  <c:v>40.509998000000003</c:v>
                </c:pt>
                <c:pt idx="703">
                  <c:v>40.470001000000003</c:v>
                </c:pt>
                <c:pt idx="704">
                  <c:v>40.759998000000003</c:v>
                </c:pt>
                <c:pt idx="705">
                  <c:v>40.900002000000001</c:v>
                </c:pt>
                <c:pt idx="706">
                  <c:v>40.380001</c:v>
                </c:pt>
                <c:pt idx="707">
                  <c:v>39.740001999999997</c:v>
                </c:pt>
                <c:pt idx="708">
                  <c:v>36.25</c:v>
                </c:pt>
                <c:pt idx="709">
                  <c:v>36.689999</c:v>
                </c:pt>
                <c:pt idx="710">
                  <c:v>36.279998999999997</c:v>
                </c:pt>
                <c:pt idx="711">
                  <c:v>36.82</c:v>
                </c:pt>
                <c:pt idx="712">
                  <c:v>36.380001</c:v>
                </c:pt>
                <c:pt idx="713">
                  <c:v>36.610000999999997</c:v>
                </c:pt>
                <c:pt idx="714">
                  <c:v>36.5</c:v>
                </c:pt>
                <c:pt idx="715">
                  <c:v>35.709999000000003</c:v>
                </c:pt>
                <c:pt idx="716">
                  <c:v>35.229999999999997</c:v>
                </c:pt>
                <c:pt idx="717">
                  <c:v>35.650002000000001</c:v>
                </c:pt>
                <c:pt idx="718">
                  <c:v>35.979999999999997</c:v>
                </c:pt>
                <c:pt idx="719">
                  <c:v>36.169998</c:v>
                </c:pt>
                <c:pt idx="720">
                  <c:v>35.759998000000003</c:v>
                </c:pt>
                <c:pt idx="721">
                  <c:v>35.639999000000003</c:v>
                </c:pt>
                <c:pt idx="722">
                  <c:v>35.279998999999997</c:v>
                </c:pt>
                <c:pt idx="723">
                  <c:v>34.650002000000001</c:v>
                </c:pt>
                <c:pt idx="724">
                  <c:v>33.349997999999999</c:v>
                </c:pt>
                <c:pt idx="725">
                  <c:v>33.919998</c:v>
                </c:pt>
                <c:pt idx="726">
                  <c:v>34.119999</c:v>
                </c:pt>
                <c:pt idx="727">
                  <c:v>34.220001000000003</c:v>
                </c:pt>
                <c:pt idx="728">
                  <c:v>33.669998</c:v>
                </c:pt>
                <c:pt idx="729">
                  <c:v>33.139999000000003</c:v>
                </c:pt>
                <c:pt idx="730">
                  <c:v>33.360000999999997</c:v>
                </c:pt>
                <c:pt idx="731">
                  <c:v>32.979999999999997</c:v>
                </c:pt>
                <c:pt idx="732">
                  <c:v>32.830002</c:v>
                </c:pt>
                <c:pt idx="733">
                  <c:v>33.270000000000003</c:v>
                </c:pt>
                <c:pt idx="734">
                  <c:v>33.729999999999997</c:v>
                </c:pt>
                <c:pt idx="735">
                  <c:v>34.599997999999999</c:v>
                </c:pt>
                <c:pt idx="736">
                  <c:v>35.07</c:v>
                </c:pt>
                <c:pt idx="737">
                  <c:v>35.189999</c:v>
                </c:pt>
                <c:pt idx="738">
                  <c:v>34.200001</c:v>
                </c:pt>
                <c:pt idx="739">
                  <c:v>36.549999</c:v>
                </c:pt>
                <c:pt idx="740">
                  <c:v>37.040000999999997</c:v>
                </c:pt>
                <c:pt idx="741">
                  <c:v>37.279998999999997</c:v>
                </c:pt>
                <c:pt idx="742">
                  <c:v>36.909999999999997</c:v>
                </c:pt>
                <c:pt idx="743">
                  <c:v>37.299999</c:v>
                </c:pt>
                <c:pt idx="744">
                  <c:v>36.740001999999997</c:v>
                </c:pt>
                <c:pt idx="745">
                  <c:v>36.150002000000001</c:v>
                </c:pt>
                <c:pt idx="746">
                  <c:v>36.729999999999997</c:v>
                </c:pt>
                <c:pt idx="747">
                  <c:v>36.229999999999997</c:v>
                </c:pt>
                <c:pt idx="748">
                  <c:v>35.849997999999999</c:v>
                </c:pt>
                <c:pt idx="749">
                  <c:v>36.07</c:v>
                </c:pt>
                <c:pt idx="750">
                  <c:v>37.07</c:v>
                </c:pt>
                <c:pt idx="751">
                  <c:v>37.900002000000001</c:v>
                </c:pt>
                <c:pt idx="752">
                  <c:v>36.68</c:v>
                </c:pt>
                <c:pt idx="753">
                  <c:v>36.18</c:v>
                </c:pt>
                <c:pt idx="754">
                  <c:v>36.07</c:v>
                </c:pt>
                <c:pt idx="755">
                  <c:v>36.049999</c:v>
                </c:pt>
                <c:pt idx="756">
                  <c:v>35.990001999999997</c:v>
                </c:pt>
                <c:pt idx="757">
                  <c:v>36.240001999999997</c:v>
                </c:pt>
                <c:pt idx="758">
                  <c:v>35.479999999999997</c:v>
                </c:pt>
                <c:pt idx="759">
                  <c:v>35.279998999999997</c:v>
                </c:pt>
                <c:pt idx="760">
                  <c:v>35.779998999999997</c:v>
                </c:pt>
                <c:pt idx="761">
                  <c:v>34.979999999999997</c:v>
                </c:pt>
                <c:pt idx="762">
                  <c:v>34.720001000000003</c:v>
                </c:pt>
                <c:pt idx="763">
                  <c:v>35.029998999999997</c:v>
                </c:pt>
                <c:pt idx="764">
                  <c:v>35.389999000000003</c:v>
                </c:pt>
                <c:pt idx="765">
                  <c:v>35.639999000000003</c:v>
                </c:pt>
                <c:pt idx="766">
                  <c:v>34.830002</c:v>
                </c:pt>
                <c:pt idx="767">
                  <c:v>35.220001000000003</c:v>
                </c:pt>
                <c:pt idx="768">
                  <c:v>34.919998</c:v>
                </c:pt>
                <c:pt idx="769">
                  <c:v>35.080002</c:v>
                </c:pt>
                <c:pt idx="770">
                  <c:v>34.060001</c:v>
                </c:pt>
                <c:pt idx="771">
                  <c:v>34.209999000000003</c:v>
                </c:pt>
                <c:pt idx="772">
                  <c:v>33.759998000000003</c:v>
                </c:pt>
                <c:pt idx="773">
                  <c:v>33.610000999999997</c:v>
                </c:pt>
                <c:pt idx="774">
                  <c:v>33.919998</c:v>
                </c:pt>
                <c:pt idx="775">
                  <c:v>35.889999000000003</c:v>
                </c:pt>
                <c:pt idx="776">
                  <c:v>36.049999</c:v>
                </c:pt>
                <c:pt idx="777">
                  <c:v>36.950001</c:v>
                </c:pt>
                <c:pt idx="778">
                  <c:v>36.959999000000003</c:v>
                </c:pt>
                <c:pt idx="779">
                  <c:v>35.740001999999997</c:v>
                </c:pt>
                <c:pt idx="780">
                  <c:v>36.409999999999997</c:v>
                </c:pt>
                <c:pt idx="781">
                  <c:v>36.540000999999997</c:v>
                </c:pt>
                <c:pt idx="782">
                  <c:v>36.889999000000003</c:v>
                </c:pt>
                <c:pt idx="783">
                  <c:v>36.189999</c:v>
                </c:pt>
                <c:pt idx="784">
                  <c:v>36.720001000000003</c:v>
                </c:pt>
                <c:pt idx="785">
                  <c:v>35.869999</c:v>
                </c:pt>
                <c:pt idx="786">
                  <c:v>36.540000999999997</c:v>
                </c:pt>
                <c:pt idx="787">
                  <c:v>35.200001</c:v>
                </c:pt>
                <c:pt idx="788">
                  <c:v>35.110000999999997</c:v>
                </c:pt>
                <c:pt idx="789">
                  <c:v>34.959999000000003</c:v>
                </c:pt>
                <c:pt idx="790">
                  <c:v>35.18</c:v>
                </c:pt>
                <c:pt idx="791">
                  <c:v>34.619999</c:v>
                </c:pt>
                <c:pt idx="792">
                  <c:v>34.389999000000003</c:v>
                </c:pt>
                <c:pt idx="793">
                  <c:v>34.18</c:v>
                </c:pt>
                <c:pt idx="794">
                  <c:v>34.049999</c:v>
                </c:pt>
                <c:pt idx="795">
                  <c:v>34.169998</c:v>
                </c:pt>
                <c:pt idx="796">
                  <c:v>33.43</c:v>
                </c:pt>
                <c:pt idx="797">
                  <c:v>33.360000999999997</c:v>
                </c:pt>
                <c:pt idx="798">
                  <c:v>33.580002</c:v>
                </c:pt>
                <c:pt idx="799">
                  <c:v>33.799999</c:v>
                </c:pt>
                <c:pt idx="800">
                  <c:v>33.849997999999999</c:v>
                </c:pt>
                <c:pt idx="801">
                  <c:v>33.720001000000003</c:v>
                </c:pt>
                <c:pt idx="802">
                  <c:v>33.720001000000003</c:v>
                </c:pt>
                <c:pt idx="803">
                  <c:v>33.279998999999997</c:v>
                </c:pt>
                <c:pt idx="804">
                  <c:v>33.040000999999997</c:v>
                </c:pt>
                <c:pt idx="805">
                  <c:v>32.93</c:v>
                </c:pt>
                <c:pt idx="806">
                  <c:v>33.259998000000003</c:v>
                </c:pt>
                <c:pt idx="807">
                  <c:v>34.310001</c:v>
                </c:pt>
                <c:pt idx="808">
                  <c:v>33.75</c:v>
                </c:pt>
                <c:pt idx="809">
                  <c:v>33.82</c:v>
                </c:pt>
                <c:pt idx="810">
                  <c:v>33.779998999999997</c:v>
                </c:pt>
                <c:pt idx="811">
                  <c:v>34.189999</c:v>
                </c:pt>
                <c:pt idx="812">
                  <c:v>34.509998000000003</c:v>
                </c:pt>
                <c:pt idx="813">
                  <c:v>34.849997999999999</c:v>
                </c:pt>
                <c:pt idx="814">
                  <c:v>34.130001</c:v>
                </c:pt>
                <c:pt idx="815">
                  <c:v>33.810001</c:v>
                </c:pt>
                <c:pt idx="816">
                  <c:v>33.740001999999997</c:v>
                </c:pt>
                <c:pt idx="817">
                  <c:v>34.880001</c:v>
                </c:pt>
                <c:pt idx="818">
                  <c:v>34.880001</c:v>
                </c:pt>
                <c:pt idx="819">
                  <c:v>34.880001</c:v>
                </c:pt>
                <c:pt idx="820">
                  <c:v>35.360000999999997</c:v>
                </c:pt>
                <c:pt idx="821">
                  <c:v>35.369999</c:v>
                </c:pt>
                <c:pt idx="822">
                  <c:v>35.525002000000001</c:v>
                </c:pt>
                <c:pt idx="823">
                  <c:v>35.049999</c:v>
                </c:pt>
                <c:pt idx="824">
                  <c:v>35.020000000000003</c:v>
                </c:pt>
                <c:pt idx="825">
                  <c:v>35.830002</c:v>
                </c:pt>
                <c:pt idx="826">
                  <c:v>35.689999</c:v>
                </c:pt>
                <c:pt idx="827">
                  <c:v>35.790000999999997</c:v>
                </c:pt>
                <c:pt idx="828">
                  <c:v>35.580002</c:v>
                </c:pt>
                <c:pt idx="829">
                  <c:v>34.979999999999997</c:v>
                </c:pt>
                <c:pt idx="830">
                  <c:v>35.299999</c:v>
                </c:pt>
                <c:pt idx="831">
                  <c:v>35.689999</c:v>
                </c:pt>
                <c:pt idx="832">
                  <c:v>36.040000999999997</c:v>
                </c:pt>
                <c:pt idx="833">
                  <c:v>35.82</c:v>
                </c:pt>
                <c:pt idx="834">
                  <c:v>34.810001</c:v>
                </c:pt>
                <c:pt idx="835">
                  <c:v>34.529998999999997</c:v>
                </c:pt>
                <c:pt idx="836">
                  <c:v>33.5</c:v>
                </c:pt>
                <c:pt idx="837">
                  <c:v>32.724997999999999</c:v>
                </c:pt>
                <c:pt idx="838">
                  <c:v>33.869999</c:v>
                </c:pt>
                <c:pt idx="839">
                  <c:v>33.880001</c:v>
                </c:pt>
                <c:pt idx="840">
                  <c:v>34.049999</c:v>
                </c:pt>
                <c:pt idx="841">
                  <c:v>33.805</c:v>
                </c:pt>
                <c:pt idx="842">
                  <c:v>34.284999999999997</c:v>
                </c:pt>
                <c:pt idx="843">
                  <c:v>33.979999999999997</c:v>
                </c:pt>
                <c:pt idx="844">
                  <c:v>33.130001</c:v>
                </c:pt>
                <c:pt idx="845">
                  <c:v>33.169998</c:v>
                </c:pt>
                <c:pt idx="846">
                  <c:v>32.974997999999999</c:v>
                </c:pt>
                <c:pt idx="847">
                  <c:v>33.849997999999999</c:v>
                </c:pt>
                <c:pt idx="848">
                  <c:v>34.080002</c:v>
                </c:pt>
                <c:pt idx="849">
                  <c:v>33.740001999999997</c:v>
                </c:pt>
                <c:pt idx="850">
                  <c:v>32.93</c:v>
                </c:pt>
                <c:pt idx="851">
                  <c:v>32.900002000000001</c:v>
                </c:pt>
                <c:pt idx="852">
                  <c:v>32.419998</c:v>
                </c:pt>
                <c:pt idx="853">
                  <c:v>31.73</c:v>
                </c:pt>
                <c:pt idx="854">
                  <c:v>30.9</c:v>
                </c:pt>
                <c:pt idx="855">
                  <c:v>32.119999</c:v>
                </c:pt>
                <c:pt idx="856">
                  <c:v>32.310001</c:v>
                </c:pt>
                <c:pt idx="857">
                  <c:v>31.4</c:v>
                </c:pt>
                <c:pt idx="858">
                  <c:v>31.530000999999999</c:v>
                </c:pt>
                <c:pt idx="859">
                  <c:v>30.129999000000002</c:v>
                </c:pt>
                <c:pt idx="860">
                  <c:v>29.690000999999999</c:v>
                </c:pt>
                <c:pt idx="861">
                  <c:v>30.84</c:v>
                </c:pt>
                <c:pt idx="862">
                  <c:v>31.16</c:v>
                </c:pt>
                <c:pt idx="863">
                  <c:v>32.020000000000003</c:v>
                </c:pt>
                <c:pt idx="864">
                  <c:v>30.940000999999999</c:v>
                </c:pt>
                <c:pt idx="865">
                  <c:v>29.9</c:v>
                </c:pt>
                <c:pt idx="866">
                  <c:v>26.950001</c:v>
                </c:pt>
                <c:pt idx="867">
                  <c:v>28.110001</c:v>
                </c:pt>
                <c:pt idx="868">
                  <c:v>27.950001</c:v>
                </c:pt>
                <c:pt idx="869">
                  <c:v>28.07</c:v>
                </c:pt>
                <c:pt idx="870">
                  <c:v>29.49</c:v>
                </c:pt>
                <c:pt idx="871">
                  <c:v>31.459999</c:v>
                </c:pt>
                <c:pt idx="872">
                  <c:v>31.030000999999999</c:v>
                </c:pt>
                <c:pt idx="873">
                  <c:v>31.610001</c:v>
                </c:pt>
                <c:pt idx="874">
                  <c:v>30.4</c:v>
                </c:pt>
                <c:pt idx="875">
                  <c:v>29.549999</c:v>
                </c:pt>
                <c:pt idx="876">
                  <c:v>31.99</c:v>
                </c:pt>
                <c:pt idx="877">
                  <c:v>34.400002000000001</c:v>
                </c:pt>
                <c:pt idx="878">
                  <c:v>35.790000999999997</c:v>
                </c:pt>
                <c:pt idx="879">
                  <c:v>31.57</c:v>
                </c:pt>
                <c:pt idx="880">
                  <c:v>34.279998999999997</c:v>
                </c:pt>
                <c:pt idx="881">
                  <c:v>34.479999999999997</c:v>
                </c:pt>
                <c:pt idx="882">
                  <c:v>32.75</c:v>
                </c:pt>
                <c:pt idx="883">
                  <c:v>33.220001000000003</c:v>
                </c:pt>
                <c:pt idx="884">
                  <c:v>31.51</c:v>
                </c:pt>
                <c:pt idx="885">
                  <c:v>31.67</c:v>
                </c:pt>
                <c:pt idx="886">
                  <c:v>32.720001000000003</c:v>
                </c:pt>
                <c:pt idx="887">
                  <c:v>33.459999000000003</c:v>
                </c:pt>
                <c:pt idx="888">
                  <c:v>32.290000999999997</c:v>
                </c:pt>
                <c:pt idx="889">
                  <c:v>33.650002000000001</c:v>
                </c:pt>
                <c:pt idx="890">
                  <c:v>32.509998000000003</c:v>
                </c:pt>
                <c:pt idx="891">
                  <c:v>32.229999999999997</c:v>
                </c:pt>
                <c:pt idx="892">
                  <c:v>33.470001000000003</c:v>
                </c:pt>
                <c:pt idx="893">
                  <c:v>31.92</c:v>
                </c:pt>
                <c:pt idx="894">
                  <c:v>32.380001</c:v>
                </c:pt>
                <c:pt idx="895">
                  <c:v>32.75</c:v>
                </c:pt>
                <c:pt idx="896">
                  <c:v>31.91</c:v>
                </c:pt>
                <c:pt idx="897">
                  <c:v>32.630001</c:v>
                </c:pt>
                <c:pt idx="898">
                  <c:v>33.150002000000001</c:v>
                </c:pt>
                <c:pt idx="899">
                  <c:v>36.479999999999997</c:v>
                </c:pt>
                <c:pt idx="900">
                  <c:v>34.909999999999997</c:v>
                </c:pt>
                <c:pt idx="901">
                  <c:v>35.590000000000003</c:v>
                </c:pt>
                <c:pt idx="902">
                  <c:v>36.099997999999999</c:v>
                </c:pt>
                <c:pt idx="903">
                  <c:v>35.68</c:v>
                </c:pt>
                <c:pt idx="904">
                  <c:v>34.950001</c:v>
                </c:pt>
                <c:pt idx="905">
                  <c:v>34.869999</c:v>
                </c:pt>
                <c:pt idx="906">
                  <c:v>34.5</c:v>
                </c:pt>
                <c:pt idx="907">
                  <c:v>36.330002</c:v>
                </c:pt>
                <c:pt idx="908">
                  <c:v>37.110000999999997</c:v>
                </c:pt>
                <c:pt idx="909">
                  <c:v>36.610000999999997</c:v>
                </c:pt>
                <c:pt idx="910">
                  <c:v>35.669998</c:v>
                </c:pt>
                <c:pt idx="911">
                  <c:v>35.599997999999999</c:v>
                </c:pt>
                <c:pt idx="912">
                  <c:v>37</c:v>
                </c:pt>
                <c:pt idx="913">
                  <c:v>35.990001999999997</c:v>
                </c:pt>
                <c:pt idx="914">
                  <c:v>35.880001</c:v>
                </c:pt>
                <c:pt idx="915">
                  <c:v>35.689999</c:v>
                </c:pt>
                <c:pt idx="916">
                  <c:v>35.540000999999997</c:v>
                </c:pt>
                <c:pt idx="917">
                  <c:v>35.259998000000003</c:v>
                </c:pt>
                <c:pt idx="918">
                  <c:v>35.830002</c:v>
                </c:pt>
                <c:pt idx="919">
                  <c:v>36.029998999999997</c:v>
                </c:pt>
                <c:pt idx="920">
                  <c:v>35.130001</c:v>
                </c:pt>
                <c:pt idx="921">
                  <c:v>34.669998</c:v>
                </c:pt>
                <c:pt idx="922">
                  <c:v>36.389999000000003</c:v>
                </c:pt>
                <c:pt idx="923">
                  <c:v>37.040000999999997</c:v>
                </c:pt>
                <c:pt idx="924">
                  <c:v>36.560001</c:v>
                </c:pt>
                <c:pt idx="925">
                  <c:v>35.860000999999997</c:v>
                </c:pt>
                <c:pt idx="926">
                  <c:v>35.270000000000003</c:v>
                </c:pt>
                <c:pt idx="927">
                  <c:v>36.259998000000003</c:v>
                </c:pt>
                <c:pt idx="928">
                  <c:v>35.560001</c:v>
                </c:pt>
                <c:pt idx="929">
                  <c:v>35.330002</c:v>
                </c:pt>
                <c:pt idx="930">
                  <c:v>34.509998000000003</c:v>
                </c:pt>
                <c:pt idx="931">
                  <c:v>35.090000000000003</c:v>
                </c:pt>
                <c:pt idx="932">
                  <c:v>35.159999999999997</c:v>
                </c:pt>
                <c:pt idx="933">
                  <c:v>35.650002000000001</c:v>
                </c:pt>
                <c:pt idx="934">
                  <c:v>37.540000999999997</c:v>
                </c:pt>
                <c:pt idx="935">
                  <c:v>37.020000000000003</c:v>
                </c:pt>
                <c:pt idx="936">
                  <c:v>37.830002</c:v>
                </c:pt>
                <c:pt idx="937">
                  <c:v>38.520000000000003</c:v>
                </c:pt>
                <c:pt idx="938">
                  <c:v>39.479999999999997</c:v>
                </c:pt>
                <c:pt idx="939">
                  <c:v>38.990001999999997</c:v>
                </c:pt>
                <c:pt idx="940">
                  <c:v>39.240001999999997</c:v>
                </c:pt>
                <c:pt idx="941">
                  <c:v>39.470001000000003</c:v>
                </c:pt>
                <c:pt idx="942">
                  <c:v>38.970001000000003</c:v>
                </c:pt>
                <c:pt idx="943">
                  <c:v>38.470001000000003</c:v>
                </c:pt>
                <c:pt idx="944">
                  <c:v>38.990001999999997</c:v>
                </c:pt>
                <c:pt idx="945">
                  <c:v>39</c:v>
                </c:pt>
                <c:pt idx="946">
                  <c:v>38.840000000000003</c:v>
                </c:pt>
                <c:pt idx="947">
                  <c:v>39.119999</c:v>
                </c:pt>
                <c:pt idx="948">
                  <c:v>39.520000000000003</c:v>
                </c:pt>
                <c:pt idx="949">
                  <c:v>38.439999</c:v>
                </c:pt>
                <c:pt idx="950">
                  <c:v>37.369999</c:v>
                </c:pt>
                <c:pt idx="951">
                  <c:v>37.509998000000003</c:v>
                </c:pt>
                <c:pt idx="952">
                  <c:v>37</c:v>
                </c:pt>
                <c:pt idx="953">
                  <c:v>36.189999</c:v>
                </c:pt>
                <c:pt idx="954">
                  <c:v>35.799999</c:v>
                </c:pt>
                <c:pt idx="955">
                  <c:v>35.82</c:v>
                </c:pt>
                <c:pt idx="956">
                  <c:v>36.360000999999997</c:v>
                </c:pt>
                <c:pt idx="957">
                  <c:v>36.220001000000003</c:v>
                </c:pt>
                <c:pt idx="958">
                  <c:v>36.770000000000003</c:v>
                </c:pt>
                <c:pt idx="959">
                  <c:v>37.369999</c:v>
                </c:pt>
                <c:pt idx="960">
                  <c:v>37.779998999999997</c:v>
                </c:pt>
                <c:pt idx="961">
                  <c:v>38.939999</c:v>
                </c:pt>
                <c:pt idx="962">
                  <c:v>39.209999000000003</c:v>
                </c:pt>
                <c:pt idx="963">
                  <c:v>44.73</c:v>
                </c:pt>
                <c:pt idx="964">
                  <c:v>42.130001</c:v>
                </c:pt>
                <c:pt idx="965">
                  <c:v>40.93</c:v>
                </c:pt>
                <c:pt idx="966">
                  <c:v>40.090000000000003</c:v>
                </c:pt>
                <c:pt idx="967">
                  <c:v>41.290000999999997</c:v>
                </c:pt>
                <c:pt idx="968">
                  <c:v>41.130001</c:v>
                </c:pt>
                <c:pt idx="969">
                  <c:v>41.73</c:v>
                </c:pt>
                <c:pt idx="970">
                  <c:v>40.709999000000003</c:v>
                </c:pt>
                <c:pt idx="971">
                  <c:v>40.040000999999997</c:v>
                </c:pt>
                <c:pt idx="972">
                  <c:v>41.549999</c:v>
                </c:pt>
                <c:pt idx="973">
                  <c:v>41.619999</c:v>
                </c:pt>
                <c:pt idx="974">
                  <c:v>41.299999</c:v>
                </c:pt>
                <c:pt idx="975">
                  <c:v>41.299999</c:v>
                </c:pt>
                <c:pt idx="976">
                  <c:v>41.450001</c:v>
                </c:pt>
                <c:pt idx="977">
                  <c:v>43.59</c:v>
                </c:pt>
                <c:pt idx="978">
                  <c:v>44.830002</c:v>
                </c:pt>
                <c:pt idx="979">
                  <c:v>44.860000999999997</c:v>
                </c:pt>
                <c:pt idx="980">
                  <c:v>43.650002000000001</c:v>
                </c:pt>
                <c:pt idx="981">
                  <c:v>42.959999000000003</c:v>
                </c:pt>
                <c:pt idx="982">
                  <c:v>42.060001</c:v>
                </c:pt>
                <c:pt idx="983">
                  <c:v>43.799999</c:v>
                </c:pt>
                <c:pt idx="984">
                  <c:v>43.07</c:v>
                </c:pt>
                <c:pt idx="985">
                  <c:v>43.029998999999997</c:v>
                </c:pt>
                <c:pt idx="986">
                  <c:v>41.970001000000003</c:v>
                </c:pt>
                <c:pt idx="987">
                  <c:v>40.419998</c:v>
                </c:pt>
                <c:pt idx="988">
                  <c:v>42.080002</c:v>
                </c:pt>
                <c:pt idx="989">
                  <c:v>41.200001</c:v>
                </c:pt>
                <c:pt idx="990">
                  <c:v>40.259998000000003</c:v>
                </c:pt>
                <c:pt idx="991">
                  <c:v>40.080002</c:v>
                </c:pt>
                <c:pt idx="992">
                  <c:v>41.189999</c:v>
                </c:pt>
                <c:pt idx="993">
                  <c:v>40.099997999999999</c:v>
                </c:pt>
                <c:pt idx="994">
                  <c:v>40.959999000000003</c:v>
                </c:pt>
                <c:pt idx="995">
                  <c:v>40.009998000000003</c:v>
                </c:pt>
                <c:pt idx="996">
                  <c:v>39.630001</c:v>
                </c:pt>
                <c:pt idx="997">
                  <c:v>40.099997999999999</c:v>
                </c:pt>
                <c:pt idx="998">
                  <c:v>39.919998</c:v>
                </c:pt>
                <c:pt idx="999">
                  <c:v>38.889999000000003</c:v>
                </c:pt>
                <c:pt idx="1000">
                  <c:v>37.409999999999997</c:v>
                </c:pt>
                <c:pt idx="1001">
                  <c:v>39.090000000000003</c:v>
                </c:pt>
                <c:pt idx="1002">
                  <c:v>39.709999000000003</c:v>
                </c:pt>
                <c:pt idx="1003">
                  <c:v>39.740001999999997</c:v>
                </c:pt>
                <c:pt idx="1004">
                  <c:v>39.380001</c:v>
                </c:pt>
                <c:pt idx="1005">
                  <c:v>39.619999</c:v>
                </c:pt>
                <c:pt idx="1006">
                  <c:v>39.900002000000001</c:v>
                </c:pt>
                <c:pt idx="1007">
                  <c:v>40.919998</c:v>
                </c:pt>
                <c:pt idx="1008">
                  <c:v>41.369999</c:v>
                </c:pt>
                <c:pt idx="1009">
                  <c:v>39.310001</c:v>
                </c:pt>
                <c:pt idx="1010">
                  <c:v>38.939999</c:v>
                </c:pt>
                <c:pt idx="1011">
                  <c:v>39.470001000000003</c:v>
                </c:pt>
                <c:pt idx="1012">
                  <c:v>39.240001999999997</c:v>
                </c:pt>
                <c:pt idx="1013">
                  <c:v>40.590000000000003</c:v>
                </c:pt>
                <c:pt idx="1014">
                  <c:v>41.549999</c:v>
                </c:pt>
                <c:pt idx="1015">
                  <c:v>41.549999</c:v>
                </c:pt>
                <c:pt idx="1016">
                  <c:v>40.590000000000003</c:v>
                </c:pt>
                <c:pt idx="1017">
                  <c:v>40.740001999999997</c:v>
                </c:pt>
                <c:pt idx="1018">
                  <c:v>41.349997999999999</c:v>
                </c:pt>
                <c:pt idx="1019">
                  <c:v>41.25</c:v>
                </c:pt>
                <c:pt idx="1020">
                  <c:v>41.189999</c:v>
                </c:pt>
                <c:pt idx="1021">
                  <c:v>41.189999</c:v>
                </c:pt>
                <c:pt idx="1022">
                  <c:v>41.400002000000001</c:v>
                </c:pt>
                <c:pt idx="1023">
                  <c:v>42.32</c:v>
                </c:pt>
                <c:pt idx="1024">
                  <c:v>41.310001</c:v>
                </c:pt>
                <c:pt idx="1025">
                  <c:v>41.290000999999997</c:v>
                </c:pt>
                <c:pt idx="1026">
                  <c:v>42.400002000000001</c:v>
                </c:pt>
                <c:pt idx="1027">
                  <c:v>43.459999000000003</c:v>
                </c:pt>
                <c:pt idx="1028">
                  <c:v>42.779998999999997</c:v>
                </c:pt>
                <c:pt idx="1029">
                  <c:v>40.650002000000001</c:v>
                </c:pt>
                <c:pt idx="1030">
                  <c:v>40.990001999999997</c:v>
                </c:pt>
                <c:pt idx="1031">
                  <c:v>41.66</c:v>
                </c:pt>
                <c:pt idx="1032">
                  <c:v>42.049999</c:v>
                </c:pt>
                <c:pt idx="1033">
                  <c:v>42.34</c:v>
                </c:pt>
                <c:pt idx="1034">
                  <c:v>41.790000999999997</c:v>
                </c:pt>
                <c:pt idx="1035">
                  <c:v>41.169998</c:v>
                </c:pt>
                <c:pt idx="1036">
                  <c:v>42.939999</c:v>
                </c:pt>
                <c:pt idx="1037">
                  <c:v>43.02</c:v>
                </c:pt>
                <c:pt idx="1038">
                  <c:v>43.73</c:v>
                </c:pt>
                <c:pt idx="1039">
                  <c:v>43.490001999999997</c:v>
                </c:pt>
                <c:pt idx="1040">
                  <c:v>45.09</c:v>
                </c:pt>
                <c:pt idx="1041">
                  <c:v>44.759998000000003</c:v>
                </c:pt>
                <c:pt idx="1042">
                  <c:v>43.150002000000001</c:v>
                </c:pt>
                <c:pt idx="1043">
                  <c:v>41.91</c:v>
                </c:pt>
                <c:pt idx="1044">
                  <c:v>42.73</c:v>
                </c:pt>
                <c:pt idx="1045">
                  <c:v>42.810001</c:v>
                </c:pt>
                <c:pt idx="1046">
                  <c:v>42.5</c:v>
                </c:pt>
                <c:pt idx="1047">
                  <c:v>43</c:v>
                </c:pt>
                <c:pt idx="1048">
                  <c:v>43.130001</c:v>
                </c:pt>
                <c:pt idx="1049">
                  <c:v>42.759998000000003</c:v>
                </c:pt>
                <c:pt idx="1050">
                  <c:v>42.799999</c:v>
                </c:pt>
                <c:pt idx="1051">
                  <c:v>43.82</c:v>
                </c:pt>
                <c:pt idx="1052">
                  <c:v>43.459999000000003</c:v>
                </c:pt>
                <c:pt idx="1053">
                  <c:v>43.48</c:v>
                </c:pt>
                <c:pt idx="1054">
                  <c:v>42.91</c:v>
                </c:pt>
                <c:pt idx="1055">
                  <c:v>42.939999</c:v>
                </c:pt>
                <c:pt idx="1056">
                  <c:v>42.540000999999997</c:v>
                </c:pt>
                <c:pt idx="1057">
                  <c:v>42.040000999999997</c:v>
                </c:pt>
                <c:pt idx="1058">
                  <c:v>42.040000999999997</c:v>
                </c:pt>
                <c:pt idx="1059">
                  <c:v>42.919998</c:v>
                </c:pt>
                <c:pt idx="1060">
                  <c:v>42.849997999999999</c:v>
                </c:pt>
                <c:pt idx="1061">
                  <c:v>43.049999</c:v>
                </c:pt>
                <c:pt idx="1062">
                  <c:v>43.389999000000003</c:v>
                </c:pt>
                <c:pt idx="1063">
                  <c:v>43.029998999999997</c:v>
                </c:pt>
                <c:pt idx="1064">
                  <c:v>41.970001000000003</c:v>
                </c:pt>
                <c:pt idx="1065">
                  <c:v>42.139999000000003</c:v>
                </c:pt>
                <c:pt idx="1066">
                  <c:v>43.25</c:v>
                </c:pt>
                <c:pt idx="1067">
                  <c:v>42.59</c:v>
                </c:pt>
                <c:pt idx="1068">
                  <c:v>43.07</c:v>
                </c:pt>
                <c:pt idx="1069">
                  <c:v>43.709999000000003</c:v>
                </c:pt>
                <c:pt idx="1070">
                  <c:v>43.209999000000003</c:v>
                </c:pt>
                <c:pt idx="1071">
                  <c:v>43.240001999999997</c:v>
                </c:pt>
                <c:pt idx="1072">
                  <c:v>42.849997999999999</c:v>
                </c:pt>
                <c:pt idx="1073">
                  <c:v>43.049999</c:v>
                </c:pt>
                <c:pt idx="1074">
                  <c:v>42.919998</c:v>
                </c:pt>
                <c:pt idx="1075">
                  <c:v>43.52</c:v>
                </c:pt>
                <c:pt idx="1076">
                  <c:v>43.360000999999997</c:v>
                </c:pt>
                <c:pt idx="1077">
                  <c:v>43.669998</c:v>
                </c:pt>
                <c:pt idx="1078">
                  <c:v>43.119999</c:v>
                </c:pt>
                <c:pt idx="1079">
                  <c:v>43.349997999999999</c:v>
                </c:pt>
                <c:pt idx="1080">
                  <c:v>42.669998</c:v>
                </c:pt>
                <c:pt idx="1081">
                  <c:v>42.57</c:v>
                </c:pt>
                <c:pt idx="1082">
                  <c:v>43.23</c:v>
                </c:pt>
                <c:pt idx="1083">
                  <c:v>42.599997999999999</c:v>
                </c:pt>
                <c:pt idx="1084">
                  <c:v>42.98</c:v>
                </c:pt>
                <c:pt idx="1085">
                  <c:v>42.549999</c:v>
                </c:pt>
                <c:pt idx="1086">
                  <c:v>42.16</c:v>
                </c:pt>
                <c:pt idx="1087">
                  <c:v>42.25</c:v>
                </c:pt>
                <c:pt idx="1088">
                  <c:v>41.98</c:v>
                </c:pt>
                <c:pt idx="1089">
                  <c:v>40.479999999999997</c:v>
                </c:pt>
                <c:pt idx="1090">
                  <c:v>40.130001</c:v>
                </c:pt>
                <c:pt idx="1091">
                  <c:v>38.520000000000003</c:v>
                </c:pt>
                <c:pt idx="1092">
                  <c:v>40.060001</c:v>
                </c:pt>
                <c:pt idx="1093">
                  <c:v>40.150002000000001</c:v>
                </c:pt>
                <c:pt idx="1094">
                  <c:v>39.990001999999997</c:v>
                </c:pt>
                <c:pt idx="1095">
                  <c:v>39.549999</c:v>
                </c:pt>
                <c:pt idx="1096">
                  <c:v>39.490001999999997</c:v>
                </c:pt>
                <c:pt idx="1097">
                  <c:v>39.700001</c:v>
                </c:pt>
                <c:pt idx="1098">
                  <c:v>39.659999999999997</c:v>
                </c:pt>
                <c:pt idx="1099">
                  <c:v>39.200001</c:v>
                </c:pt>
                <c:pt idx="1100">
                  <c:v>39.159999999999997</c:v>
                </c:pt>
                <c:pt idx="1101">
                  <c:v>39.110000999999997</c:v>
                </c:pt>
                <c:pt idx="1102">
                  <c:v>38.990001999999997</c:v>
                </c:pt>
                <c:pt idx="1103">
                  <c:v>38.860000999999997</c:v>
                </c:pt>
                <c:pt idx="1104">
                  <c:v>38.330002</c:v>
                </c:pt>
                <c:pt idx="1105">
                  <c:v>38.360000999999997</c:v>
                </c:pt>
                <c:pt idx="1106">
                  <c:v>37.099997999999999</c:v>
                </c:pt>
                <c:pt idx="1107">
                  <c:v>38.029998999999997</c:v>
                </c:pt>
                <c:pt idx="1108">
                  <c:v>38.860000999999997</c:v>
                </c:pt>
                <c:pt idx="1109">
                  <c:v>38.130001</c:v>
                </c:pt>
                <c:pt idx="1110">
                  <c:v>39.299999</c:v>
                </c:pt>
                <c:pt idx="1111">
                  <c:v>39.700001</c:v>
                </c:pt>
                <c:pt idx="1112">
                  <c:v>40.590000000000003</c:v>
                </c:pt>
                <c:pt idx="1113">
                  <c:v>40.790000999999997</c:v>
                </c:pt>
                <c:pt idx="1114">
                  <c:v>40.619999</c:v>
                </c:pt>
                <c:pt idx="1115">
                  <c:v>41.48</c:v>
                </c:pt>
                <c:pt idx="1116">
                  <c:v>41.810001</c:v>
                </c:pt>
                <c:pt idx="1117">
                  <c:v>42.369999</c:v>
                </c:pt>
                <c:pt idx="1118">
                  <c:v>42.75</c:v>
                </c:pt>
                <c:pt idx="1119">
                  <c:v>43.209999000000003</c:v>
                </c:pt>
                <c:pt idx="1120">
                  <c:v>43.029998999999997</c:v>
                </c:pt>
                <c:pt idx="1121">
                  <c:v>43.91</c:v>
                </c:pt>
                <c:pt idx="1122">
                  <c:v>43.619999</c:v>
                </c:pt>
                <c:pt idx="1123">
                  <c:v>43.580002</c:v>
                </c:pt>
                <c:pt idx="1124">
                  <c:v>42.919998</c:v>
                </c:pt>
                <c:pt idx="1125">
                  <c:v>42.130001</c:v>
                </c:pt>
                <c:pt idx="1126">
                  <c:v>42.529998999999997</c:v>
                </c:pt>
                <c:pt idx="1127">
                  <c:v>43.259998000000003</c:v>
                </c:pt>
                <c:pt idx="1128">
                  <c:v>43.119999</c:v>
                </c:pt>
                <c:pt idx="1129">
                  <c:v>42.709999000000003</c:v>
                </c:pt>
                <c:pt idx="1130">
                  <c:v>44.220001000000003</c:v>
                </c:pt>
                <c:pt idx="1131">
                  <c:v>42.889999000000003</c:v>
                </c:pt>
                <c:pt idx="1132">
                  <c:v>42.900002000000001</c:v>
                </c:pt>
                <c:pt idx="1133">
                  <c:v>43.049999</c:v>
                </c:pt>
                <c:pt idx="1134">
                  <c:v>42.580002</c:v>
                </c:pt>
                <c:pt idx="1135">
                  <c:v>42.439999</c:v>
                </c:pt>
                <c:pt idx="1136">
                  <c:v>42.139999000000003</c:v>
                </c:pt>
                <c:pt idx="1137">
                  <c:v>42.09</c:v>
                </c:pt>
                <c:pt idx="1138">
                  <c:v>41.919998</c:v>
                </c:pt>
                <c:pt idx="1139">
                  <c:v>41.599997999999999</c:v>
                </c:pt>
                <c:pt idx="1140">
                  <c:v>41.869999</c:v>
                </c:pt>
                <c:pt idx="1141">
                  <c:v>41.880001</c:v>
                </c:pt>
                <c:pt idx="1142">
                  <c:v>41.68</c:v>
                </c:pt>
                <c:pt idx="1143">
                  <c:v>41.040000999999997</c:v>
                </c:pt>
                <c:pt idx="1144">
                  <c:v>41.799999</c:v>
                </c:pt>
                <c:pt idx="1145">
                  <c:v>42.23</c:v>
                </c:pt>
                <c:pt idx="1146">
                  <c:v>42.619999</c:v>
                </c:pt>
                <c:pt idx="1147">
                  <c:v>42.040000999999997</c:v>
                </c:pt>
                <c:pt idx="1148">
                  <c:v>41.669998</c:v>
                </c:pt>
                <c:pt idx="1149">
                  <c:v>40.939999</c:v>
                </c:pt>
                <c:pt idx="1150">
                  <c:v>41.279998999999997</c:v>
                </c:pt>
                <c:pt idx="1151">
                  <c:v>41.830002</c:v>
                </c:pt>
                <c:pt idx="1152">
                  <c:v>40.540000999999997</c:v>
                </c:pt>
                <c:pt idx="1153">
                  <c:v>41.119999</c:v>
                </c:pt>
                <c:pt idx="1154">
                  <c:v>41.209999000000003</c:v>
                </c:pt>
                <c:pt idx="1155">
                  <c:v>40.93</c:v>
                </c:pt>
                <c:pt idx="1156">
                  <c:v>41.029998999999997</c:v>
                </c:pt>
                <c:pt idx="1157">
                  <c:v>41.099997999999999</c:v>
                </c:pt>
                <c:pt idx="1158">
                  <c:v>40.650002000000001</c:v>
                </c:pt>
                <c:pt idx="1159">
                  <c:v>40.509998000000003</c:v>
                </c:pt>
                <c:pt idx="1160">
                  <c:v>40.5</c:v>
                </c:pt>
                <c:pt idx="1161">
                  <c:v>39.779998999999997</c:v>
                </c:pt>
                <c:pt idx="1162">
                  <c:v>39.009998000000003</c:v>
                </c:pt>
                <c:pt idx="1163">
                  <c:v>39.5</c:v>
                </c:pt>
                <c:pt idx="1164">
                  <c:v>39.900002000000001</c:v>
                </c:pt>
                <c:pt idx="1165">
                  <c:v>40.029998999999997</c:v>
                </c:pt>
                <c:pt idx="1166">
                  <c:v>40.790000999999997</c:v>
                </c:pt>
                <c:pt idx="1167">
                  <c:v>40.020000000000003</c:v>
                </c:pt>
                <c:pt idx="1168">
                  <c:v>40.5</c:v>
                </c:pt>
                <c:pt idx="1169">
                  <c:v>41.25</c:v>
                </c:pt>
                <c:pt idx="1170">
                  <c:v>42.549999</c:v>
                </c:pt>
                <c:pt idx="1171">
                  <c:v>43.240001999999997</c:v>
                </c:pt>
                <c:pt idx="1172">
                  <c:v>43.290000999999997</c:v>
                </c:pt>
                <c:pt idx="1173">
                  <c:v>43.849997999999999</c:v>
                </c:pt>
                <c:pt idx="1174">
                  <c:v>43.560001</c:v>
                </c:pt>
                <c:pt idx="1175">
                  <c:v>43.689999</c:v>
                </c:pt>
                <c:pt idx="1176">
                  <c:v>44.200001</c:v>
                </c:pt>
                <c:pt idx="1177">
                  <c:v>43.75</c:v>
                </c:pt>
                <c:pt idx="1178">
                  <c:v>44.259998000000003</c:v>
                </c:pt>
                <c:pt idx="1179">
                  <c:v>45.27</c:v>
                </c:pt>
                <c:pt idx="1180">
                  <c:v>45.25</c:v>
                </c:pt>
                <c:pt idx="1181">
                  <c:v>44.740001999999997</c:v>
                </c:pt>
                <c:pt idx="1182">
                  <c:v>44.5</c:v>
                </c:pt>
                <c:pt idx="1183">
                  <c:v>44.630001</c:v>
                </c:pt>
                <c:pt idx="1184">
                  <c:v>44.810001</c:v>
                </c:pt>
                <c:pt idx="1185">
                  <c:v>44.880001</c:v>
                </c:pt>
                <c:pt idx="1186">
                  <c:v>44.02</c:v>
                </c:pt>
                <c:pt idx="1187">
                  <c:v>44.169998</c:v>
                </c:pt>
                <c:pt idx="1188">
                  <c:v>43.810001</c:v>
                </c:pt>
                <c:pt idx="1189">
                  <c:v>43.84</c:v>
                </c:pt>
                <c:pt idx="1190">
                  <c:v>43.419998</c:v>
                </c:pt>
                <c:pt idx="1191">
                  <c:v>43.939999</c:v>
                </c:pt>
                <c:pt idx="1192">
                  <c:v>43.830002</c:v>
                </c:pt>
                <c:pt idx="1193">
                  <c:v>43.650002000000001</c:v>
                </c:pt>
                <c:pt idx="1194">
                  <c:v>43.66</c:v>
                </c:pt>
                <c:pt idx="1195">
                  <c:v>43.889999000000003</c:v>
                </c:pt>
                <c:pt idx="1196">
                  <c:v>43.77</c:v>
                </c:pt>
                <c:pt idx="1197">
                  <c:v>43.380001</c:v>
                </c:pt>
                <c:pt idx="1198">
                  <c:v>43.810001</c:v>
                </c:pt>
                <c:pt idx="1199">
                  <c:v>43.639999000000003</c:v>
                </c:pt>
                <c:pt idx="1200">
                  <c:v>45.189999</c:v>
                </c:pt>
                <c:pt idx="1201">
                  <c:v>44.360000999999997</c:v>
                </c:pt>
                <c:pt idx="1202">
                  <c:v>45.130001</c:v>
                </c:pt>
                <c:pt idx="1203">
                  <c:v>44.619999</c:v>
                </c:pt>
                <c:pt idx="1204">
                  <c:v>44.240001999999997</c:v>
                </c:pt>
                <c:pt idx="1205">
                  <c:v>43.619999</c:v>
                </c:pt>
                <c:pt idx="1206">
                  <c:v>45.139999000000003</c:v>
                </c:pt>
                <c:pt idx="1207">
                  <c:v>44.869999</c:v>
                </c:pt>
                <c:pt idx="1208">
                  <c:v>44.84</c:v>
                </c:pt>
                <c:pt idx="1209">
                  <c:v>43.740001999999997</c:v>
                </c:pt>
                <c:pt idx="1210">
                  <c:v>44.419998</c:v>
                </c:pt>
                <c:pt idx="1211">
                  <c:v>44.790000999999997</c:v>
                </c:pt>
                <c:pt idx="1212">
                  <c:v>44.790000999999997</c:v>
                </c:pt>
                <c:pt idx="1213">
                  <c:v>45.34</c:v>
                </c:pt>
                <c:pt idx="1214">
                  <c:v>45.669998</c:v>
                </c:pt>
                <c:pt idx="1215">
                  <c:v>45.060001</c:v>
                </c:pt>
                <c:pt idx="1216">
                  <c:v>46.740001999999997</c:v>
                </c:pt>
                <c:pt idx="1217">
                  <c:v>45.880001</c:v>
                </c:pt>
                <c:pt idx="1218">
                  <c:v>47.709999000000003</c:v>
                </c:pt>
                <c:pt idx="1219">
                  <c:v>48.330002</c:v>
                </c:pt>
                <c:pt idx="1220">
                  <c:v>48.75</c:v>
                </c:pt>
                <c:pt idx="1221">
                  <c:v>48.400002000000001</c:v>
                </c:pt>
                <c:pt idx="1222">
                  <c:v>49</c:v>
                </c:pt>
                <c:pt idx="1223">
                  <c:v>49.439999</c:v>
                </c:pt>
                <c:pt idx="1224">
                  <c:v>49.16</c:v>
                </c:pt>
                <c:pt idx="1225">
                  <c:v>49.689999</c:v>
                </c:pt>
                <c:pt idx="1226">
                  <c:v>48.950001</c:v>
                </c:pt>
                <c:pt idx="1227">
                  <c:v>48.889999000000003</c:v>
                </c:pt>
                <c:pt idx="1228">
                  <c:v>49.630001</c:v>
                </c:pt>
                <c:pt idx="1229">
                  <c:v>51.43</c:v>
                </c:pt>
                <c:pt idx="1230">
                  <c:v>50.990001999999997</c:v>
                </c:pt>
                <c:pt idx="1231">
                  <c:v>49.810001</c:v>
                </c:pt>
                <c:pt idx="1232">
                  <c:v>49.82</c:v>
                </c:pt>
                <c:pt idx="1233">
                  <c:v>49.93</c:v>
                </c:pt>
                <c:pt idx="1234">
                  <c:v>49.299999</c:v>
                </c:pt>
                <c:pt idx="1235">
                  <c:v>49.029998999999997</c:v>
                </c:pt>
                <c:pt idx="1236">
                  <c:v>49.68</c:v>
                </c:pt>
                <c:pt idx="1237">
                  <c:v>49.700001</c:v>
                </c:pt>
                <c:pt idx="1238">
                  <c:v>49.82</c:v>
                </c:pt>
                <c:pt idx="1239">
                  <c:v>50.82</c:v>
                </c:pt>
                <c:pt idx="1240">
                  <c:v>50.650002000000001</c:v>
                </c:pt>
                <c:pt idx="1241">
                  <c:v>50.369999</c:v>
                </c:pt>
                <c:pt idx="1242">
                  <c:v>49.41</c:v>
                </c:pt>
                <c:pt idx="1243">
                  <c:v>49.970001000000003</c:v>
                </c:pt>
                <c:pt idx="1244">
                  <c:v>49.450001</c:v>
                </c:pt>
                <c:pt idx="1245">
                  <c:v>49.77</c:v>
                </c:pt>
                <c:pt idx="1246">
                  <c:v>50.080002</c:v>
                </c:pt>
                <c:pt idx="1247">
                  <c:v>50.310001</c:v>
                </c:pt>
                <c:pt idx="1248">
                  <c:v>51.34</c:v>
                </c:pt>
                <c:pt idx="1249">
                  <c:v>55.299999</c:v>
                </c:pt>
                <c:pt idx="1250">
                  <c:v>56</c:v>
                </c:pt>
                <c:pt idx="1251">
                  <c:v>56.23</c:v>
                </c:pt>
                <c:pt idx="1252">
                  <c:v>57.91</c:v>
                </c:pt>
                <c:pt idx="1253">
                  <c:v>57.880001</c:v>
                </c:pt>
                <c:pt idx="1254">
                  <c:v>58.279998999999997</c:v>
                </c:pt>
                <c:pt idx="1255">
                  <c:v>58.310001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0-45F5-B4B2-65EF2DBD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488639"/>
        <c:axId val="989494879"/>
      </c:lineChart>
      <c:dateAx>
        <c:axId val="989488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9494879"/>
        <c:crosses val="autoZero"/>
        <c:auto val="1"/>
        <c:lblOffset val="100"/>
        <c:baseTimeUnit val="days"/>
      </c:dateAx>
      <c:valAx>
        <c:axId val="98949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8948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Grupo</a:t>
            </a:r>
            <a:r>
              <a:rPr lang="es-MX" baseline="0"/>
              <a:t> México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'VAR SM'!$B$6:$B$1261</c:f>
              <c:numCache>
                <c:formatCode>m/d/yyyy</c:formatCode>
                <c:ptCount val="1256"/>
                <c:pt idx="0">
                  <c:v>42639</c:v>
                </c:pt>
                <c:pt idx="1">
                  <c:v>42640</c:v>
                </c:pt>
                <c:pt idx="2">
                  <c:v>42641</c:v>
                </c:pt>
                <c:pt idx="3">
                  <c:v>42642</c:v>
                </c:pt>
                <c:pt idx="4">
                  <c:v>42643</c:v>
                </c:pt>
                <c:pt idx="5">
                  <c:v>42646</c:v>
                </c:pt>
                <c:pt idx="6">
                  <c:v>42647</c:v>
                </c:pt>
                <c:pt idx="7">
                  <c:v>42648</c:v>
                </c:pt>
                <c:pt idx="8">
                  <c:v>42649</c:v>
                </c:pt>
                <c:pt idx="9">
                  <c:v>42650</c:v>
                </c:pt>
                <c:pt idx="10">
                  <c:v>42653</c:v>
                </c:pt>
                <c:pt idx="11">
                  <c:v>42654</c:v>
                </c:pt>
                <c:pt idx="12">
                  <c:v>42655</c:v>
                </c:pt>
                <c:pt idx="13">
                  <c:v>42656</c:v>
                </c:pt>
                <c:pt idx="14">
                  <c:v>42657</c:v>
                </c:pt>
                <c:pt idx="15">
                  <c:v>42660</c:v>
                </c:pt>
                <c:pt idx="16">
                  <c:v>42661</c:v>
                </c:pt>
                <c:pt idx="17">
                  <c:v>42662</c:v>
                </c:pt>
                <c:pt idx="18">
                  <c:v>42663</c:v>
                </c:pt>
                <c:pt idx="19">
                  <c:v>42664</c:v>
                </c:pt>
                <c:pt idx="20">
                  <c:v>42667</c:v>
                </c:pt>
                <c:pt idx="21">
                  <c:v>42668</c:v>
                </c:pt>
                <c:pt idx="22">
                  <c:v>42669</c:v>
                </c:pt>
                <c:pt idx="23">
                  <c:v>42670</c:v>
                </c:pt>
                <c:pt idx="24">
                  <c:v>42671</c:v>
                </c:pt>
                <c:pt idx="25">
                  <c:v>42674</c:v>
                </c:pt>
                <c:pt idx="26">
                  <c:v>42675</c:v>
                </c:pt>
                <c:pt idx="27">
                  <c:v>42677</c:v>
                </c:pt>
                <c:pt idx="28">
                  <c:v>42678</c:v>
                </c:pt>
                <c:pt idx="29">
                  <c:v>42681</c:v>
                </c:pt>
                <c:pt idx="30">
                  <c:v>42682</c:v>
                </c:pt>
                <c:pt idx="31">
                  <c:v>42683</c:v>
                </c:pt>
                <c:pt idx="32">
                  <c:v>42684</c:v>
                </c:pt>
                <c:pt idx="33">
                  <c:v>42685</c:v>
                </c:pt>
                <c:pt idx="34">
                  <c:v>42688</c:v>
                </c:pt>
                <c:pt idx="35">
                  <c:v>42689</c:v>
                </c:pt>
                <c:pt idx="36">
                  <c:v>42690</c:v>
                </c:pt>
                <c:pt idx="37">
                  <c:v>42691</c:v>
                </c:pt>
                <c:pt idx="38">
                  <c:v>42692</c:v>
                </c:pt>
                <c:pt idx="39">
                  <c:v>42696</c:v>
                </c:pt>
                <c:pt idx="40">
                  <c:v>42697</c:v>
                </c:pt>
                <c:pt idx="41">
                  <c:v>42698</c:v>
                </c:pt>
                <c:pt idx="42">
                  <c:v>42699</c:v>
                </c:pt>
                <c:pt idx="43">
                  <c:v>42702</c:v>
                </c:pt>
                <c:pt idx="44">
                  <c:v>42703</c:v>
                </c:pt>
                <c:pt idx="45">
                  <c:v>42704</c:v>
                </c:pt>
                <c:pt idx="46">
                  <c:v>42705</c:v>
                </c:pt>
                <c:pt idx="47">
                  <c:v>42706</c:v>
                </c:pt>
                <c:pt idx="48">
                  <c:v>42709</c:v>
                </c:pt>
                <c:pt idx="49">
                  <c:v>42710</c:v>
                </c:pt>
                <c:pt idx="50">
                  <c:v>42711</c:v>
                </c:pt>
                <c:pt idx="51">
                  <c:v>42712</c:v>
                </c:pt>
                <c:pt idx="52">
                  <c:v>42713</c:v>
                </c:pt>
                <c:pt idx="53">
                  <c:v>42717</c:v>
                </c:pt>
                <c:pt idx="54">
                  <c:v>42718</c:v>
                </c:pt>
                <c:pt idx="55">
                  <c:v>42719</c:v>
                </c:pt>
                <c:pt idx="56">
                  <c:v>42720</c:v>
                </c:pt>
                <c:pt idx="57">
                  <c:v>42723</c:v>
                </c:pt>
                <c:pt idx="58">
                  <c:v>42724</c:v>
                </c:pt>
                <c:pt idx="59">
                  <c:v>42725</c:v>
                </c:pt>
                <c:pt idx="60">
                  <c:v>42726</c:v>
                </c:pt>
                <c:pt idx="61">
                  <c:v>42727</c:v>
                </c:pt>
                <c:pt idx="62">
                  <c:v>42730</c:v>
                </c:pt>
                <c:pt idx="63">
                  <c:v>42731</c:v>
                </c:pt>
                <c:pt idx="64">
                  <c:v>42732</c:v>
                </c:pt>
                <c:pt idx="65">
                  <c:v>42733</c:v>
                </c:pt>
                <c:pt idx="66">
                  <c:v>42734</c:v>
                </c:pt>
                <c:pt idx="67">
                  <c:v>42737</c:v>
                </c:pt>
                <c:pt idx="68">
                  <c:v>42738</c:v>
                </c:pt>
                <c:pt idx="69">
                  <c:v>42739</c:v>
                </c:pt>
                <c:pt idx="70">
                  <c:v>42740</c:v>
                </c:pt>
                <c:pt idx="71">
                  <c:v>42741</c:v>
                </c:pt>
                <c:pt idx="72">
                  <c:v>42744</c:v>
                </c:pt>
                <c:pt idx="73">
                  <c:v>42745</c:v>
                </c:pt>
                <c:pt idx="74">
                  <c:v>42746</c:v>
                </c:pt>
                <c:pt idx="75">
                  <c:v>42747</c:v>
                </c:pt>
                <c:pt idx="76">
                  <c:v>42748</c:v>
                </c:pt>
                <c:pt idx="77">
                  <c:v>42751</c:v>
                </c:pt>
                <c:pt idx="78">
                  <c:v>42752</c:v>
                </c:pt>
                <c:pt idx="79">
                  <c:v>42753</c:v>
                </c:pt>
                <c:pt idx="80">
                  <c:v>42754</c:v>
                </c:pt>
                <c:pt idx="81">
                  <c:v>42755</c:v>
                </c:pt>
                <c:pt idx="82">
                  <c:v>42758</c:v>
                </c:pt>
                <c:pt idx="83">
                  <c:v>42759</c:v>
                </c:pt>
                <c:pt idx="84">
                  <c:v>42760</c:v>
                </c:pt>
                <c:pt idx="85">
                  <c:v>42761</c:v>
                </c:pt>
                <c:pt idx="86">
                  <c:v>42762</c:v>
                </c:pt>
                <c:pt idx="87">
                  <c:v>42765</c:v>
                </c:pt>
                <c:pt idx="88">
                  <c:v>42766</c:v>
                </c:pt>
                <c:pt idx="89">
                  <c:v>42767</c:v>
                </c:pt>
                <c:pt idx="90">
                  <c:v>42768</c:v>
                </c:pt>
                <c:pt idx="91">
                  <c:v>42769</c:v>
                </c:pt>
                <c:pt idx="92">
                  <c:v>42773</c:v>
                </c:pt>
                <c:pt idx="93">
                  <c:v>42774</c:v>
                </c:pt>
                <c:pt idx="94">
                  <c:v>42775</c:v>
                </c:pt>
                <c:pt idx="95">
                  <c:v>42776</c:v>
                </c:pt>
                <c:pt idx="96">
                  <c:v>42779</c:v>
                </c:pt>
                <c:pt idx="97">
                  <c:v>42780</c:v>
                </c:pt>
                <c:pt idx="98">
                  <c:v>42781</c:v>
                </c:pt>
                <c:pt idx="99">
                  <c:v>42782</c:v>
                </c:pt>
                <c:pt idx="100">
                  <c:v>42783</c:v>
                </c:pt>
                <c:pt idx="101">
                  <c:v>42786</c:v>
                </c:pt>
                <c:pt idx="102">
                  <c:v>42787</c:v>
                </c:pt>
                <c:pt idx="103">
                  <c:v>42788</c:v>
                </c:pt>
                <c:pt idx="104">
                  <c:v>42789</c:v>
                </c:pt>
                <c:pt idx="105">
                  <c:v>42790</c:v>
                </c:pt>
                <c:pt idx="106">
                  <c:v>42793</c:v>
                </c:pt>
                <c:pt idx="107">
                  <c:v>42794</c:v>
                </c:pt>
                <c:pt idx="108">
                  <c:v>42795</c:v>
                </c:pt>
                <c:pt idx="109">
                  <c:v>42796</c:v>
                </c:pt>
                <c:pt idx="110">
                  <c:v>42797</c:v>
                </c:pt>
                <c:pt idx="111">
                  <c:v>42800</c:v>
                </c:pt>
                <c:pt idx="112">
                  <c:v>42801</c:v>
                </c:pt>
                <c:pt idx="113">
                  <c:v>42802</c:v>
                </c:pt>
                <c:pt idx="114">
                  <c:v>42803</c:v>
                </c:pt>
                <c:pt idx="115">
                  <c:v>42804</c:v>
                </c:pt>
                <c:pt idx="116">
                  <c:v>42807</c:v>
                </c:pt>
                <c:pt idx="117">
                  <c:v>42808</c:v>
                </c:pt>
                <c:pt idx="118">
                  <c:v>42809</c:v>
                </c:pt>
                <c:pt idx="119">
                  <c:v>42810</c:v>
                </c:pt>
                <c:pt idx="120">
                  <c:v>42811</c:v>
                </c:pt>
                <c:pt idx="121">
                  <c:v>42815</c:v>
                </c:pt>
                <c:pt idx="122">
                  <c:v>42816</c:v>
                </c:pt>
                <c:pt idx="123">
                  <c:v>42817</c:v>
                </c:pt>
                <c:pt idx="124">
                  <c:v>42818</c:v>
                </c:pt>
                <c:pt idx="125">
                  <c:v>42821</c:v>
                </c:pt>
                <c:pt idx="126">
                  <c:v>42822</c:v>
                </c:pt>
                <c:pt idx="127">
                  <c:v>42823</c:v>
                </c:pt>
                <c:pt idx="128">
                  <c:v>42824</c:v>
                </c:pt>
                <c:pt idx="129">
                  <c:v>42825</c:v>
                </c:pt>
                <c:pt idx="130">
                  <c:v>42828</c:v>
                </c:pt>
                <c:pt idx="131">
                  <c:v>42829</c:v>
                </c:pt>
                <c:pt idx="132">
                  <c:v>42830</c:v>
                </c:pt>
                <c:pt idx="133">
                  <c:v>42831</c:v>
                </c:pt>
                <c:pt idx="134">
                  <c:v>42832</c:v>
                </c:pt>
                <c:pt idx="135">
                  <c:v>42835</c:v>
                </c:pt>
                <c:pt idx="136">
                  <c:v>42836</c:v>
                </c:pt>
                <c:pt idx="137">
                  <c:v>42837</c:v>
                </c:pt>
                <c:pt idx="138">
                  <c:v>42842</c:v>
                </c:pt>
                <c:pt idx="139">
                  <c:v>42843</c:v>
                </c:pt>
                <c:pt idx="140">
                  <c:v>42844</c:v>
                </c:pt>
                <c:pt idx="141">
                  <c:v>42845</c:v>
                </c:pt>
                <c:pt idx="142">
                  <c:v>42846</c:v>
                </c:pt>
                <c:pt idx="143">
                  <c:v>42849</c:v>
                </c:pt>
                <c:pt idx="144">
                  <c:v>42850</c:v>
                </c:pt>
                <c:pt idx="145">
                  <c:v>42851</c:v>
                </c:pt>
                <c:pt idx="146">
                  <c:v>42852</c:v>
                </c:pt>
                <c:pt idx="147">
                  <c:v>42853</c:v>
                </c:pt>
                <c:pt idx="148">
                  <c:v>42857</c:v>
                </c:pt>
                <c:pt idx="149">
                  <c:v>42858</c:v>
                </c:pt>
                <c:pt idx="150">
                  <c:v>42859</c:v>
                </c:pt>
                <c:pt idx="151">
                  <c:v>42860</c:v>
                </c:pt>
                <c:pt idx="152">
                  <c:v>42863</c:v>
                </c:pt>
                <c:pt idx="153">
                  <c:v>42864</c:v>
                </c:pt>
                <c:pt idx="154">
                  <c:v>42865</c:v>
                </c:pt>
                <c:pt idx="155">
                  <c:v>42866</c:v>
                </c:pt>
                <c:pt idx="156">
                  <c:v>42867</c:v>
                </c:pt>
                <c:pt idx="157">
                  <c:v>42870</c:v>
                </c:pt>
                <c:pt idx="158">
                  <c:v>42871</c:v>
                </c:pt>
                <c:pt idx="159">
                  <c:v>42872</c:v>
                </c:pt>
                <c:pt idx="160">
                  <c:v>42873</c:v>
                </c:pt>
                <c:pt idx="161">
                  <c:v>42874</c:v>
                </c:pt>
                <c:pt idx="162">
                  <c:v>42877</c:v>
                </c:pt>
                <c:pt idx="163">
                  <c:v>42878</c:v>
                </c:pt>
                <c:pt idx="164">
                  <c:v>42879</c:v>
                </c:pt>
                <c:pt idx="165">
                  <c:v>42880</c:v>
                </c:pt>
                <c:pt idx="166">
                  <c:v>42881</c:v>
                </c:pt>
                <c:pt idx="167">
                  <c:v>42884</c:v>
                </c:pt>
                <c:pt idx="168">
                  <c:v>42885</c:v>
                </c:pt>
                <c:pt idx="169">
                  <c:v>42886</c:v>
                </c:pt>
                <c:pt idx="170">
                  <c:v>42887</c:v>
                </c:pt>
                <c:pt idx="171">
                  <c:v>42888</c:v>
                </c:pt>
                <c:pt idx="172">
                  <c:v>42891</c:v>
                </c:pt>
                <c:pt idx="173">
                  <c:v>42892</c:v>
                </c:pt>
                <c:pt idx="174">
                  <c:v>42893</c:v>
                </c:pt>
                <c:pt idx="175">
                  <c:v>42894</c:v>
                </c:pt>
                <c:pt idx="176">
                  <c:v>42895</c:v>
                </c:pt>
                <c:pt idx="177">
                  <c:v>42898</c:v>
                </c:pt>
                <c:pt idx="178">
                  <c:v>42899</c:v>
                </c:pt>
                <c:pt idx="179">
                  <c:v>42900</c:v>
                </c:pt>
                <c:pt idx="180">
                  <c:v>42901</c:v>
                </c:pt>
                <c:pt idx="181">
                  <c:v>42902</c:v>
                </c:pt>
                <c:pt idx="182">
                  <c:v>42905</c:v>
                </c:pt>
                <c:pt idx="183">
                  <c:v>42906</c:v>
                </c:pt>
                <c:pt idx="184">
                  <c:v>42907</c:v>
                </c:pt>
                <c:pt idx="185">
                  <c:v>42908</c:v>
                </c:pt>
                <c:pt idx="186">
                  <c:v>42909</c:v>
                </c:pt>
                <c:pt idx="187">
                  <c:v>42912</c:v>
                </c:pt>
                <c:pt idx="188">
                  <c:v>42913</c:v>
                </c:pt>
                <c:pt idx="189">
                  <c:v>42914</c:v>
                </c:pt>
                <c:pt idx="190">
                  <c:v>42915</c:v>
                </c:pt>
                <c:pt idx="191">
                  <c:v>42916</c:v>
                </c:pt>
                <c:pt idx="192">
                  <c:v>42919</c:v>
                </c:pt>
                <c:pt idx="193">
                  <c:v>42920</c:v>
                </c:pt>
                <c:pt idx="194">
                  <c:v>42921</c:v>
                </c:pt>
                <c:pt idx="195">
                  <c:v>42922</c:v>
                </c:pt>
                <c:pt idx="196">
                  <c:v>42923</c:v>
                </c:pt>
                <c:pt idx="197">
                  <c:v>42926</c:v>
                </c:pt>
                <c:pt idx="198">
                  <c:v>42927</c:v>
                </c:pt>
                <c:pt idx="199">
                  <c:v>42928</c:v>
                </c:pt>
                <c:pt idx="200">
                  <c:v>42929</c:v>
                </c:pt>
                <c:pt idx="201">
                  <c:v>42930</c:v>
                </c:pt>
                <c:pt idx="202">
                  <c:v>42933</c:v>
                </c:pt>
                <c:pt idx="203">
                  <c:v>42934</c:v>
                </c:pt>
                <c:pt idx="204">
                  <c:v>42935</c:v>
                </c:pt>
                <c:pt idx="205">
                  <c:v>42936</c:v>
                </c:pt>
                <c:pt idx="206">
                  <c:v>42937</c:v>
                </c:pt>
                <c:pt idx="207">
                  <c:v>42940</c:v>
                </c:pt>
                <c:pt idx="208">
                  <c:v>42941</c:v>
                </c:pt>
                <c:pt idx="209">
                  <c:v>42942</c:v>
                </c:pt>
                <c:pt idx="210">
                  <c:v>42943</c:v>
                </c:pt>
                <c:pt idx="211">
                  <c:v>42944</c:v>
                </c:pt>
                <c:pt idx="212">
                  <c:v>42947</c:v>
                </c:pt>
                <c:pt idx="213">
                  <c:v>42948</c:v>
                </c:pt>
                <c:pt idx="214">
                  <c:v>42949</c:v>
                </c:pt>
                <c:pt idx="215">
                  <c:v>42950</c:v>
                </c:pt>
                <c:pt idx="216">
                  <c:v>42951</c:v>
                </c:pt>
                <c:pt idx="217">
                  <c:v>42954</c:v>
                </c:pt>
                <c:pt idx="218">
                  <c:v>42955</c:v>
                </c:pt>
                <c:pt idx="219">
                  <c:v>42956</c:v>
                </c:pt>
                <c:pt idx="220">
                  <c:v>42957</c:v>
                </c:pt>
                <c:pt idx="221">
                  <c:v>42958</c:v>
                </c:pt>
                <c:pt idx="222">
                  <c:v>42961</c:v>
                </c:pt>
                <c:pt idx="223">
                  <c:v>42962</c:v>
                </c:pt>
                <c:pt idx="224">
                  <c:v>42963</c:v>
                </c:pt>
                <c:pt idx="225">
                  <c:v>42964</c:v>
                </c:pt>
                <c:pt idx="226">
                  <c:v>42965</c:v>
                </c:pt>
                <c:pt idx="227">
                  <c:v>42968</c:v>
                </c:pt>
                <c:pt idx="228">
                  <c:v>42969</c:v>
                </c:pt>
                <c:pt idx="229">
                  <c:v>42970</c:v>
                </c:pt>
                <c:pt idx="230">
                  <c:v>42971</c:v>
                </c:pt>
                <c:pt idx="231">
                  <c:v>42972</c:v>
                </c:pt>
                <c:pt idx="232">
                  <c:v>42975</c:v>
                </c:pt>
                <c:pt idx="233">
                  <c:v>42976</c:v>
                </c:pt>
                <c:pt idx="234">
                  <c:v>42977</c:v>
                </c:pt>
                <c:pt idx="235">
                  <c:v>42978</c:v>
                </c:pt>
                <c:pt idx="236">
                  <c:v>42979</c:v>
                </c:pt>
                <c:pt idx="237">
                  <c:v>42982</c:v>
                </c:pt>
                <c:pt idx="238">
                  <c:v>42983</c:v>
                </c:pt>
                <c:pt idx="239">
                  <c:v>42984</c:v>
                </c:pt>
                <c:pt idx="240">
                  <c:v>42985</c:v>
                </c:pt>
                <c:pt idx="241">
                  <c:v>42986</c:v>
                </c:pt>
                <c:pt idx="242">
                  <c:v>42989</c:v>
                </c:pt>
                <c:pt idx="243">
                  <c:v>42990</c:v>
                </c:pt>
                <c:pt idx="244">
                  <c:v>42991</c:v>
                </c:pt>
                <c:pt idx="245">
                  <c:v>42992</c:v>
                </c:pt>
                <c:pt idx="246">
                  <c:v>42993</c:v>
                </c:pt>
                <c:pt idx="247">
                  <c:v>42996</c:v>
                </c:pt>
                <c:pt idx="248">
                  <c:v>42997</c:v>
                </c:pt>
                <c:pt idx="249">
                  <c:v>42998</c:v>
                </c:pt>
                <c:pt idx="250">
                  <c:v>42999</c:v>
                </c:pt>
                <c:pt idx="251">
                  <c:v>43000</c:v>
                </c:pt>
                <c:pt idx="252">
                  <c:v>43003</c:v>
                </c:pt>
                <c:pt idx="253">
                  <c:v>43004</c:v>
                </c:pt>
                <c:pt idx="254">
                  <c:v>43005</c:v>
                </c:pt>
                <c:pt idx="255">
                  <c:v>43006</c:v>
                </c:pt>
                <c:pt idx="256">
                  <c:v>43007</c:v>
                </c:pt>
                <c:pt idx="257">
                  <c:v>43010</c:v>
                </c:pt>
                <c:pt idx="258">
                  <c:v>43011</c:v>
                </c:pt>
                <c:pt idx="259">
                  <c:v>43012</c:v>
                </c:pt>
                <c:pt idx="260">
                  <c:v>43013</c:v>
                </c:pt>
                <c:pt idx="261">
                  <c:v>43014</c:v>
                </c:pt>
                <c:pt idx="262">
                  <c:v>43017</c:v>
                </c:pt>
                <c:pt idx="263">
                  <c:v>43018</c:v>
                </c:pt>
                <c:pt idx="264">
                  <c:v>43019</c:v>
                </c:pt>
                <c:pt idx="265">
                  <c:v>43020</c:v>
                </c:pt>
                <c:pt idx="266">
                  <c:v>43021</c:v>
                </c:pt>
                <c:pt idx="267">
                  <c:v>43024</c:v>
                </c:pt>
                <c:pt idx="268">
                  <c:v>43025</c:v>
                </c:pt>
                <c:pt idx="269">
                  <c:v>43026</c:v>
                </c:pt>
                <c:pt idx="270">
                  <c:v>43027</c:v>
                </c:pt>
                <c:pt idx="271">
                  <c:v>43028</c:v>
                </c:pt>
                <c:pt idx="272">
                  <c:v>43031</c:v>
                </c:pt>
                <c:pt idx="273">
                  <c:v>43032</c:v>
                </c:pt>
                <c:pt idx="274">
                  <c:v>43033</c:v>
                </c:pt>
                <c:pt idx="275">
                  <c:v>43034</c:v>
                </c:pt>
                <c:pt idx="276">
                  <c:v>43035</c:v>
                </c:pt>
                <c:pt idx="277">
                  <c:v>43038</c:v>
                </c:pt>
                <c:pt idx="278">
                  <c:v>43039</c:v>
                </c:pt>
                <c:pt idx="279">
                  <c:v>43040</c:v>
                </c:pt>
                <c:pt idx="280">
                  <c:v>43042</c:v>
                </c:pt>
                <c:pt idx="281">
                  <c:v>43045</c:v>
                </c:pt>
                <c:pt idx="282">
                  <c:v>43046</c:v>
                </c:pt>
                <c:pt idx="283">
                  <c:v>43047</c:v>
                </c:pt>
                <c:pt idx="284">
                  <c:v>43048</c:v>
                </c:pt>
                <c:pt idx="285">
                  <c:v>43049</c:v>
                </c:pt>
                <c:pt idx="286">
                  <c:v>43052</c:v>
                </c:pt>
                <c:pt idx="287">
                  <c:v>43053</c:v>
                </c:pt>
                <c:pt idx="288">
                  <c:v>43054</c:v>
                </c:pt>
                <c:pt idx="289">
                  <c:v>43055</c:v>
                </c:pt>
                <c:pt idx="290">
                  <c:v>43056</c:v>
                </c:pt>
                <c:pt idx="291">
                  <c:v>43060</c:v>
                </c:pt>
                <c:pt idx="292">
                  <c:v>43061</c:v>
                </c:pt>
                <c:pt idx="293">
                  <c:v>43062</c:v>
                </c:pt>
                <c:pt idx="294">
                  <c:v>43063</c:v>
                </c:pt>
                <c:pt idx="295">
                  <c:v>43066</c:v>
                </c:pt>
                <c:pt idx="296">
                  <c:v>43067</c:v>
                </c:pt>
                <c:pt idx="297">
                  <c:v>43068</c:v>
                </c:pt>
                <c:pt idx="298">
                  <c:v>43069</c:v>
                </c:pt>
                <c:pt idx="299">
                  <c:v>43070</c:v>
                </c:pt>
                <c:pt idx="300">
                  <c:v>43073</c:v>
                </c:pt>
                <c:pt idx="301">
                  <c:v>43074</c:v>
                </c:pt>
                <c:pt idx="302">
                  <c:v>43075</c:v>
                </c:pt>
                <c:pt idx="303">
                  <c:v>43076</c:v>
                </c:pt>
                <c:pt idx="304">
                  <c:v>43077</c:v>
                </c:pt>
                <c:pt idx="305">
                  <c:v>43080</c:v>
                </c:pt>
                <c:pt idx="306">
                  <c:v>43082</c:v>
                </c:pt>
                <c:pt idx="307">
                  <c:v>43083</c:v>
                </c:pt>
                <c:pt idx="308">
                  <c:v>43084</c:v>
                </c:pt>
                <c:pt idx="309">
                  <c:v>43087</c:v>
                </c:pt>
                <c:pt idx="310">
                  <c:v>43088</c:v>
                </c:pt>
                <c:pt idx="311">
                  <c:v>43089</c:v>
                </c:pt>
                <c:pt idx="312">
                  <c:v>43090</c:v>
                </c:pt>
                <c:pt idx="313">
                  <c:v>43091</c:v>
                </c:pt>
                <c:pt idx="314">
                  <c:v>43095</c:v>
                </c:pt>
                <c:pt idx="315">
                  <c:v>43096</c:v>
                </c:pt>
                <c:pt idx="316">
                  <c:v>43097</c:v>
                </c:pt>
                <c:pt idx="317">
                  <c:v>43098</c:v>
                </c:pt>
                <c:pt idx="318">
                  <c:v>43102</c:v>
                </c:pt>
                <c:pt idx="319">
                  <c:v>43103</c:v>
                </c:pt>
                <c:pt idx="320">
                  <c:v>43104</c:v>
                </c:pt>
                <c:pt idx="321">
                  <c:v>43105</c:v>
                </c:pt>
                <c:pt idx="322">
                  <c:v>43108</c:v>
                </c:pt>
                <c:pt idx="323">
                  <c:v>43109</c:v>
                </c:pt>
                <c:pt idx="324">
                  <c:v>43110</c:v>
                </c:pt>
                <c:pt idx="325">
                  <c:v>43111</c:v>
                </c:pt>
                <c:pt idx="326">
                  <c:v>43112</c:v>
                </c:pt>
                <c:pt idx="327">
                  <c:v>43115</c:v>
                </c:pt>
                <c:pt idx="328">
                  <c:v>43116</c:v>
                </c:pt>
                <c:pt idx="329">
                  <c:v>43117</c:v>
                </c:pt>
                <c:pt idx="330">
                  <c:v>43118</c:v>
                </c:pt>
                <c:pt idx="331">
                  <c:v>43119</c:v>
                </c:pt>
                <c:pt idx="332">
                  <c:v>43122</c:v>
                </c:pt>
                <c:pt idx="333">
                  <c:v>43123</c:v>
                </c:pt>
                <c:pt idx="334">
                  <c:v>43124</c:v>
                </c:pt>
                <c:pt idx="335">
                  <c:v>43125</c:v>
                </c:pt>
                <c:pt idx="336">
                  <c:v>43126</c:v>
                </c:pt>
                <c:pt idx="337">
                  <c:v>43129</c:v>
                </c:pt>
                <c:pt idx="338">
                  <c:v>43130</c:v>
                </c:pt>
                <c:pt idx="339">
                  <c:v>43131</c:v>
                </c:pt>
                <c:pt idx="340">
                  <c:v>43132</c:v>
                </c:pt>
                <c:pt idx="341">
                  <c:v>43133</c:v>
                </c:pt>
                <c:pt idx="342">
                  <c:v>43137</c:v>
                </c:pt>
                <c:pt idx="343">
                  <c:v>43138</c:v>
                </c:pt>
                <c:pt idx="344">
                  <c:v>43139</c:v>
                </c:pt>
                <c:pt idx="345">
                  <c:v>43140</c:v>
                </c:pt>
                <c:pt idx="346">
                  <c:v>43143</c:v>
                </c:pt>
                <c:pt idx="347">
                  <c:v>43144</c:v>
                </c:pt>
                <c:pt idx="348">
                  <c:v>43145</c:v>
                </c:pt>
                <c:pt idx="349">
                  <c:v>43146</c:v>
                </c:pt>
                <c:pt idx="350">
                  <c:v>43147</c:v>
                </c:pt>
                <c:pt idx="351">
                  <c:v>43150</c:v>
                </c:pt>
                <c:pt idx="352">
                  <c:v>43151</c:v>
                </c:pt>
                <c:pt idx="353">
                  <c:v>43152</c:v>
                </c:pt>
                <c:pt idx="354">
                  <c:v>43153</c:v>
                </c:pt>
                <c:pt idx="355">
                  <c:v>43154</c:v>
                </c:pt>
                <c:pt idx="356">
                  <c:v>43157</c:v>
                </c:pt>
                <c:pt idx="357">
                  <c:v>43158</c:v>
                </c:pt>
                <c:pt idx="358">
                  <c:v>43159</c:v>
                </c:pt>
                <c:pt idx="359">
                  <c:v>43160</c:v>
                </c:pt>
                <c:pt idx="360">
                  <c:v>43161</c:v>
                </c:pt>
                <c:pt idx="361">
                  <c:v>43164</c:v>
                </c:pt>
                <c:pt idx="362">
                  <c:v>43165</c:v>
                </c:pt>
                <c:pt idx="363">
                  <c:v>43166</c:v>
                </c:pt>
                <c:pt idx="364">
                  <c:v>43167</c:v>
                </c:pt>
                <c:pt idx="365">
                  <c:v>43168</c:v>
                </c:pt>
                <c:pt idx="366">
                  <c:v>43171</c:v>
                </c:pt>
                <c:pt idx="367">
                  <c:v>43172</c:v>
                </c:pt>
                <c:pt idx="368">
                  <c:v>43173</c:v>
                </c:pt>
                <c:pt idx="369">
                  <c:v>43174</c:v>
                </c:pt>
                <c:pt idx="370">
                  <c:v>43175</c:v>
                </c:pt>
                <c:pt idx="371">
                  <c:v>43179</c:v>
                </c:pt>
                <c:pt idx="372">
                  <c:v>43180</c:v>
                </c:pt>
                <c:pt idx="373">
                  <c:v>43181</c:v>
                </c:pt>
                <c:pt idx="374">
                  <c:v>43182</c:v>
                </c:pt>
                <c:pt idx="375">
                  <c:v>43185</c:v>
                </c:pt>
                <c:pt idx="376">
                  <c:v>43186</c:v>
                </c:pt>
                <c:pt idx="377">
                  <c:v>43187</c:v>
                </c:pt>
                <c:pt idx="378">
                  <c:v>43192</c:v>
                </c:pt>
                <c:pt idx="379">
                  <c:v>43193</c:v>
                </c:pt>
                <c:pt idx="380">
                  <c:v>43194</c:v>
                </c:pt>
                <c:pt idx="381">
                  <c:v>43195</c:v>
                </c:pt>
                <c:pt idx="382">
                  <c:v>43196</c:v>
                </c:pt>
                <c:pt idx="383">
                  <c:v>43199</c:v>
                </c:pt>
                <c:pt idx="384">
                  <c:v>43200</c:v>
                </c:pt>
                <c:pt idx="385">
                  <c:v>43201</c:v>
                </c:pt>
                <c:pt idx="386">
                  <c:v>43202</c:v>
                </c:pt>
                <c:pt idx="387">
                  <c:v>43203</c:v>
                </c:pt>
                <c:pt idx="388">
                  <c:v>43206</c:v>
                </c:pt>
                <c:pt idx="389">
                  <c:v>43207</c:v>
                </c:pt>
                <c:pt idx="390">
                  <c:v>43208</c:v>
                </c:pt>
                <c:pt idx="391">
                  <c:v>43209</c:v>
                </c:pt>
                <c:pt idx="392">
                  <c:v>43210</c:v>
                </c:pt>
                <c:pt idx="393">
                  <c:v>43213</c:v>
                </c:pt>
                <c:pt idx="394">
                  <c:v>43214</c:v>
                </c:pt>
                <c:pt idx="395">
                  <c:v>43215</c:v>
                </c:pt>
                <c:pt idx="396">
                  <c:v>43216</c:v>
                </c:pt>
                <c:pt idx="397">
                  <c:v>43217</c:v>
                </c:pt>
                <c:pt idx="398">
                  <c:v>43220</c:v>
                </c:pt>
                <c:pt idx="399">
                  <c:v>43222</c:v>
                </c:pt>
                <c:pt idx="400">
                  <c:v>43223</c:v>
                </c:pt>
                <c:pt idx="401">
                  <c:v>43224</c:v>
                </c:pt>
                <c:pt idx="402">
                  <c:v>43227</c:v>
                </c:pt>
                <c:pt idx="403">
                  <c:v>43228</c:v>
                </c:pt>
                <c:pt idx="404">
                  <c:v>43229</c:v>
                </c:pt>
                <c:pt idx="405">
                  <c:v>43230</c:v>
                </c:pt>
                <c:pt idx="406">
                  <c:v>43231</c:v>
                </c:pt>
                <c:pt idx="407">
                  <c:v>43234</c:v>
                </c:pt>
                <c:pt idx="408">
                  <c:v>43235</c:v>
                </c:pt>
                <c:pt idx="409">
                  <c:v>43236</c:v>
                </c:pt>
                <c:pt idx="410">
                  <c:v>43237</c:v>
                </c:pt>
                <c:pt idx="411">
                  <c:v>43238</c:v>
                </c:pt>
                <c:pt idx="412">
                  <c:v>43241</c:v>
                </c:pt>
                <c:pt idx="413">
                  <c:v>43242</c:v>
                </c:pt>
                <c:pt idx="414">
                  <c:v>43243</c:v>
                </c:pt>
                <c:pt idx="415">
                  <c:v>43244</c:v>
                </c:pt>
                <c:pt idx="416">
                  <c:v>43245</c:v>
                </c:pt>
                <c:pt idx="417">
                  <c:v>43248</c:v>
                </c:pt>
                <c:pt idx="418">
                  <c:v>43249</c:v>
                </c:pt>
                <c:pt idx="419">
                  <c:v>43250</c:v>
                </c:pt>
                <c:pt idx="420">
                  <c:v>43251</c:v>
                </c:pt>
                <c:pt idx="421">
                  <c:v>43252</c:v>
                </c:pt>
                <c:pt idx="422">
                  <c:v>43255</c:v>
                </c:pt>
                <c:pt idx="423">
                  <c:v>43256</c:v>
                </c:pt>
                <c:pt idx="424">
                  <c:v>43257</c:v>
                </c:pt>
                <c:pt idx="425">
                  <c:v>43258</c:v>
                </c:pt>
                <c:pt idx="426">
                  <c:v>43259</c:v>
                </c:pt>
                <c:pt idx="427">
                  <c:v>43262</c:v>
                </c:pt>
                <c:pt idx="428">
                  <c:v>43263</c:v>
                </c:pt>
                <c:pt idx="429">
                  <c:v>43264</c:v>
                </c:pt>
                <c:pt idx="430">
                  <c:v>43265</c:v>
                </c:pt>
                <c:pt idx="431">
                  <c:v>43266</c:v>
                </c:pt>
                <c:pt idx="432">
                  <c:v>43269</c:v>
                </c:pt>
                <c:pt idx="433">
                  <c:v>43270</c:v>
                </c:pt>
                <c:pt idx="434">
                  <c:v>43271</c:v>
                </c:pt>
                <c:pt idx="435">
                  <c:v>43272</c:v>
                </c:pt>
                <c:pt idx="436">
                  <c:v>43273</c:v>
                </c:pt>
                <c:pt idx="437">
                  <c:v>43276</c:v>
                </c:pt>
                <c:pt idx="438">
                  <c:v>43277</c:v>
                </c:pt>
                <c:pt idx="439">
                  <c:v>43278</c:v>
                </c:pt>
                <c:pt idx="440">
                  <c:v>43279</c:v>
                </c:pt>
                <c:pt idx="441">
                  <c:v>43280</c:v>
                </c:pt>
                <c:pt idx="442">
                  <c:v>43283</c:v>
                </c:pt>
                <c:pt idx="443">
                  <c:v>43284</c:v>
                </c:pt>
                <c:pt idx="444">
                  <c:v>43285</c:v>
                </c:pt>
                <c:pt idx="445">
                  <c:v>43286</c:v>
                </c:pt>
                <c:pt idx="446">
                  <c:v>43287</c:v>
                </c:pt>
                <c:pt idx="447">
                  <c:v>43290</c:v>
                </c:pt>
                <c:pt idx="448">
                  <c:v>43291</c:v>
                </c:pt>
                <c:pt idx="449">
                  <c:v>43292</c:v>
                </c:pt>
                <c:pt idx="450">
                  <c:v>43293</c:v>
                </c:pt>
                <c:pt idx="451">
                  <c:v>43294</c:v>
                </c:pt>
                <c:pt idx="452">
                  <c:v>43297</c:v>
                </c:pt>
                <c:pt idx="453">
                  <c:v>43298</c:v>
                </c:pt>
                <c:pt idx="454">
                  <c:v>43299</c:v>
                </c:pt>
                <c:pt idx="455">
                  <c:v>43300</c:v>
                </c:pt>
                <c:pt idx="456">
                  <c:v>43301</c:v>
                </c:pt>
                <c:pt idx="457">
                  <c:v>43304</c:v>
                </c:pt>
                <c:pt idx="458">
                  <c:v>43305</c:v>
                </c:pt>
                <c:pt idx="459">
                  <c:v>43306</c:v>
                </c:pt>
                <c:pt idx="460">
                  <c:v>43307</c:v>
                </c:pt>
                <c:pt idx="461">
                  <c:v>43308</c:v>
                </c:pt>
                <c:pt idx="462">
                  <c:v>43311</c:v>
                </c:pt>
                <c:pt idx="463">
                  <c:v>43312</c:v>
                </c:pt>
                <c:pt idx="464">
                  <c:v>43313</c:v>
                </c:pt>
                <c:pt idx="465">
                  <c:v>43314</c:v>
                </c:pt>
                <c:pt idx="466">
                  <c:v>43315</c:v>
                </c:pt>
                <c:pt idx="467">
                  <c:v>43318</c:v>
                </c:pt>
                <c:pt idx="468">
                  <c:v>43319</c:v>
                </c:pt>
                <c:pt idx="469">
                  <c:v>43320</c:v>
                </c:pt>
                <c:pt idx="470">
                  <c:v>43321</c:v>
                </c:pt>
                <c:pt idx="471">
                  <c:v>43322</c:v>
                </c:pt>
                <c:pt idx="472">
                  <c:v>43325</c:v>
                </c:pt>
                <c:pt idx="473">
                  <c:v>43326</c:v>
                </c:pt>
                <c:pt idx="474">
                  <c:v>43327</c:v>
                </c:pt>
                <c:pt idx="475">
                  <c:v>43328</c:v>
                </c:pt>
                <c:pt idx="476">
                  <c:v>43329</c:v>
                </c:pt>
                <c:pt idx="477">
                  <c:v>43332</c:v>
                </c:pt>
                <c:pt idx="478">
                  <c:v>43333</c:v>
                </c:pt>
                <c:pt idx="479">
                  <c:v>43334</c:v>
                </c:pt>
                <c:pt idx="480">
                  <c:v>43335</c:v>
                </c:pt>
                <c:pt idx="481">
                  <c:v>43336</c:v>
                </c:pt>
                <c:pt idx="482">
                  <c:v>43339</c:v>
                </c:pt>
                <c:pt idx="483">
                  <c:v>43340</c:v>
                </c:pt>
                <c:pt idx="484">
                  <c:v>43341</c:v>
                </c:pt>
                <c:pt idx="485">
                  <c:v>43342</c:v>
                </c:pt>
                <c:pt idx="486">
                  <c:v>43343</c:v>
                </c:pt>
                <c:pt idx="487">
                  <c:v>43346</c:v>
                </c:pt>
                <c:pt idx="488">
                  <c:v>43347</c:v>
                </c:pt>
                <c:pt idx="489">
                  <c:v>43348</c:v>
                </c:pt>
                <c:pt idx="490">
                  <c:v>43349</c:v>
                </c:pt>
                <c:pt idx="491">
                  <c:v>43350</c:v>
                </c:pt>
                <c:pt idx="492">
                  <c:v>43353</c:v>
                </c:pt>
                <c:pt idx="493">
                  <c:v>43354</c:v>
                </c:pt>
                <c:pt idx="494">
                  <c:v>43355</c:v>
                </c:pt>
                <c:pt idx="495">
                  <c:v>43356</c:v>
                </c:pt>
                <c:pt idx="496">
                  <c:v>43357</c:v>
                </c:pt>
                <c:pt idx="497">
                  <c:v>43360</c:v>
                </c:pt>
                <c:pt idx="498">
                  <c:v>43361</c:v>
                </c:pt>
                <c:pt idx="499">
                  <c:v>43362</c:v>
                </c:pt>
                <c:pt idx="500">
                  <c:v>43363</c:v>
                </c:pt>
                <c:pt idx="501">
                  <c:v>43364</c:v>
                </c:pt>
                <c:pt idx="502">
                  <c:v>43367</c:v>
                </c:pt>
                <c:pt idx="503">
                  <c:v>43368</c:v>
                </c:pt>
                <c:pt idx="504">
                  <c:v>43369</c:v>
                </c:pt>
                <c:pt idx="505">
                  <c:v>43370</c:v>
                </c:pt>
                <c:pt idx="506">
                  <c:v>43371</c:v>
                </c:pt>
                <c:pt idx="507">
                  <c:v>43374</c:v>
                </c:pt>
                <c:pt idx="508">
                  <c:v>43375</c:v>
                </c:pt>
                <c:pt idx="509">
                  <c:v>43376</c:v>
                </c:pt>
                <c:pt idx="510">
                  <c:v>43377</c:v>
                </c:pt>
                <c:pt idx="511">
                  <c:v>43378</c:v>
                </c:pt>
                <c:pt idx="512">
                  <c:v>43381</c:v>
                </c:pt>
                <c:pt idx="513">
                  <c:v>43382</c:v>
                </c:pt>
                <c:pt idx="514">
                  <c:v>43383</c:v>
                </c:pt>
                <c:pt idx="515">
                  <c:v>43384</c:v>
                </c:pt>
                <c:pt idx="516">
                  <c:v>43385</c:v>
                </c:pt>
                <c:pt idx="517">
                  <c:v>43388</c:v>
                </c:pt>
                <c:pt idx="518">
                  <c:v>43389</c:v>
                </c:pt>
                <c:pt idx="519">
                  <c:v>43390</c:v>
                </c:pt>
                <c:pt idx="520">
                  <c:v>43391</c:v>
                </c:pt>
                <c:pt idx="521">
                  <c:v>43392</c:v>
                </c:pt>
                <c:pt idx="522">
                  <c:v>43395</c:v>
                </c:pt>
                <c:pt idx="523">
                  <c:v>43396</c:v>
                </c:pt>
                <c:pt idx="524">
                  <c:v>43397</c:v>
                </c:pt>
                <c:pt idx="525">
                  <c:v>43398</c:v>
                </c:pt>
                <c:pt idx="526">
                  <c:v>43399</c:v>
                </c:pt>
                <c:pt idx="527">
                  <c:v>43402</c:v>
                </c:pt>
                <c:pt idx="528">
                  <c:v>43403</c:v>
                </c:pt>
                <c:pt idx="529">
                  <c:v>43404</c:v>
                </c:pt>
                <c:pt idx="530">
                  <c:v>43405</c:v>
                </c:pt>
                <c:pt idx="531">
                  <c:v>43409</c:v>
                </c:pt>
                <c:pt idx="532">
                  <c:v>43410</c:v>
                </c:pt>
                <c:pt idx="533">
                  <c:v>43411</c:v>
                </c:pt>
                <c:pt idx="534">
                  <c:v>43412</c:v>
                </c:pt>
                <c:pt idx="535">
                  <c:v>43413</c:v>
                </c:pt>
                <c:pt idx="536">
                  <c:v>43416</c:v>
                </c:pt>
                <c:pt idx="537">
                  <c:v>43417</c:v>
                </c:pt>
                <c:pt idx="538">
                  <c:v>43418</c:v>
                </c:pt>
                <c:pt idx="539">
                  <c:v>43419</c:v>
                </c:pt>
                <c:pt idx="540">
                  <c:v>43420</c:v>
                </c:pt>
                <c:pt idx="541">
                  <c:v>43424</c:v>
                </c:pt>
                <c:pt idx="542">
                  <c:v>43425</c:v>
                </c:pt>
                <c:pt idx="543">
                  <c:v>43426</c:v>
                </c:pt>
                <c:pt idx="544">
                  <c:v>43427</c:v>
                </c:pt>
                <c:pt idx="545">
                  <c:v>43430</c:v>
                </c:pt>
                <c:pt idx="546">
                  <c:v>43431</c:v>
                </c:pt>
                <c:pt idx="547">
                  <c:v>43432</c:v>
                </c:pt>
                <c:pt idx="548">
                  <c:v>43433</c:v>
                </c:pt>
                <c:pt idx="549">
                  <c:v>43434</c:v>
                </c:pt>
                <c:pt idx="550">
                  <c:v>43437</c:v>
                </c:pt>
                <c:pt idx="551">
                  <c:v>43438</c:v>
                </c:pt>
                <c:pt idx="552">
                  <c:v>43439</c:v>
                </c:pt>
                <c:pt idx="553">
                  <c:v>43440</c:v>
                </c:pt>
                <c:pt idx="554">
                  <c:v>43441</c:v>
                </c:pt>
                <c:pt idx="555">
                  <c:v>43444</c:v>
                </c:pt>
                <c:pt idx="556">
                  <c:v>43445</c:v>
                </c:pt>
                <c:pt idx="557">
                  <c:v>43447</c:v>
                </c:pt>
                <c:pt idx="558">
                  <c:v>43448</c:v>
                </c:pt>
                <c:pt idx="559">
                  <c:v>43451</c:v>
                </c:pt>
                <c:pt idx="560">
                  <c:v>43452</c:v>
                </c:pt>
                <c:pt idx="561">
                  <c:v>43453</c:v>
                </c:pt>
                <c:pt idx="562">
                  <c:v>43454</c:v>
                </c:pt>
                <c:pt idx="563">
                  <c:v>43455</c:v>
                </c:pt>
                <c:pt idx="564">
                  <c:v>43458</c:v>
                </c:pt>
                <c:pt idx="565">
                  <c:v>43460</c:v>
                </c:pt>
                <c:pt idx="566">
                  <c:v>43461</c:v>
                </c:pt>
                <c:pt idx="567">
                  <c:v>43462</c:v>
                </c:pt>
                <c:pt idx="568">
                  <c:v>43465</c:v>
                </c:pt>
                <c:pt idx="569">
                  <c:v>43467</c:v>
                </c:pt>
                <c:pt idx="570">
                  <c:v>43468</c:v>
                </c:pt>
                <c:pt idx="571">
                  <c:v>43469</c:v>
                </c:pt>
                <c:pt idx="572">
                  <c:v>43472</c:v>
                </c:pt>
                <c:pt idx="573">
                  <c:v>43473</c:v>
                </c:pt>
                <c:pt idx="574">
                  <c:v>43474</c:v>
                </c:pt>
                <c:pt idx="575">
                  <c:v>43475</c:v>
                </c:pt>
                <c:pt idx="576">
                  <c:v>43476</c:v>
                </c:pt>
                <c:pt idx="577">
                  <c:v>43479</c:v>
                </c:pt>
                <c:pt idx="578">
                  <c:v>43480</c:v>
                </c:pt>
                <c:pt idx="579">
                  <c:v>43481</c:v>
                </c:pt>
                <c:pt idx="580">
                  <c:v>43482</c:v>
                </c:pt>
                <c:pt idx="581">
                  <c:v>43483</c:v>
                </c:pt>
                <c:pt idx="582">
                  <c:v>43486</c:v>
                </c:pt>
                <c:pt idx="583">
                  <c:v>43487</c:v>
                </c:pt>
                <c:pt idx="584">
                  <c:v>43488</c:v>
                </c:pt>
                <c:pt idx="585">
                  <c:v>43489</c:v>
                </c:pt>
                <c:pt idx="586">
                  <c:v>43490</c:v>
                </c:pt>
                <c:pt idx="587">
                  <c:v>43493</c:v>
                </c:pt>
                <c:pt idx="588">
                  <c:v>43494</c:v>
                </c:pt>
                <c:pt idx="589">
                  <c:v>43495</c:v>
                </c:pt>
                <c:pt idx="590">
                  <c:v>43496</c:v>
                </c:pt>
                <c:pt idx="591">
                  <c:v>43497</c:v>
                </c:pt>
                <c:pt idx="592">
                  <c:v>43501</c:v>
                </c:pt>
                <c:pt idx="593">
                  <c:v>43502</c:v>
                </c:pt>
                <c:pt idx="594">
                  <c:v>43503</c:v>
                </c:pt>
                <c:pt idx="595">
                  <c:v>43504</c:v>
                </c:pt>
                <c:pt idx="596">
                  <c:v>43507</c:v>
                </c:pt>
                <c:pt idx="597">
                  <c:v>43508</c:v>
                </c:pt>
                <c:pt idx="598">
                  <c:v>43509</c:v>
                </c:pt>
                <c:pt idx="599">
                  <c:v>43510</c:v>
                </c:pt>
                <c:pt idx="600">
                  <c:v>43511</c:v>
                </c:pt>
                <c:pt idx="601">
                  <c:v>43514</c:v>
                </c:pt>
                <c:pt idx="602">
                  <c:v>43515</c:v>
                </c:pt>
                <c:pt idx="603">
                  <c:v>43516</c:v>
                </c:pt>
                <c:pt idx="604">
                  <c:v>43517</c:v>
                </c:pt>
                <c:pt idx="605">
                  <c:v>43518</c:v>
                </c:pt>
                <c:pt idx="606">
                  <c:v>43521</c:v>
                </c:pt>
                <c:pt idx="607">
                  <c:v>43522</c:v>
                </c:pt>
                <c:pt idx="608">
                  <c:v>43523</c:v>
                </c:pt>
                <c:pt idx="609">
                  <c:v>43524</c:v>
                </c:pt>
                <c:pt idx="610">
                  <c:v>43525</c:v>
                </c:pt>
                <c:pt idx="611">
                  <c:v>43528</c:v>
                </c:pt>
                <c:pt idx="612">
                  <c:v>43529</c:v>
                </c:pt>
                <c:pt idx="613">
                  <c:v>43530</c:v>
                </c:pt>
                <c:pt idx="614">
                  <c:v>43531</c:v>
                </c:pt>
                <c:pt idx="615">
                  <c:v>43532</c:v>
                </c:pt>
                <c:pt idx="616">
                  <c:v>43535</c:v>
                </c:pt>
                <c:pt idx="617">
                  <c:v>43536</c:v>
                </c:pt>
                <c:pt idx="618">
                  <c:v>43537</c:v>
                </c:pt>
                <c:pt idx="619">
                  <c:v>43538</c:v>
                </c:pt>
                <c:pt idx="620">
                  <c:v>43539</c:v>
                </c:pt>
                <c:pt idx="621">
                  <c:v>43543</c:v>
                </c:pt>
                <c:pt idx="622">
                  <c:v>43544</c:v>
                </c:pt>
                <c:pt idx="623">
                  <c:v>43545</c:v>
                </c:pt>
                <c:pt idx="624">
                  <c:v>43546</c:v>
                </c:pt>
                <c:pt idx="625">
                  <c:v>43549</c:v>
                </c:pt>
                <c:pt idx="626">
                  <c:v>43550</c:v>
                </c:pt>
                <c:pt idx="627">
                  <c:v>43551</c:v>
                </c:pt>
                <c:pt idx="628">
                  <c:v>43552</c:v>
                </c:pt>
                <c:pt idx="629">
                  <c:v>43553</c:v>
                </c:pt>
                <c:pt idx="630">
                  <c:v>43556</c:v>
                </c:pt>
                <c:pt idx="631">
                  <c:v>43557</c:v>
                </c:pt>
                <c:pt idx="632">
                  <c:v>43558</c:v>
                </c:pt>
                <c:pt idx="633">
                  <c:v>43559</c:v>
                </c:pt>
                <c:pt idx="634">
                  <c:v>43560</c:v>
                </c:pt>
                <c:pt idx="635">
                  <c:v>43563</c:v>
                </c:pt>
                <c:pt idx="636">
                  <c:v>43564</c:v>
                </c:pt>
                <c:pt idx="637">
                  <c:v>43565</c:v>
                </c:pt>
                <c:pt idx="638">
                  <c:v>43566</c:v>
                </c:pt>
                <c:pt idx="639">
                  <c:v>43567</c:v>
                </c:pt>
                <c:pt idx="640">
                  <c:v>43570</c:v>
                </c:pt>
                <c:pt idx="641">
                  <c:v>43571</c:v>
                </c:pt>
                <c:pt idx="642">
                  <c:v>43572</c:v>
                </c:pt>
                <c:pt idx="643">
                  <c:v>43577</c:v>
                </c:pt>
                <c:pt idx="644">
                  <c:v>43578</c:v>
                </c:pt>
                <c:pt idx="645">
                  <c:v>43579</c:v>
                </c:pt>
                <c:pt idx="646">
                  <c:v>43580</c:v>
                </c:pt>
                <c:pt idx="647">
                  <c:v>43581</c:v>
                </c:pt>
                <c:pt idx="648">
                  <c:v>43584</c:v>
                </c:pt>
                <c:pt idx="649">
                  <c:v>43585</c:v>
                </c:pt>
                <c:pt idx="650">
                  <c:v>43587</c:v>
                </c:pt>
                <c:pt idx="651">
                  <c:v>43588</c:v>
                </c:pt>
                <c:pt idx="652">
                  <c:v>43591</c:v>
                </c:pt>
                <c:pt idx="653">
                  <c:v>43592</c:v>
                </c:pt>
                <c:pt idx="654">
                  <c:v>43593</c:v>
                </c:pt>
                <c:pt idx="655">
                  <c:v>43594</c:v>
                </c:pt>
                <c:pt idx="656">
                  <c:v>43595</c:v>
                </c:pt>
                <c:pt idx="657">
                  <c:v>43598</c:v>
                </c:pt>
                <c:pt idx="658">
                  <c:v>43599</c:v>
                </c:pt>
                <c:pt idx="659">
                  <c:v>43600</c:v>
                </c:pt>
                <c:pt idx="660">
                  <c:v>43601</c:v>
                </c:pt>
                <c:pt idx="661">
                  <c:v>43602</c:v>
                </c:pt>
                <c:pt idx="662">
                  <c:v>43605</c:v>
                </c:pt>
                <c:pt idx="663">
                  <c:v>43606</c:v>
                </c:pt>
                <c:pt idx="664">
                  <c:v>43607</c:v>
                </c:pt>
                <c:pt idx="665">
                  <c:v>43608</c:v>
                </c:pt>
                <c:pt idx="666">
                  <c:v>43609</c:v>
                </c:pt>
                <c:pt idx="667">
                  <c:v>43612</c:v>
                </c:pt>
                <c:pt idx="668">
                  <c:v>43613</c:v>
                </c:pt>
                <c:pt idx="669">
                  <c:v>43614</c:v>
                </c:pt>
                <c:pt idx="670">
                  <c:v>43615</c:v>
                </c:pt>
                <c:pt idx="671">
                  <c:v>43616</c:v>
                </c:pt>
                <c:pt idx="672">
                  <c:v>43619</c:v>
                </c:pt>
                <c:pt idx="673">
                  <c:v>43620</c:v>
                </c:pt>
                <c:pt idx="674">
                  <c:v>43621</c:v>
                </c:pt>
                <c:pt idx="675">
                  <c:v>43622</c:v>
                </c:pt>
                <c:pt idx="676">
                  <c:v>43623</c:v>
                </c:pt>
                <c:pt idx="677">
                  <c:v>43626</c:v>
                </c:pt>
                <c:pt idx="678">
                  <c:v>43627</c:v>
                </c:pt>
                <c:pt idx="679">
                  <c:v>43628</c:v>
                </c:pt>
                <c:pt idx="680">
                  <c:v>43629</c:v>
                </c:pt>
                <c:pt idx="681">
                  <c:v>43630</c:v>
                </c:pt>
                <c:pt idx="682">
                  <c:v>43633</c:v>
                </c:pt>
                <c:pt idx="683">
                  <c:v>43634</c:v>
                </c:pt>
                <c:pt idx="684">
                  <c:v>43635</c:v>
                </c:pt>
                <c:pt idx="685">
                  <c:v>43636</c:v>
                </c:pt>
                <c:pt idx="686">
                  <c:v>43637</c:v>
                </c:pt>
                <c:pt idx="687">
                  <c:v>43640</c:v>
                </c:pt>
                <c:pt idx="688">
                  <c:v>43641</c:v>
                </c:pt>
                <c:pt idx="689">
                  <c:v>43642</c:v>
                </c:pt>
                <c:pt idx="690">
                  <c:v>43643</c:v>
                </c:pt>
                <c:pt idx="691">
                  <c:v>43644</c:v>
                </c:pt>
                <c:pt idx="692">
                  <c:v>43647</c:v>
                </c:pt>
                <c:pt idx="693">
                  <c:v>43648</c:v>
                </c:pt>
                <c:pt idx="694">
                  <c:v>43649</c:v>
                </c:pt>
                <c:pt idx="695">
                  <c:v>43650</c:v>
                </c:pt>
                <c:pt idx="696">
                  <c:v>43651</c:v>
                </c:pt>
                <c:pt idx="697">
                  <c:v>43654</c:v>
                </c:pt>
                <c:pt idx="698">
                  <c:v>43655</c:v>
                </c:pt>
                <c:pt idx="699">
                  <c:v>43656</c:v>
                </c:pt>
                <c:pt idx="700">
                  <c:v>43657</c:v>
                </c:pt>
                <c:pt idx="701">
                  <c:v>43658</c:v>
                </c:pt>
                <c:pt idx="702">
                  <c:v>43661</c:v>
                </c:pt>
                <c:pt idx="703">
                  <c:v>43662</c:v>
                </c:pt>
                <c:pt idx="704">
                  <c:v>43663</c:v>
                </c:pt>
                <c:pt idx="705">
                  <c:v>43664</c:v>
                </c:pt>
                <c:pt idx="706">
                  <c:v>43665</c:v>
                </c:pt>
                <c:pt idx="707">
                  <c:v>43668</c:v>
                </c:pt>
                <c:pt idx="708">
                  <c:v>43669</c:v>
                </c:pt>
                <c:pt idx="709">
                  <c:v>43670</c:v>
                </c:pt>
                <c:pt idx="710">
                  <c:v>43671</c:v>
                </c:pt>
                <c:pt idx="711">
                  <c:v>43672</c:v>
                </c:pt>
                <c:pt idx="712">
                  <c:v>43675</c:v>
                </c:pt>
                <c:pt idx="713">
                  <c:v>43676</c:v>
                </c:pt>
                <c:pt idx="714">
                  <c:v>43677</c:v>
                </c:pt>
                <c:pt idx="715">
                  <c:v>43678</c:v>
                </c:pt>
                <c:pt idx="716">
                  <c:v>43679</c:v>
                </c:pt>
                <c:pt idx="717">
                  <c:v>43682</c:v>
                </c:pt>
                <c:pt idx="718">
                  <c:v>43683</c:v>
                </c:pt>
                <c:pt idx="719">
                  <c:v>43684</c:v>
                </c:pt>
                <c:pt idx="720">
                  <c:v>43685</c:v>
                </c:pt>
                <c:pt idx="721">
                  <c:v>43686</c:v>
                </c:pt>
                <c:pt idx="722">
                  <c:v>43689</c:v>
                </c:pt>
                <c:pt idx="723">
                  <c:v>43690</c:v>
                </c:pt>
                <c:pt idx="724">
                  <c:v>43691</c:v>
                </c:pt>
                <c:pt idx="725">
                  <c:v>43692</c:v>
                </c:pt>
                <c:pt idx="726">
                  <c:v>43693</c:v>
                </c:pt>
                <c:pt idx="727">
                  <c:v>43696</c:v>
                </c:pt>
                <c:pt idx="728">
                  <c:v>43697</c:v>
                </c:pt>
                <c:pt idx="729">
                  <c:v>43698</c:v>
                </c:pt>
                <c:pt idx="730">
                  <c:v>43699</c:v>
                </c:pt>
                <c:pt idx="731">
                  <c:v>43700</c:v>
                </c:pt>
                <c:pt idx="732">
                  <c:v>43703</c:v>
                </c:pt>
                <c:pt idx="733">
                  <c:v>43704</c:v>
                </c:pt>
                <c:pt idx="734">
                  <c:v>43705</c:v>
                </c:pt>
                <c:pt idx="735">
                  <c:v>43706</c:v>
                </c:pt>
                <c:pt idx="736">
                  <c:v>43707</c:v>
                </c:pt>
                <c:pt idx="737">
                  <c:v>43710</c:v>
                </c:pt>
                <c:pt idx="738">
                  <c:v>43711</c:v>
                </c:pt>
                <c:pt idx="739">
                  <c:v>43712</c:v>
                </c:pt>
                <c:pt idx="740">
                  <c:v>43713</c:v>
                </c:pt>
                <c:pt idx="741">
                  <c:v>43714</c:v>
                </c:pt>
                <c:pt idx="742">
                  <c:v>43717</c:v>
                </c:pt>
                <c:pt idx="743">
                  <c:v>43718</c:v>
                </c:pt>
                <c:pt idx="744">
                  <c:v>43719</c:v>
                </c:pt>
                <c:pt idx="745">
                  <c:v>43720</c:v>
                </c:pt>
                <c:pt idx="746">
                  <c:v>43721</c:v>
                </c:pt>
                <c:pt idx="747">
                  <c:v>43725</c:v>
                </c:pt>
                <c:pt idx="748">
                  <c:v>43726</c:v>
                </c:pt>
                <c:pt idx="749">
                  <c:v>43727</c:v>
                </c:pt>
                <c:pt idx="750">
                  <c:v>43728</c:v>
                </c:pt>
                <c:pt idx="751">
                  <c:v>43731</c:v>
                </c:pt>
                <c:pt idx="752">
                  <c:v>43732</c:v>
                </c:pt>
                <c:pt idx="753">
                  <c:v>43733</c:v>
                </c:pt>
                <c:pt idx="754">
                  <c:v>43734</c:v>
                </c:pt>
                <c:pt idx="755">
                  <c:v>43735</c:v>
                </c:pt>
                <c:pt idx="756">
                  <c:v>43738</c:v>
                </c:pt>
                <c:pt idx="757">
                  <c:v>43739</c:v>
                </c:pt>
                <c:pt idx="758">
                  <c:v>43740</c:v>
                </c:pt>
                <c:pt idx="759">
                  <c:v>43741</c:v>
                </c:pt>
                <c:pt idx="760">
                  <c:v>43742</c:v>
                </c:pt>
                <c:pt idx="761">
                  <c:v>43745</c:v>
                </c:pt>
                <c:pt idx="762">
                  <c:v>43746</c:v>
                </c:pt>
                <c:pt idx="763">
                  <c:v>43747</c:v>
                </c:pt>
                <c:pt idx="764">
                  <c:v>43748</c:v>
                </c:pt>
                <c:pt idx="765">
                  <c:v>43749</c:v>
                </c:pt>
                <c:pt idx="766">
                  <c:v>43752</c:v>
                </c:pt>
                <c:pt idx="767">
                  <c:v>43753</c:v>
                </c:pt>
                <c:pt idx="768">
                  <c:v>43754</c:v>
                </c:pt>
                <c:pt idx="769">
                  <c:v>43755</c:v>
                </c:pt>
                <c:pt idx="770">
                  <c:v>43756</c:v>
                </c:pt>
                <c:pt idx="771">
                  <c:v>43759</c:v>
                </c:pt>
                <c:pt idx="772">
                  <c:v>43760</c:v>
                </c:pt>
                <c:pt idx="773">
                  <c:v>43761</c:v>
                </c:pt>
                <c:pt idx="774">
                  <c:v>43762</c:v>
                </c:pt>
                <c:pt idx="775">
                  <c:v>43763</c:v>
                </c:pt>
                <c:pt idx="776">
                  <c:v>43766</c:v>
                </c:pt>
                <c:pt idx="777">
                  <c:v>43767</c:v>
                </c:pt>
                <c:pt idx="778">
                  <c:v>43768</c:v>
                </c:pt>
                <c:pt idx="779">
                  <c:v>43769</c:v>
                </c:pt>
                <c:pt idx="780">
                  <c:v>43770</c:v>
                </c:pt>
                <c:pt idx="781">
                  <c:v>43773</c:v>
                </c:pt>
                <c:pt idx="782">
                  <c:v>43774</c:v>
                </c:pt>
                <c:pt idx="783">
                  <c:v>43775</c:v>
                </c:pt>
                <c:pt idx="784">
                  <c:v>43776</c:v>
                </c:pt>
                <c:pt idx="785">
                  <c:v>43777</c:v>
                </c:pt>
                <c:pt idx="786">
                  <c:v>43780</c:v>
                </c:pt>
                <c:pt idx="787">
                  <c:v>43781</c:v>
                </c:pt>
                <c:pt idx="788">
                  <c:v>43782</c:v>
                </c:pt>
                <c:pt idx="789">
                  <c:v>43783</c:v>
                </c:pt>
                <c:pt idx="790">
                  <c:v>43784</c:v>
                </c:pt>
                <c:pt idx="791">
                  <c:v>43788</c:v>
                </c:pt>
                <c:pt idx="792">
                  <c:v>43789</c:v>
                </c:pt>
                <c:pt idx="793">
                  <c:v>43790</c:v>
                </c:pt>
                <c:pt idx="794">
                  <c:v>43791</c:v>
                </c:pt>
                <c:pt idx="795">
                  <c:v>43794</c:v>
                </c:pt>
                <c:pt idx="796">
                  <c:v>43795</c:v>
                </c:pt>
                <c:pt idx="797">
                  <c:v>43796</c:v>
                </c:pt>
                <c:pt idx="798">
                  <c:v>43797</c:v>
                </c:pt>
                <c:pt idx="799">
                  <c:v>43798</c:v>
                </c:pt>
                <c:pt idx="800">
                  <c:v>43801</c:v>
                </c:pt>
                <c:pt idx="801">
                  <c:v>43802</c:v>
                </c:pt>
                <c:pt idx="802">
                  <c:v>43803</c:v>
                </c:pt>
                <c:pt idx="803">
                  <c:v>43804</c:v>
                </c:pt>
                <c:pt idx="804">
                  <c:v>43805</c:v>
                </c:pt>
                <c:pt idx="805">
                  <c:v>43808</c:v>
                </c:pt>
                <c:pt idx="806">
                  <c:v>43809</c:v>
                </c:pt>
                <c:pt idx="807">
                  <c:v>43810</c:v>
                </c:pt>
                <c:pt idx="808">
                  <c:v>43812</c:v>
                </c:pt>
                <c:pt idx="809">
                  <c:v>43815</c:v>
                </c:pt>
                <c:pt idx="810">
                  <c:v>43816</c:v>
                </c:pt>
                <c:pt idx="811">
                  <c:v>43817</c:v>
                </c:pt>
                <c:pt idx="812">
                  <c:v>43818</c:v>
                </c:pt>
                <c:pt idx="813">
                  <c:v>43819</c:v>
                </c:pt>
                <c:pt idx="814">
                  <c:v>43822</c:v>
                </c:pt>
                <c:pt idx="815">
                  <c:v>43823</c:v>
                </c:pt>
                <c:pt idx="816">
                  <c:v>43825</c:v>
                </c:pt>
                <c:pt idx="817">
                  <c:v>43826</c:v>
                </c:pt>
                <c:pt idx="818">
                  <c:v>43829</c:v>
                </c:pt>
                <c:pt idx="819">
                  <c:v>43830</c:v>
                </c:pt>
                <c:pt idx="820">
                  <c:v>43832</c:v>
                </c:pt>
                <c:pt idx="821">
                  <c:v>43833</c:v>
                </c:pt>
                <c:pt idx="822">
                  <c:v>43836</c:v>
                </c:pt>
                <c:pt idx="823">
                  <c:v>43837</c:v>
                </c:pt>
                <c:pt idx="824">
                  <c:v>43838</c:v>
                </c:pt>
                <c:pt idx="825">
                  <c:v>43839</c:v>
                </c:pt>
                <c:pt idx="826">
                  <c:v>43840</c:v>
                </c:pt>
                <c:pt idx="827">
                  <c:v>43843</c:v>
                </c:pt>
                <c:pt idx="828">
                  <c:v>43844</c:v>
                </c:pt>
                <c:pt idx="829">
                  <c:v>43845</c:v>
                </c:pt>
                <c:pt idx="830">
                  <c:v>43846</c:v>
                </c:pt>
                <c:pt idx="831">
                  <c:v>43847</c:v>
                </c:pt>
                <c:pt idx="832">
                  <c:v>43850</c:v>
                </c:pt>
                <c:pt idx="833">
                  <c:v>43851</c:v>
                </c:pt>
                <c:pt idx="834">
                  <c:v>43852</c:v>
                </c:pt>
                <c:pt idx="835">
                  <c:v>43853</c:v>
                </c:pt>
                <c:pt idx="836">
                  <c:v>43854</c:v>
                </c:pt>
                <c:pt idx="837">
                  <c:v>43857</c:v>
                </c:pt>
                <c:pt idx="838">
                  <c:v>43858</c:v>
                </c:pt>
                <c:pt idx="839">
                  <c:v>43859</c:v>
                </c:pt>
                <c:pt idx="840">
                  <c:v>43860</c:v>
                </c:pt>
                <c:pt idx="841">
                  <c:v>43861</c:v>
                </c:pt>
                <c:pt idx="842">
                  <c:v>43865</c:v>
                </c:pt>
                <c:pt idx="843">
                  <c:v>43866</c:v>
                </c:pt>
                <c:pt idx="844">
                  <c:v>43867</c:v>
                </c:pt>
                <c:pt idx="845">
                  <c:v>43868</c:v>
                </c:pt>
                <c:pt idx="846">
                  <c:v>43871</c:v>
                </c:pt>
                <c:pt idx="847">
                  <c:v>43872</c:v>
                </c:pt>
                <c:pt idx="848">
                  <c:v>43873</c:v>
                </c:pt>
                <c:pt idx="849">
                  <c:v>43874</c:v>
                </c:pt>
                <c:pt idx="850">
                  <c:v>43875</c:v>
                </c:pt>
                <c:pt idx="851">
                  <c:v>43878</c:v>
                </c:pt>
                <c:pt idx="852">
                  <c:v>43879</c:v>
                </c:pt>
                <c:pt idx="853">
                  <c:v>43880</c:v>
                </c:pt>
                <c:pt idx="854">
                  <c:v>43881</c:v>
                </c:pt>
                <c:pt idx="855">
                  <c:v>43882</c:v>
                </c:pt>
                <c:pt idx="856">
                  <c:v>43885</c:v>
                </c:pt>
                <c:pt idx="857">
                  <c:v>43886</c:v>
                </c:pt>
                <c:pt idx="858">
                  <c:v>43887</c:v>
                </c:pt>
                <c:pt idx="859">
                  <c:v>43888</c:v>
                </c:pt>
                <c:pt idx="860">
                  <c:v>43889</c:v>
                </c:pt>
                <c:pt idx="861">
                  <c:v>43892</c:v>
                </c:pt>
                <c:pt idx="862">
                  <c:v>43893</c:v>
                </c:pt>
                <c:pt idx="863">
                  <c:v>43894</c:v>
                </c:pt>
                <c:pt idx="864">
                  <c:v>43895</c:v>
                </c:pt>
                <c:pt idx="865">
                  <c:v>43896</c:v>
                </c:pt>
                <c:pt idx="866">
                  <c:v>43899</c:v>
                </c:pt>
                <c:pt idx="867">
                  <c:v>43900</c:v>
                </c:pt>
                <c:pt idx="868">
                  <c:v>43901</c:v>
                </c:pt>
                <c:pt idx="869">
                  <c:v>43902</c:v>
                </c:pt>
                <c:pt idx="870">
                  <c:v>43903</c:v>
                </c:pt>
                <c:pt idx="871">
                  <c:v>43907</c:v>
                </c:pt>
                <c:pt idx="872">
                  <c:v>43908</c:v>
                </c:pt>
                <c:pt idx="873">
                  <c:v>43909</c:v>
                </c:pt>
                <c:pt idx="874">
                  <c:v>43910</c:v>
                </c:pt>
                <c:pt idx="875">
                  <c:v>43913</c:v>
                </c:pt>
                <c:pt idx="876">
                  <c:v>43914</c:v>
                </c:pt>
                <c:pt idx="877">
                  <c:v>43915</c:v>
                </c:pt>
                <c:pt idx="878">
                  <c:v>43916</c:v>
                </c:pt>
                <c:pt idx="879">
                  <c:v>43917</c:v>
                </c:pt>
                <c:pt idx="880">
                  <c:v>43920</c:v>
                </c:pt>
                <c:pt idx="881">
                  <c:v>43921</c:v>
                </c:pt>
                <c:pt idx="882">
                  <c:v>43922</c:v>
                </c:pt>
                <c:pt idx="883">
                  <c:v>43923</c:v>
                </c:pt>
                <c:pt idx="884">
                  <c:v>43924</c:v>
                </c:pt>
                <c:pt idx="885">
                  <c:v>43927</c:v>
                </c:pt>
                <c:pt idx="886">
                  <c:v>43928</c:v>
                </c:pt>
                <c:pt idx="887">
                  <c:v>43929</c:v>
                </c:pt>
                <c:pt idx="888">
                  <c:v>43934</c:v>
                </c:pt>
                <c:pt idx="889">
                  <c:v>43935</c:v>
                </c:pt>
                <c:pt idx="890">
                  <c:v>43936</c:v>
                </c:pt>
                <c:pt idx="891">
                  <c:v>43937</c:v>
                </c:pt>
                <c:pt idx="892">
                  <c:v>43938</c:v>
                </c:pt>
                <c:pt idx="893">
                  <c:v>43941</c:v>
                </c:pt>
                <c:pt idx="894">
                  <c:v>43942</c:v>
                </c:pt>
                <c:pt idx="895">
                  <c:v>43943</c:v>
                </c:pt>
                <c:pt idx="896">
                  <c:v>43944</c:v>
                </c:pt>
                <c:pt idx="897">
                  <c:v>43945</c:v>
                </c:pt>
                <c:pt idx="898">
                  <c:v>43948</c:v>
                </c:pt>
                <c:pt idx="899">
                  <c:v>43949</c:v>
                </c:pt>
                <c:pt idx="900">
                  <c:v>43950</c:v>
                </c:pt>
                <c:pt idx="901">
                  <c:v>43951</c:v>
                </c:pt>
                <c:pt idx="902">
                  <c:v>43955</c:v>
                </c:pt>
                <c:pt idx="903">
                  <c:v>43956</c:v>
                </c:pt>
                <c:pt idx="904">
                  <c:v>43957</c:v>
                </c:pt>
                <c:pt idx="905">
                  <c:v>43958</c:v>
                </c:pt>
                <c:pt idx="906">
                  <c:v>43959</c:v>
                </c:pt>
                <c:pt idx="907">
                  <c:v>43962</c:v>
                </c:pt>
                <c:pt idx="908">
                  <c:v>43963</c:v>
                </c:pt>
                <c:pt idx="909">
                  <c:v>43964</c:v>
                </c:pt>
                <c:pt idx="910">
                  <c:v>43965</c:v>
                </c:pt>
                <c:pt idx="911">
                  <c:v>43966</c:v>
                </c:pt>
                <c:pt idx="912">
                  <c:v>43969</c:v>
                </c:pt>
                <c:pt idx="913">
                  <c:v>43970</c:v>
                </c:pt>
                <c:pt idx="914">
                  <c:v>43971</c:v>
                </c:pt>
                <c:pt idx="915">
                  <c:v>43972</c:v>
                </c:pt>
                <c:pt idx="916">
                  <c:v>43973</c:v>
                </c:pt>
                <c:pt idx="917">
                  <c:v>43976</c:v>
                </c:pt>
                <c:pt idx="918">
                  <c:v>43977</c:v>
                </c:pt>
                <c:pt idx="919">
                  <c:v>43978</c:v>
                </c:pt>
                <c:pt idx="920">
                  <c:v>43979</c:v>
                </c:pt>
                <c:pt idx="921">
                  <c:v>43980</c:v>
                </c:pt>
                <c:pt idx="922">
                  <c:v>43983</c:v>
                </c:pt>
                <c:pt idx="923">
                  <c:v>43984</c:v>
                </c:pt>
                <c:pt idx="924">
                  <c:v>43985</c:v>
                </c:pt>
                <c:pt idx="925">
                  <c:v>43986</c:v>
                </c:pt>
                <c:pt idx="926">
                  <c:v>43987</c:v>
                </c:pt>
                <c:pt idx="927">
                  <c:v>43990</c:v>
                </c:pt>
                <c:pt idx="928">
                  <c:v>43991</c:v>
                </c:pt>
                <c:pt idx="929">
                  <c:v>43992</c:v>
                </c:pt>
                <c:pt idx="930">
                  <c:v>43993</c:v>
                </c:pt>
                <c:pt idx="931">
                  <c:v>43994</c:v>
                </c:pt>
                <c:pt idx="932">
                  <c:v>43997</c:v>
                </c:pt>
                <c:pt idx="933">
                  <c:v>43998</c:v>
                </c:pt>
                <c:pt idx="934">
                  <c:v>43999</c:v>
                </c:pt>
                <c:pt idx="935">
                  <c:v>44000</c:v>
                </c:pt>
                <c:pt idx="936">
                  <c:v>44001</c:v>
                </c:pt>
                <c:pt idx="937">
                  <c:v>44004</c:v>
                </c:pt>
                <c:pt idx="938">
                  <c:v>44005</c:v>
                </c:pt>
                <c:pt idx="939">
                  <c:v>44006</c:v>
                </c:pt>
                <c:pt idx="940">
                  <c:v>44007</c:v>
                </c:pt>
                <c:pt idx="941">
                  <c:v>44008</c:v>
                </c:pt>
                <c:pt idx="942">
                  <c:v>44011</c:v>
                </c:pt>
                <c:pt idx="943">
                  <c:v>44012</c:v>
                </c:pt>
                <c:pt idx="944">
                  <c:v>44013</c:v>
                </c:pt>
                <c:pt idx="945">
                  <c:v>44014</c:v>
                </c:pt>
                <c:pt idx="946">
                  <c:v>44015</c:v>
                </c:pt>
                <c:pt idx="947">
                  <c:v>44018</c:v>
                </c:pt>
                <c:pt idx="948">
                  <c:v>44019</c:v>
                </c:pt>
                <c:pt idx="949">
                  <c:v>44020</c:v>
                </c:pt>
                <c:pt idx="950">
                  <c:v>44021</c:v>
                </c:pt>
                <c:pt idx="951">
                  <c:v>44022</c:v>
                </c:pt>
                <c:pt idx="952">
                  <c:v>44025</c:v>
                </c:pt>
                <c:pt idx="953">
                  <c:v>44026</c:v>
                </c:pt>
                <c:pt idx="954">
                  <c:v>44027</c:v>
                </c:pt>
                <c:pt idx="955">
                  <c:v>44028</c:v>
                </c:pt>
                <c:pt idx="956">
                  <c:v>44029</c:v>
                </c:pt>
                <c:pt idx="957">
                  <c:v>44032</c:v>
                </c:pt>
                <c:pt idx="958">
                  <c:v>44033</c:v>
                </c:pt>
                <c:pt idx="959">
                  <c:v>44034</c:v>
                </c:pt>
                <c:pt idx="960">
                  <c:v>44035</c:v>
                </c:pt>
                <c:pt idx="961">
                  <c:v>44036</c:v>
                </c:pt>
                <c:pt idx="962">
                  <c:v>44039</c:v>
                </c:pt>
                <c:pt idx="963">
                  <c:v>44040</c:v>
                </c:pt>
                <c:pt idx="964">
                  <c:v>44041</c:v>
                </c:pt>
                <c:pt idx="965">
                  <c:v>44042</c:v>
                </c:pt>
                <c:pt idx="966">
                  <c:v>44043</c:v>
                </c:pt>
                <c:pt idx="967">
                  <c:v>44046</c:v>
                </c:pt>
                <c:pt idx="968">
                  <c:v>44047</c:v>
                </c:pt>
                <c:pt idx="969">
                  <c:v>44048</c:v>
                </c:pt>
                <c:pt idx="970">
                  <c:v>44049</c:v>
                </c:pt>
                <c:pt idx="971">
                  <c:v>44050</c:v>
                </c:pt>
                <c:pt idx="972">
                  <c:v>44053</c:v>
                </c:pt>
                <c:pt idx="973">
                  <c:v>44054</c:v>
                </c:pt>
                <c:pt idx="974">
                  <c:v>44055</c:v>
                </c:pt>
                <c:pt idx="975">
                  <c:v>44056</c:v>
                </c:pt>
                <c:pt idx="976">
                  <c:v>44057</c:v>
                </c:pt>
                <c:pt idx="977">
                  <c:v>44060</c:v>
                </c:pt>
                <c:pt idx="978">
                  <c:v>44061</c:v>
                </c:pt>
                <c:pt idx="979">
                  <c:v>44062</c:v>
                </c:pt>
                <c:pt idx="980">
                  <c:v>44063</c:v>
                </c:pt>
                <c:pt idx="981">
                  <c:v>44064</c:v>
                </c:pt>
                <c:pt idx="982">
                  <c:v>44067</c:v>
                </c:pt>
                <c:pt idx="983">
                  <c:v>44068</c:v>
                </c:pt>
                <c:pt idx="984">
                  <c:v>44069</c:v>
                </c:pt>
                <c:pt idx="985">
                  <c:v>44070</c:v>
                </c:pt>
                <c:pt idx="986">
                  <c:v>44071</c:v>
                </c:pt>
                <c:pt idx="987">
                  <c:v>44074</c:v>
                </c:pt>
                <c:pt idx="988">
                  <c:v>44075</c:v>
                </c:pt>
                <c:pt idx="989">
                  <c:v>44076</c:v>
                </c:pt>
                <c:pt idx="990">
                  <c:v>44077</c:v>
                </c:pt>
                <c:pt idx="991">
                  <c:v>44078</c:v>
                </c:pt>
                <c:pt idx="992">
                  <c:v>44081</c:v>
                </c:pt>
                <c:pt idx="993">
                  <c:v>44082</c:v>
                </c:pt>
                <c:pt idx="994">
                  <c:v>44083</c:v>
                </c:pt>
                <c:pt idx="995">
                  <c:v>44084</c:v>
                </c:pt>
                <c:pt idx="996">
                  <c:v>44085</c:v>
                </c:pt>
                <c:pt idx="997">
                  <c:v>44088</c:v>
                </c:pt>
                <c:pt idx="998">
                  <c:v>44089</c:v>
                </c:pt>
                <c:pt idx="999">
                  <c:v>44091</c:v>
                </c:pt>
                <c:pt idx="1000">
                  <c:v>44092</c:v>
                </c:pt>
                <c:pt idx="1001">
                  <c:v>44095</c:v>
                </c:pt>
                <c:pt idx="1002">
                  <c:v>44096</c:v>
                </c:pt>
                <c:pt idx="1003">
                  <c:v>44097</c:v>
                </c:pt>
                <c:pt idx="1004">
                  <c:v>44098</c:v>
                </c:pt>
                <c:pt idx="1005">
                  <c:v>44099</c:v>
                </c:pt>
                <c:pt idx="1006">
                  <c:v>44102</c:v>
                </c:pt>
                <c:pt idx="1007">
                  <c:v>44103</c:v>
                </c:pt>
                <c:pt idx="1008">
                  <c:v>44104</c:v>
                </c:pt>
                <c:pt idx="1009">
                  <c:v>44105</c:v>
                </c:pt>
                <c:pt idx="1010">
                  <c:v>44106</c:v>
                </c:pt>
                <c:pt idx="1011">
                  <c:v>44109</c:v>
                </c:pt>
                <c:pt idx="1012">
                  <c:v>44110</c:v>
                </c:pt>
                <c:pt idx="1013">
                  <c:v>44111</c:v>
                </c:pt>
                <c:pt idx="1014">
                  <c:v>44112</c:v>
                </c:pt>
                <c:pt idx="1015">
                  <c:v>44113</c:v>
                </c:pt>
                <c:pt idx="1016">
                  <c:v>44116</c:v>
                </c:pt>
                <c:pt idx="1017">
                  <c:v>44117</c:v>
                </c:pt>
                <c:pt idx="1018">
                  <c:v>44118</c:v>
                </c:pt>
                <c:pt idx="1019">
                  <c:v>44119</c:v>
                </c:pt>
                <c:pt idx="1020">
                  <c:v>44120</c:v>
                </c:pt>
                <c:pt idx="1021">
                  <c:v>44123</c:v>
                </c:pt>
                <c:pt idx="1022">
                  <c:v>44124</c:v>
                </c:pt>
                <c:pt idx="1023">
                  <c:v>44125</c:v>
                </c:pt>
                <c:pt idx="1024">
                  <c:v>44126</c:v>
                </c:pt>
                <c:pt idx="1025">
                  <c:v>44127</c:v>
                </c:pt>
                <c:pt idx="1026">
                  <c:v>44130</c:v>
                </c:pt>
                <c:pt idx="1027">
                  <c:v>44131</c:v>
                </c:pt>
                <c:pt idx="1028">
                  <c:v>44132</c:v>
                </c:pt>
                <c:pt idx="1029">
                  <c:v>44133</c:v>
                </c:pt>
                <c:pt idx="1030">
                  <c:v>44134</c:v>
                </c:pt>
                <c:pt idx="1031">
                  <c:v>44138</c:v>
                </c:pt>
                <c:pt idx="1032">
                  <c:v>44139</c:v>
                </c:pt>
                <c:pt idx="1033">
                  <c:v>44140</c:v>
                </c:pt>
                <c:pt idx="1034">
                  <c:v>44141</c:v>
                </c:pt>
                <c:pt idx="1035">
                  <c:v>44144</c:v>
                </c:pt>
                <c:pt idx="1036">
                  <c:v>44145</c:v>
                </c:pt>
                <c:pt idx="1037">
                  <c:v>44146</c:v>
                </c:pt>
                <c:pt idx="1038">
                  <c:v>44147</c:v>
                </c:pt>
                <c:pt idx="1039">
                  <c:v>44148</c:v>
                </c:pt>
                <c:pt idx="1040">
                  <c:v>44152</c:v>
                </c:pt>
                <c:pt idx="1041">
                  <c:v>44153</c:v>
                </c:pt>
                <c:pt idx="1042">
                  <c:v>44154</c:v>
                </c:pt>
                <c:pt idx="1043">
                  <c:v>44155</c:v>
                </c:pt>
                <c:pt idx="1044">
                  <c:v>44158</c:v>
                </c:pt>
                <c:pt idx="1045">
                  <c:v>44159</c:v>
                </c:pt>
                <c:pt idx="1046">
                  <c:v>44160</c:v>
                </c:pt>
                <c:pt idx="1047">
                  <c:v>44161</c:v>
                </c:pt>
                <c:pt idx="1048">
                  <c:v>44162</c:v>
                </c:pt>
                <c:pt idx="1049">
                  <c:v>44165</c:v>
                </c:pt>
                <c:pt idx="1050">
                  <c:v>44166</c:v>
                </c:pt>
                <c:pt idx="1051">
                  <c:v>44167</c:v>
                </c:pt>
                <c:pt idx="1052">
                  <c:v>44168</c:v>
                </c:pt>
                <c:pt idx="1053">
                  <c:v>44169</c:v>
                </c:pt>
                <c:pt idx="1054">
                  <c:v>44172</c:v>
                </c:pt>
                <c:pt idx="1055">
                  <c:v>44173</c:v>
                </c:pt>
                <c:pt idx="1056">
                  <c:v>44174</c:v>
                </c:pt>
                <c:pt idx="1057">
                  <c:v>44175</c:v>
                </c:pt>
                <c:pt idx="1058">
                  <c:v>44176</c:v>
                </c:pt>
                <c:pt idx="1059">
                  <c:v>44179</c:v>
                </c:pt>
                <c:pt idx="1060">
                  <c:v>44180</c:v>
                </c:pt>
                <c:pt idx="1061">
                  <c:v>44181</c:v>
                </c:pt>
                <c:pt idx="1062">
                  <c:v>44182</c:v>
                </c:pt>
                <c:pt idx="1063">
                  <c:v>44183</c:v>
                </c:pt>
                <c:pt idx="1064">
                  <c:v>44186</c:v>
                </c:pt>
                <c:pt idx="1065">
                  <c:v>44187</c:v>
                </c:pt>
                <c:pt idx="1066">
                  <c:v>44188</c:v>
                </c:pt>
                <c:pt idx="1067">
                  <c:v>44189</c:v>
                </c:pt>
                <c:pt idx="1068">
                  <c:v>44193</c:v>
                </c:pt>
                <c:pt idx="1069">
                  <c:v>44194</c:v>
                </c:pt>
                <c:pt idx="1070">
                  <c:v>44195</c:v>
                </c:pt>
                <c:pt idx="1071">
                  <c:v>44196</c:v>
                </c:pt>
                <c:pt idx="1072">
                  <c:v>44200</c:v>
                </c:pt>
                <c:pt idx="1073">
                  <c:v>44201</c:v>
                </c:pt>
                <c:pt idx="1074">
                  <c:v>44202</c:v>
                </c:pt>
                <c:pt idx="1075">
                  <c:v>44203</c:v>
                </c:pt>
                <c:pt idx="1076">
                  <c:v>44204</c:v>
                </c:pt>
                <c:pt idx="1077">
                  <c:v>44207</c:v>
                </c:pt>
                <c:pt idx="1078">
                  <c:v>44208</c:v>
                </c:pt>
                <c:pt idx="1079">
                  <c:v>44209</c:v>
                </c:pt>
                <c:pt idx="1080">
                  <c:v>44210</c:v>
                </c:pt>
                <c:pt idx="1081">
                  <c:v>44211</c:v>
                </c:pt>
                <c:pt idx="1082">
                  <c:v>44214</c:v>
                </c:pt>
                <c:pt idx="1083">
                  <c:v>44215</c:v>
                </c:pt>
                <c:pt idx="1084">
                  <c:v>44216</c:v>
                </c:pt>
                <c:pt idx="1085">
                  <c:v>44217</c:v>
                </c:pt>
                <c:pt idx="1086">
                  <c:v>44218</c:v>
                </c:pt>
                <c:pt idx="1087">
                  <c:v>44221</c:v>
                </c:pt>
                <c:pt idx="1088">
                  <c:v>44222</c:v>
                </c:pt>
                <c:pt idx="1089">
                  <c:v>44223</c:v>
                </c:pt>
                <c:pt idx="1090">
                  <c:v>44224</c:v>
                </c:pt>
                <c:pt idx="1091">
                  <c:v>44225</c:v>
                </c:pt>
                <c:pt idx="1092">
                  <c:v>44229</c:v>
                </c:pt>
                <c:pt idx="1093">
                  <c:v>44230</c:v>
                </c:pt>
                <c:pt idx="1094">
                  <c:v>44231</c:v>
                </c:pt>
                <c:pt idx="1095">
                  <c:v>44232</c:v>
                </c:pt>
                <c:pt idx="1096">
                  <c:v>44235</c:v>
                </c:pt>
                <c:pt idx="1097">
                  <c:v>44236</c:v>
                </c:pt>
                <c:pt idx="1098">
                  <c:v>44237</c:v>
                </c:pt>
                <c:pt idx="1099">
                  <c:v>44238</c:v>
                </c:pt>
                <c:pt idx="1100">
                  <c:v>44239</c:v>
                </c:pt>
                <c:pt idx="1101">
                  <c:v>44242</c:v>
                </c:pt>
                <c:pt idx="1102">
                  <c:v>44243</c:v>
                </c:pt>
                <c:pt idx="1103">
                  <c:v>44244</c:v>
                </c:pt>
                <c:pt idx="1104">
                  <c:v>44245</c:v>
                </c:pt>
                <c:pt idx="1105">
                  <c:v>44246</c:v>
                </c:pt>
                <c:pt idx="1106">
                  <c:v>44249</c:v>
                </c:pt>
                <c:pt idx="1107">
                  <c:v>44250</c:v>
                </c:pt>
                <c:pt idx="1108">
                  <c:v>44251</c:v>
                </c:pt>
                <c:pt idx="1109">
                  <c:v>44252</c:v>
                </c:pt>
                <c:pt idx="1110">
                  <c:v>44253</c:v>
                </c:pt>
                <c:pt idx="1111">
                  <c:v>44256</c:v>
                </c:pt>
                <c:pt idx="1112">
                  <c:v>44257</c:v>
                </c:pt>
                <c:pt idx="1113">
                  <c:v>44258</c:v>
                </c:pt>
                <c:pt idx="1114">
                  <c:v>44259</c:v>
                </c:pt>
                <c:pt idx="1115">
                  <c:v>44260</c:v>
                </c:pt>
                <c:pt idx="1116">
                  <c:v>44263</c:v>
                </c:pt>
                <c:pt idx="1117">
                  <c:v>44264</c:v>
                </c:pt>
                <c:pt idx="1118">
                  <c:v>44265</c:v>
                </c:pt>
                <c:pt idx="1119">
                  <c:v>44266</c:v>
                </c:pt>
                <c:pt idx="1120">
                  <c:v>44267</c:v>
                </c:pt>
                <c:pt idx="1121">
                  <c:v>44271</c:v>
                </c:pt>
                <c:pt idx="1122">
                  <c:v>44272</c:v>
                </c:pt>
                <c:pt idx="1123">
                  <c:v>44273</c:v>
                </c:pt>
                <c:pt idx="1124">
                  <c:v>44274</c:v>
                </c:pt>
                <c:pt idx="1125">
                  <c:v>44277</c:v>
                </c:pt>
                <c:pt idx="1126">
                  <c:v>44278</c:v>
                </c:pt>
                <c:pt idx="1127">
                  <c:v>44279</c:v>
                </c:pt>
                <c:pt idx="1128">
                  <c:v>44280</c:v>
                </c:pt>
                <c:pt idx="1129">
                  <c:v>44281</c:v>
                </c:pt>
                <c:pt idx="1130">
                  <c:v>44284</c:v>
                </c:pt>
                <c:pt idx="1131">
                  <c:v>44285</c:v>
                </c:pt>
                <c:pt idx="1132">
                  <c:v>44286</c:v>
                </c:pt>
                <c:pt idx="1133">
                  <c:v>44291</c:v>
                </c:pt>
                <c:pt idx="1134">
                  <c:v>44292</c:v>
                </c:pt>
                <c:pt idx="1135">
                  <c:v>44293</c:v>
                </c:pt>
                <c:pt idx="1136">
                  <c:v>44294</c:v>
                </c:pt>
                <c:pt idx="1137">
                  <c:v>44295</c:v>
                </c:pt>
                <c:pt idx="1138">
                  <c:v>44298</c:v>
                </c:pt>
                <c:pt idx="1139">
                  <c:v>44299</c:v>
                </c:pt>
                <c:pt idx="1140">
                  <c:v>44300</c:v>
                </c:pt>
                <c:pt idx="1141">
                  <c:v>44301</c:v>
                </c:pt>
                <c:pt idx="1142">
                  <c:v>44302</c:v>
                </c:pt>
                <c:pt idx="1143">
                  <c:v>44305</c:v>
                </c:pt>
                <c:pt idx="1144">
                  <c:v>44306</c:v>
                </c:pt>
                <c:pt idx="1145">
                  <c:v>44307</c:v>
                </c:pt>
                <c:pt idx="1146">
                  <c:v>44308</c:v>
                </c:pt>
                <c:pt idx="1147">
                  <c:v>44309</c:v>
                </c:pt>
                <c:pt idx="1148">
                  <c:v>44312</c:v>
                </c:pt>
                <c:pt idx="1149">
                  <c:v>44313</c:v>
                </c:pt>
                <c:pt idx="1150">
                  <c:v>44314</c:v>
                </c:pt>
                <c:pt idx="1151">
                  <c:v>44315</c:v>
                </c:pt>
                <c:pt idx="1152">
                  <c:v>44316</c:v>
                </c:pt>
                <c:pt idx="1153">
                  <c:v>44319</c:v>
                </c:pt>
                <c:pt idx="1154">
                  <c:v>44320</c:v>
                </c:pt>
                <c:pt idx="1155">
                  <c:v>44321</c:v>
                </c:pt>
                <c:pt idx="1156">
                  <c:v>44322</c:v>
                </c:pt>
                <c:pt idx="1157">
                  <c:v>44323</c:v>
                </c:pt>
                <c:pt idx="1158">
                  <c:v>44326</c:v>
                </c:pt>
                <c:pt idx="1159">
                  <c:v>44327</c:v>
                </c:pt>
                <c:pt idx="1160">
                  <c:v>44328</c:v>
                </c:pt>
                <c:pt idx="1161">
                  <c:v>44329</c:v>
                </c:pt>
                <c:pt idx="1162">
                  <c:v>44330</c:v>
                </c:pt>
                <c:pt idx="1163">
                  <c:v>44333</c:v>
                </c:pt>
                <c:pt idx="1164">
                  <c:v>44334</c:v>
                </c:pt>
                <c:pt idx="1165">
                  <c:v>44335</c:v>
                </c:pt>
                <c:pt idx="1166">
                  <c:v>44336</c:v>
                </c:pt>
                <c:pt idx="1167">
                  <c:v>44337</c:v>
                </c:pt>
                <c:pt idx="1168">
                  <c:v>44340</c:v>
                </c:pt>
                <c:pt idx="1169">
                  <c:v>44341</c:v>
                </c:pt>
                <c:pt idx="1170">
                  <c:v>44342</c:v>
                </c:pt>
                <c:pt idx="1171">
                  <c:v>44343</c:v>
                </c:pt>
                <c:pt idx="1172">
                  <c:v>44344</c:v>
                </c:pt>
                <c:pt idx="1173">
                  <c:v>44347</c:v>
                </c:pt>
                <c:pt idx="1174">
                  <c:v>44348</c:v>
                </c:pt>
                <c:pt idx="1175">
                  <c:v>44349</c:v>
                </c:pt>
                <c:pt idx="1176">
                  <c:v>44350</c:v>
                </c:pt>
                <c:pt idx="1177">
                  <c:v>44351</c:v>
                </c:pt>
                <c:pt idx="1178">
                  <c:v>44354</c:v>
                </c:pt>
                <c:pt idx="1179">
                  <c:v>44355</c:v>
                </c:pt>
                <c:pt idx="1180">
                  <c:v>44356</c:v>
                </c:pt>
                <c:pt idx="1181">
                  <c:v>44357</c:v>
                </c:pt>
                <c:pt idx="1182">
                  <c:v>44358</c:v>
                </c:pt>
                <c:pt idx="1183">
                  <c:v>44361</c:v>
                </c:pt>
                <c:pt idx="1184">
                  <c:v>44362</c:v>
                </c:pt>
                <c:pt idx="1185">
                  <c:v>44363</c:v>
                </c:pt>
                <c:pt idx="1186">
                  <c:v>44364</c:v>
                </c:pt>
                <c:pt idx="1187">
                  <c:v>44365</c:v>
                </c:pt>
                <c:pt idx="1188">
                  <c:v>44368</c:v>
                </c:pt>
                <c:pt idx="1189">
                  <c:v>44369</c:v>
                </c:pt>
                <c:pt idx="1190">
                  <c:v>44370</c:v>
                </c:pt>
                <c:pt idx="1191">
                  <c:v>44371</c:v>
                </c:pt>
                <c:pt idx="1192">
                  <c:v>44372</c:v>
                </c:pt>
                <c:pt idx="1193">
                  <c:v>44375</c:v>
                </c:pt>
                <c:pt idx="1194">
                  <c:v>44376</c:v>
                </c:pt>
                <c:pt idx="1195">
                  <c:v>44377</c:v>
                </c:pt>
                <c:pt idx="1196">
                  <c:v>44378</c:v>
                </c:pt>
                <c:pt idx="1197">
                  <c:v>44379</c:v>
                </c:pt>
                <c:pt idx="1198">
                  <c:v>44382</c:v>
                </c:pt>
                <c:pt idx="1199">
                  <c:v>44383</c:v>
                </c:pt>
                <c:pt idx="1200">
                  <c:v>44384</c:v>
                </c:pt>
                <c:pt idx="1201">
                  <c:v>44385</c:v>
                </c:pt>
                <c:pt idx="1202">
                  <c:v>44386</c:v>
                </c:pt>
                <c:pt idx="1203">
                  <c:v>44389</c:v>
                </c:pt>
                <c:pt idx="1204">
                  <c:v>44390</c:v>
                </c:pt>
                <c:pt idx="1205">
                  <c:v>44391</c:v>
                </c:pt>
                <c:pt idx="1206">
                  <c:v>44392</c:v>
                </c:pt>
                <c:pt idx="1207">
                  <c:v>44393</c:v>
                </c:pt>
                <c:pt idx="1208">
                  <c:v>44396</c:v>
                </c:pt>
                <c:pt idx="1209">
                  <c:v>44397</c:v>
                </c:pt>
                <c:pt idx="1210">
                  <c:v>44398</c:v>
                </c:pt>
                <c:pt idx="1211">
                  <c:v>44399</c:v>
                </c:pt>
                <c:pt idx="1212">
                  <c:v>44400</c:v>
                </c:pt>
                <c:pt idx="1213">
                  <c:v>44403</c:v>
                </c:pt>
                <c:pt idx="1214">
                  <c:v>44404</c:v>
                </c:pt>
                <c:pt idx="1215">
                  <c:v>44405</c:v>
                </c:pt>
                <c:pt idx="1216">
                  <c:v>44406</c:v>
                </c:pt>
                <c:pt idx="1217">
                  <c:v>44407</c:v>
                </c:pt>
                <c:pt idx="1218">
                  <c:v>44410</c:v>
                </c:pt>
                <c:pt idx="1219">
                  <c:v>44411</c:v>
                </c:pt>
                <c:pt idx="1220">
                  <c:v>44412</c:v>
                </c:pt>
                <c:pt idx="1221">
                  <c:v>44413</c:v>
                </c:pt>
                <c:pt idx="1222">
                  <c:v>44414</c:v>
                </c:pt>
                <c:pt idx="1223">
                  <c:v>44417</c:v>
                </c:pt>
                <c:pt idx="1224">
                  <c:v>44418</c:v>
                </c:pt>
                <c:pt idx="1225">
                  <c:v>44419</c:v>
                </c:pt>
                <c:pt idx="1226">
                  <c:v>44420</c:v>
                </c:pt>
                <c:pt idx="1227">
                  <c:v>44421</c:v>
                </c:pt>
                <c:pt idx="1228">
                  <c:v>44424</c:v>
                </c:pt>
                <c:pt idx="1229">
                  <c:v>44425</c:v>
                </c:pt>
                <c:pt idx="1230">
                  <c:v>44426</c:v>
                </c:pt>
                <c:pt idx="1231">
                  <c:v>44427</c:v>
                </c:pt>
                <c:pt idx="1232">
                  <c:v>44428</c:v>
                </c:pt>
                <c:pt idx="1233">
                  <c:v>44431</c:v>
                </c:pt>
                <c:pt idx="1234">
                  <c:v>44432</c:v>
                </c:pt>
                <c:pt idx="1235">
                  <c:v>44433</c:v>
                </c:pt>
                <c:pt idx="1236">
                  <c:v>44434</c:v>
                </c:pt>
                <c:pt idx="1237">
                  <c:v>44435</c:v>
                </c:pt>
                <c:pt idx="1238">
                  <c:v>44438</c:v>
                </c:pt>
                <c:pt idx="1239">
                  <c:v>44439</c:v>
                </c:pt>
                <c:pt idx="1240">
                  <c:v>44440</c:v>
                </c:pt>
                <c:pt idx="1241">
                  <c:v>44441</c:v>
                </c:pt>
                <c:pt idx="1242">
                  <c:v>44442</c:v>
                </c:pt>
                <c:pt idx="1243">
                  <c:v>44445</c:v>
                </c:pt>
                <c:pt idx="1244">
                  <c:v>44446</c:v>
                </c:pt>
                <c:pt idx="1245">
                  <c:v>44447</c:v>
                </c:pt>
                <c:pt idx="1246">
                  <c:v>44448</c:v>
                </c:pt>
                <c:pt idx="1247">
                  <c:v>44449</c:v>
                </c:pt>
                <c:pt idx="1248">
                  <c:v>44452</c:v>
                </c:pt>
                <c:pt idx="1249">
                  <c:v>44453</c:v>
                </c:pt>
                <c:pt idx="1250">
                  <c:v>44454</c:v>
                </c:pt>
                <c:pt idx="1251">
                  <c:v>44456</c:v>
                </c:pt>
                <c:pt idx="1252">
                  <c:v>44459</c:v>
                </c:pt>
                <c:pt idx="1253">
                  <c:v>44460</c:v>
                </c:pt>
                <c:pt idx="1254">
                  <c:v>44461</c:v>
                </c:pt>
                <c:pt idx="1255">
                  <c:v>44462</c:v>
                </c:pt>
              </c:numCache>
            </c:numRef>
          </c:cat>
          <c:val>
            <c:numRef>
              <c:f>'VAR SM'!$H$6:$H$1261</c:f>
              <c:numCache>
                <c:formatCode>#,##0.00</c:formatCode>
                <c:ptCount val="1256"/>
                <c:pt idx="0">
                  <c:v>46.41</c:v>
                </c:pt>
                <c:pt idx="1">
                  <c:v>47.049999</c:v>
                </c:pt>
                <c:pt idx="2">
                  <c:v>47.950001</c:v>
                </c:pt>
                <c:pt idx="3">
                  <c:v>46.93</c:v>
                </c:pt>
                <c:pt idx="4">
                  <c:v>47.380001</c:v>
                </c:pt>
                <c:pt idx="5">
                  <c:v>47.110000999999997</c:v>
                </c:pt>
                <c:pt idx="6">
                  <c:v>47.740001999999997</c:v>
                </c:pt>
                <c:pt idx="7">
                  <c:v>47.970001000000003</c:v>
                </c:pt>
                <c:pt idx="8">
                  <c:v>47.73</c:v>
                </c:pt>
                <c:pt idx="9">
                  <c:v>47.240001999999997</c:v>
                </c:pt>
                <c:pt idx="10">
                  <c:v>47.459999000000003</c:v>
                </c:pt>
                <c:pt idx="11">
                  <c:v>47.709999000000003</c:v>
                </c:pt>
                <c:pt idx="12">
                  <c:v>47.5</c:v>
                </c:pt>
                <c:pt idx="13">
                  <c:v>47.889999000000003</c:v>
                </c:pt>
                <c:pt idx="14">
                  <c:v>47.52</c:v>
                </c:pt>
                <c:pt idx="15">
                  <c:v>47.560001</c:v>
                </c:pt>
                <c:pt idx="16">
                  <c:v>47.799999</c:v>
                </c:pt>
                <c:pt idx="17">
                  <c:v>48</c:v>
                </c:pt>
                <c:pt idx="18">
                  <c:v>47.869999</c:v>
                </c:pt>
                <c:pt idx="19">
                  <c:v>47.799999</c:v>
                </c:pt>
                <c:pt idx="20">
                  <c:v>47.830002</c:v>
                </c:pt>
                <c:pt idx="21">
                  <c:v>48.029998999999997</c:v>
                </c:pt>
                <c:pt idx="22">
                  <c:v>47.41</c:v>
                </c:pt>
                <c:pt idx="23">
                  <c:v>47.990001999999997</c:v>
                </c:pt>
                <c:pt idx="24">
                  <c:v>46.360000999999997</c:v>
                </c:pt>
                <c:pt idx="25">
                  <c:v>46.57</c:v>
                </c:pt>
                <c:pt idx="26">
                  <c:v>45.689999</c:v>
                </c:pt>
                <c:pt idx="27">
                  <c:v>45</c:v>
                </c:pt>
                <c:pt idx="28">
                  <c:v>47.27</c:v>
                </c:pt>
                <c:pt idx="29">
                  <c:v>48.509998000000003</c:v>
                </c:pt>
                <c:pt idx="30">
                  <c:v>48.799999</c:v>
                </c:pt>
                <c:pt idx="31">
                  <c:v>50.849997999999999</c:v>
                </c:pt>
                <c:pt idx="32">
                  <c:v>52.209999000000003</c:v>
                </c:pt>
                <c:pt idx="33">
                  <c:v>55.689999</c:v>
                </c:pt>
                <c:pt idx="34">
                  <c:v>57.330002</c:v>
                </c:pt>
                <c:pt idx="35">
                  <c:v>54.889999000000003</c:v>
                </c:pt>
                <c:pt idx="36">
                  <c:v>53.91</c:v>
                </c:pt>
                <c:pt idx="37">
                  <c:v>54.25</c:v>
                </c:pt>
                <c:pt idx="38">
                  <c:v>53</c:v>
                </c:pt>
                <c:pt idx="39">
                  <c:v>55.52</c:v>
                </c:pt>
                <c:pt idx="40">
                  <c:v>56.099997999999999</c:v>
                </c:pt>
                <c:pt idx="41">
                  <c:v>57.919998</c:v>
                </c:pt>
                <c:pt idx="42">
                  <c:v>58.34</c:v>
                </c:pt>
                <c:pt idx="43">
                  <c:v>58.139999000000003</c:v>
                </c:pt>
                <c:pt idx="44">
                  <c:v>57.43</c:v>
                </c:pt>
                <c:pt idx="45">
                  <c:v>56.299999</c:v>
                </c:pt>
                <c:pt idx="46">
                  <c:v>57.5</c:v>
                </c:pt>
                <c:pt idx="47">
                  <c:v>58.950001</c:v>
                </c:pt>
                <c:pt idx="48">
                  <c:v>61.279998999999997</c:v>
                </c:pt>
                <c:pt idx="49">
                  <c:v>60.91</c:v>
                </c:pt>
                <c:pt idx="50">
                  <c:v>61.080002</c:v>
                </c:pt>
                <c:pt idx="51">
                  <c:v>62.509998000000003</c:v>
                </c:pt>
                <c:pt idx="52">
                  <c:v>63.200001</c:v>
                </c:pt>
                <c:pt idx="53">
                  <c:v>60.77</c:v>
                </c:pt>
                <c:pt idx="54">
                  <c:v>61.02</c:v>
                </c:pt>
                <c:pt idx="55">
                  <c:v>59.720001000000003</c:v>
                </c:pt>
                <c:pt idx="56">
                  <c:v>56.630001</c:v>
                </c:pt>
                <c:pt idx="57">
                  <c:v>54.849997999999999</c:v>
                </c:pt>
                <c:pt idx="58">
                  <c:v>55.240001999999997</c:v>
                </c:pt>
                <c:pt idx="59">
                  <c:v>55.18</c:v>
                </c:pt>
                <c:pt idx="60">
                  <c:v>55.540000999999997</c:v>
                </c:pt>
                <c:pt idx="61">
                  <c:v>56.540000999999997</c:v>
                </c:pt>
                <c:pt idx="62">
                  <c:v>55.77</c:v>
                </c:pt>
                <c:pt idx="63">
                  <c:v>55.919998</c:v>
                </c:pt>
                <c:pt idx="64">
                  <c:v>57.740001999999997</c:v>
                </c:pt>
                <c:pt idx="65">
                  <c:v>57.709999000000003</c:v>
                </c:pt>
                <c:pt idx="66">
                  <c:v>56.43</c:v>
                </c:pt>
                <c:pt idx="67">
                  <c:v>56.43</c:v>
                </c:pt>
                <c:pt idx="68">
                  <c:v>57.43</c:v>
                </c:pt>
                <c:pt idx="69">
                  <c:v>57.959999000000003</c:v>
                </c:pt>
                <c:pt idx="70">
                  <c:v>59.490001999999997</c:v>
                </c:pt>
                <c:pt idx="71">
                  <c:v>58.200001</c:v>
                </c:pt>
                <c:pt idx="72">
                  <c:v>57.43</c:v>
                </c:pt>
                <c:pt idx="73">
                  <c:v>59.540000999999997</c:v>
                </c:pt>
                <c:pt idx="74">
                  <c:v>59.98</c:v>
                </c:pt>
                <c:pt idx="75">
                  <c:v>61.830002</c:v>
                </c:pt>
                <c:pt idx="76">
                  <c:v>61.889999000000003</c:v>
                </c:pt>
                <c:pt idx="77">
                  <c:v>61.43</c:v>
                </c:pt>
                <c:pt idx="78">
                  <c:v>59.57</c:v>
                </c:pt>
                <c:pt idx="79">
                  <c:v>61.310001</c:v>
                </c:pt>
                <c:pt idx="80">
                  <c:v>60.419998</c:v>
                </c:pt>
                <c:pt idx="81">
                  <c:v>60.959999000000003</c:v>
                </c:pt>
                <c:pt idx="82">
                  <c:v>62.860000999999997</c:v>
                </c:pt>
                <c:pt idx="83">
                  <c:v>65.660004000000001</c:v>
                </c:pt>
                <c:pt idx="84">
                  <c:v>64.559997999999993</c:v>
                </c:pt>
                <c:pt idx="85">
                  <c:v>62.119999</c:v>
                </c:pt>
                <c:pt idx="86">
                  <c:v>61.68</c:v>
                </c:pt>
                <c:pt idx="87">
                  <c:v>60.91</c:v>
                </c:pt>
                <c:pt idx="88">
                  <c:v>62.540000999999997</c:v>
                </c:pt>
                <c:pt idx="89">
                  <c:v>64.849997999999999</c:v>
                </c:pt>
                <c:pt idx="90">
                  <c:v>63.310001</c:v>
                </c:pt>
                <c:pt idx="91">
                  <c:v>63.889999000000003</c:v>
                </c:pt>
                <c:pt idx="92">
                  <c:v>63.82</c:v>
                </c:pt>
                <c:pt idx="93">
                  <c:v>64.440002000000007</c:v>
                </c:pt>
                <c:pt idx="94">
                  <c:v>63.130001</c:v>
                </c:pt>
                <c:pt idx="95">
                  <c:v>64.860000999999997</c:v>
                </c:pt>
                <c:pt idx="96">
                  <c:v>66.199996999999996</c:v>
                </c:pt>
                <c:pt idx="97">
                  <c:v>66.279999000000004</c:v>
                </c:pt>
                <c:pt idx="98">
                  <c:v>64.510002</c:v>
                </c:pt>
                <c:pt idx="99">
                  <c:v>65.080001999999993</c:v>
                </c:pt>
                <c:pt idx="100">
                  <c:v>64.330001999999993</c:v>
                </c:pt>
                <c:pt idx="101">
                  <c:v>65.010002</c:v>
                </c:pt>
                <c:pt idx="102">
                  <c:v>66.940002000000007</c:v>
                </c:pt>
                <c:pt idx="103">
                  <c:v>64.800003000000004</c:v>
                </c:pt>
                <c:pt idx="104">
                  <c:v>63.029998999999997</c:v>
                </c:pt>
                <c:pt idx="105">
                  <c:v>62.23</c:v>
                </c:pt>
                <c:pt idx="106">
                  <c:v>61.439999</c:v>
                </c:pt>
                <c:pt idx="107">
                  <c:v>60.939999</c:v>
                </c:pt>
                <c:pt idx="108">
                  <c:v>61.889999000000003</c:v>
                </c:pt>
                <c:pt idx="109">
                  <c:v>63.360000999999997</c:v>
                </c:pt>
                <c:pt idx="110">
                  <c:v>62.900002000000001</c:v>
                </c:pt>
                <c:pt idx="111">
                  <c:v>62.41</c:v>
                </c:pt>
                <c:pt idx="112">
                  <c:v>60.740001999999997</c:v>
                </c:pt>
                <c:pt idx="113">
                  <c:v>59.720001000000003</c:v>
                </c:pt>
                <c:pt idx="114">
                  <c:v>59.259998000000003</c:v>
                </c:pt>
                <c:pt idx="115">
                  <c:v>59.16</c:v>
                </c:pt>
                <c:pt idx="116">
                  <c:v>59.34</c:v>
                </c:pt>
                <c:pt idx="117">
                  <c:v>59.310001</c:v>
                </c:pt>
                <c:pt idx="118">
                  <c:v>59.990001999999997</c:v>
                </c:pt>
                <c:pt idx="119">
                  <c:v>59.18</c:v>
                </c:pt>
                <c:pt idx="120">
                  <c:v>59.299999</c:v>
                </c:pt>
                <c:pt idx="121">
                  <c:v>58.889999000000003</c:v>
                </c:pt>
                <c:pt idx="122">
                  <c:v>59.77</c:v>
                </c:pt>
                <c:pt idx="123">
                  <c:v>60.389999000000003</c:v>
                </c:pt>
                <c:pt idx="124">
                  <c:v>60.16</c:v>
                </c:pt>
                <c:pt idx="125">
                  <c:v>58.220001000000003</c:v>
                </c:pt>
                <c:pt idx="126">
                  <c:v>56.610000999999997</c:v>
                </c:pt>
                <c:pt idx="127">
                  <c:v>58.169998</c:v>
                </c:pt>
                <c:pt idx="128">
                  <c:v>57.540000999999997</c:v>
                </c:pt>
                <c:pt idx="129">
                  <c:v>56.279998999999997</c:v>
                </c:pt>
                <c:pt idx="130">
                  <c:v>56.369999</c:v>
                </c:pt>
                <c:pt idx="131">
                  <c:v>57.990001999999997</c:v>
                </c:pt>
                <c:pt idx="132">
                  <c:v>58.16</c:v>
                </c:pt>
                <c:pt idx="133">
                  <c:v>57.610000999999997</c:v>
                </c:pt>
                <c:pt idx="134">
                  <c:v>56.779998999999997</c:v>
                </c:pt>
                <c:pt idx="135">
                  <c:v>57.099997999999999</c:v>
                </c:pt>
                <c:pt idx="136">
                  <c:v>57.200001</c:v>
                </c:pt>
                <c:pt idx="137">
                  <c:v>55.849997999999999</c:v>
                </c:pt>
                <c:pt idx="138">
                  <c:v>55.189999</c:v>
                </c:pt>
                <c:pt idx="139">
                  <c:v>54.959999000000003</c:v>
                </c:pt>
                <c:pt idx="140">
                  <c:v>55.5</c:v>
                </c:pt>
                <c:pt idx="141">
                  <c:v>56.990001999999997</c:v>
                </c:pt>
                <c:pt idx="142">
                  <c:v>56.48</c:v>
                </c:pt>
                <c:pt idx="143">
                  <c:v>55.580002</c:v>
                </c:pt>
                <c:pt idx="144">
                  <c:v>56.040000999999997</c:v>
                </c:pt>
                <c:pt idx="145">
                  <c:v>55.580002</c:v>
                </c:pt>
                <c:pt idx="146">
                  <c:v>55.57</c:v>
                </c:pt>
                <c:pt idx="147">
                  <c:v>55.369999</c:v>
                </c:pt>
                <c:pt idx="148">
                  <c:v>55.110000999999997</c:v>
                </c:pt>
                <c:pt idx="149">
                  <c:v>53.939999</c:v>
                </c:pt>
                <c:pt idx="150">
                  <c:v>53.360000999999997</c:v>
                </c:pt>
                <c:pt idx="151">
                  <c:v>53.48</c:v>
                </c:pt>
                <c:pt idx="152">
                  <c:v>53.299999</c:v>
                </c:pt>
                <c:pt idx="153">
                  <c:v>53.970001000000003</c:v>
                </c:pt>
                <c:pt idx="154">
                  <c:v>54.099997999999999</c:v>
                </c:pt>
                <c:pt idx="155">
                  <c:v>53.970001000000003</c:v>
                </c:pt>
                <c:pt idx="156">
                  <c:v>53.59</c:v>
                </c:pt>
                <c:pt idx="157">
                  <c:v>53.509998000000003</c:v>
                </c:pt>
                <c:pt idx="158">
                  <c:v>52.43</c:v>
                </c:pt>
                <c:pt idx="159">
                  <c:v>51.279998999999997</c:v>
                </c:pt>
                <c:pt idx="160">
                  <c:v>50.779998999999997</c:v>
                </c:pt>
                <c:pt idx="161">
                  <c:v>53.27</c:v>
                </c:pt>
                <c:pt idx="162">
                  <c:v>52.049999</c:v>
                </c:pt>
                <c:pt idx="163">
                  <c:v>51.759998000000003</c:v>
                </c:pt>
                <c:pt idx="164">
                  <c:v>52.52</c:v>
                </c:pt>
                <c:pt idx="165">
                  <c:v>53.299999</c:v>
                </c:pt>
                <c:pt idx="166">
                  <c:v>53.389999000000003</c:v>
                </c:pt>
                <c:pt idx="167">
                  <c:v>52.57</c:v>
                </c:pt>
                <c:pt idx="168">
                  <c:v>51.959999000000003</c:v>
                </c:pt>
                <c:pt idx="169">
                  <c:v>50.5</c:v>
                </c:pt>
                <c:pt idx="170">
                  <c:v>51.09</c:v>
                </c:pt>
                <c:pt idx="171">
                  <c:v>50.849997999999999</c:v>
                </c:pt>
                <c:pt idx="172">
                  <c:v>51.150002000000001</c:v>
                </c:pt>
                <c:pt idx="173">
                  <c:v>50.639999000000003</c:v>
                </c:pt>
                <c:pt idx="174">
                  <c:v>50.540000999999997</c:v>
                </c:pt>
                <c:pt idx="175">
                  <c:v>50.27</c:v>
                </c:pt>
                <c:pt idx="176">
                  <c:v>50.580002</c:v>
                </c:pt>
                <c:pt idx="177">
                  <c:v>49.919998</c:v>
                </c:pt>
                <c:pt idx="178">
                  <c:v>49.91</c:v>
                </c:pt>
                <c:pt idx="179">
                  <c:v>50.060001</c:v>
                </c:pt>
                <c:pt idx="180">
                  <c:v>49.169998</c:v>
                </c:pt>
                <c:pt idx="181">
                  <c:v>50.200001</c:v>
                </c:pt>
                <c:pt idx="182">
                  <c:v>49.57</c:v>
                </c:pt>
                <c:pt idx="183">
                  <c:v>49.009998000000003</c:v>
                </c:pt>
                <c:pt idx="184">
                  <c:v>48.720001000000003</c:v>
                </c:pt>
                <c:pt idx="185">
                  <c:v>48.200001</c:v>
                </c:pt>
                <c:pt idx="186">
                  <c:v>48.310001</c:v>
                </c:pt>
                <c:pt idx="187">
                  <c:v>48.549999</c:v>
                </c:pt>
                <c:pt idx="188">
                  <c:v>49.25</c:v>
                </c:pt>
                <c:pt idx="189">
                  <c:v>50.220001000000003</c:v>
                </c:pt>
                <c:pt idx="190">
                  <c:v>49.689999</c:v>
                </c:pt>
                <c:pt idx="191">
                  <c:v>51.07</c:v>
                </c:pt>
                <c:pt idx="192">
                  <c:v>52.57</c:v>
                </c:pt>
                <c:pt idx="193">
                  <c:v>52.810001</c:v>
                </c:pt>
                <c:pt idx="194">
                  <c:v>53</c:v>
                </c:pt>
                <c:pt idx="195">
                  <c:v>53.040000999999997</c:v>
                </c:pt>
                <c:pt idx="196">
                  <c:v>53.509998000000003</c:v>
                </c:pt>
                <c:pt idx="197">
                  <c:v>53.619999</c:v>
                </c:pt>
                <c:pt idx="198">
                  <c:v>53.66</c:v>
                </c:pt>
                <c:pt idx="199">
                  <c:v>54.299999</c:v>
                </c:pt>
                <c:pt idx="200">
                  <c:v>54.990001999999997</c:v>
                </c:pt>
                <c:pt idx="201">
                  <c:v>55.669998</c:v>
                </c:pt>
                <c:pt idx="202">
                  <c:v>56.040000999999997</c:v>
                </c:pt>
                <c:pt idx="203">
                  <c:v>55.939999</c:v>
                </c:pt>
                <c:pt idx="204">
                  <c:v>55.740001999999997</c:v>
                </c:pt>
                <c:pt idx="205">
                  <c:v>55.400002000000001</c:v>
                </c:pt>
                <c:pt idx="206">
                  <c:v>55.330002</c:v>
                </c:pt>
                <c:pt idx="207">
                  <c:v>55.630001</c:v>
                </c:pt>
                <c:pt idx="208">
                  <c:v>57.330002</c:v>
                </c:pt>
                <c:pt idx="209">
                  <c:v>58.450001</c:v>
                </c:pt>
                <c:pt idx="210">
                  <c:v>58.139999000000003</c:v>
                </c:pt>
                <c:pt idx="211">
                  <c:v>58.150002000000001</c:v>
                </c:pt>
                <c:pt idx="212">
                  <c:v>57.990001999999997</c:v>
                </c:pt>
                <c:pt idx="213">
                  <c:v>58.16</c:v>
                </c:pt>
                <c:pt idx="214">
                  <c:v>58.279998999999997</c:v>
                </c:pt>
                <c:pt idx="215">
                  <c:v>58.439999</c:v>
                </c:pt>
                <c:pt idx="216">
                  <c:v>58.5</c:v>
                </c:pt>
                <c:pt idx="217">
                  <c:v>58.369999</c:v>
                </c:pt>
                <c:pt idx="218">
                  <c:v>58.279998999999997</c:v>
                </c:pt>
                <c:pt idx="219">
                  <c:v>58.259998000000003</c:v>
                </c:pt>
                <c:pt idx="220">
                  <c:v>56.59</c:v>
                </c:pt>
                <c:pt idx="221">
                  <c:v>55.549999</c:v>
                </c:pt>
                <c:pt idx="222">
                  <c:v>57.07</c:v>
                </c:pt>
                <c:pt idx="223">
                  <c:v>56.689999</c:v>
                </c:pt>
                <c:pt idx="224">
                  <c:v>57.720001000000003</c:v>
                </c:pt>
                <c:pt idx="225">
                  <c:v>57.279998999999997</c:v>
                </c:pt>
                <c:pt idx="226">
                  <c:v>57.650002000000001</c:v>
                </c:pt>
                <c:pt idx="227">
                  <c:v>58.130001</c:v>
                </c:pt>
                <c:pt idx="228">
                  <c:v>59.189999</c:v>
                </c:pt>
                <c:pt idx="229">
                  <c:v>58.880001</c:v>
                </c:pt>
                <c:pt idx="230">
                  <c:v>59.630001</c:v>
                </c:pt>
                <c:pt idx="231">
                  <c:v>59.650002000000001</c:v>
                </c:pt>
                <c:pt idx="232">
                  <c:v>59.970001000000003</c:v>
                </c:pt>
                <c:pt idx="233">
                  <c:v>59.5</c:v>
                </c:pt>
                <c:pt idx="234">
                  <c:v>59.439999</c:v>
                </c:pt>
                <c:pt idx="235">
                  <c:v>58.939999</c:v>
                </c:pt>
                <c:pt idx="236">
                  <c:v>59.18</c:v>
                </c:pt>
                <c:pt idx="237">
                  <c:v>59.41</c:v>
                </c:pt>
                <c:pt idx="238">
                  <c:v>59.23</c:v>
                </c:pt>
                <c:pt idx="239">
                  <c:v>58.939999</c:v>
                </c:pt>
                <c:pt idx="240">
                  <c:v>59.27</c:v>
                </c:pt>
                <c:pt idx="241">
                  <c:v>58.07</c:v>
                </c:pt>
                <c:pt idx="242">
                  <c:v>58.220001000000003</c:v>
                </c:pt>
                <c:pt idx="243">
                  <c:v>58.139999000000003</c:v>
                </c:pt>
                <c:pt idx="244">
                  <c:v>56.43</c:v>
                </c:pt>
                <c:pt idx="245">
                  <c:v>55.869999</c:v>
                </c:pt>
                <c:pt idx="246">
                  <c:v>55.259998000000003</c:v>
                </c:pt>
                <c:pt idx="247">
                  <c:v>55.189999</c:v>
                </c:pt>
                <c:pt idx="248">
                  <c:v>55.380001</c:v>
                </c:pt>
                <c:pt idx="249">
                  <c:v>55.389999000000003</c:v>
                </c:pt>
                <c:pt idx="250">
                  <c:v>54.900002000000001</c:v>
                </c:pt>
                <c:pt idx="251">
                  <c:v>54.689999</c:v>
                </c:pt>
                <c:pt idx="252">
                  <c:v>54.029998999999997</c:v>
                </c:pt>
                <c:pt idx="253">
                  <c:v>54.470001000000003</c:v>
                </c:pt>
                <c:pt idx="254">
                  <c:v>54.959999000000003</c:v>
                </c:pt>
                <c:pt idx="255">
                  <c:v>56</c:v>
                </c:pt>
                <c:pt idx="256">
                  <c:v>55.689999</c:v>
                </c:pt>
                <c:pt idx="257">
                  <c:v>55.18</c:v>
                </c:pt>
                <c:pt idx="258">
                  <c:v>55.959999000000003</c:v>
                </c:pt>
                <c:pt idx="259">
                  <c:v>56.27</c:v>
                </c:pt>
                <c:pt idx="260">
                  <c:v>57.91</c:v>
                </c:pt>
                <c:pt idx="261">
                  <c:v>57.950001</c:v>
                </c:pt>
                <c:pt idx="262">
                  <c:v>58.119999</c:v>
                </c:pt>
                <c:pt idx="263">
                  <c:v>58.549999</c:v>
                </c:pt>
                <c:pt idx="264">
                  <c:v>58.900002000000001</c:v>
                </c:pt>
                <c:pt idx="265">
                  <c:v>58.580002</c:v>
                </c:pt>
                <c:pt idx="266">
                  <c:v>59.369999</c:v>
                </c:pt>
                <c:pt idx="267">
                  <c:v>61.490001999999997</c:v>
                </c:pt>
                <c:pt idx="268">
                  <c:v>61.779998999999997</c:v>
                </c:pt>
                <c:pt idx="269">
                  <c:v>61.720001000000003</c:v>
                </c:pt>
                <c:pt idx="270">
                  <c:v>61.290000999999997</c:v>
                </c:pt>
                <c:pt idx="271">
                  <c:v>60.029998999999997</c:v>
                </c:pt>
                <c:pt idx="272">
                  <c:v>60.150002000000001</c:v>
                </c:pt>
                <c:pt idx="273">
                  <c:v>61.84</c:v>
                </c:pt>
                <c:pt idx="274">
                  <c:v>63.049999</c:v>
                </c:pt>
                <c:pt idx="275">
                  <c:v>63.490001999999997</c:v>
                </c:pt>
                <c:pt idx="276">
                  <c:v>63.27</c:v>
                </c:pt>
                <c:pt idx="277">
                  <c:v>62.360000999999997</c:v>
                </c:pt>
                <c:pt idx="278">
                  <c:v>62.34</c:v>
                </c:pt>
                <c:pt idx="279">
                  <c:v>62.349997999999999</c:v>
                </c:pt>
                <c:pt idx="280">
                  <c:v>62.990001999999997</c:v>
                </c:pt>
                <c:pt idx="281">
                  <c:v>63.32</c:v>
                </c:pt>
                <c:pt idx="282">
                  <c:v>63.810001</c:v>
                </c:pt>
                <c:pt idx="283">
                  <c:v>63.799999</c:v>
                </c:pt>
                <c:pt idx="284">
                  <c:v>62.450001</c:v>
                </c:pt>
                <c:pt idx="285">
                  <c:v>61.330002</c:v>
                </c:pt>
                <c:pt idx="286">
                  <c:v>60.34</c:v>
                </c:pt>
                <c:pt idx="287">
                  <c:v>59.459999000000003</c:v>
                </c:pt>
                <c:pt idx="288">
                  <c:v>58.189999</c:v>
                </c:pt>
                <c:pt idx="289">
                  <c:v>58.400002000000001</c:v>
                </c:pt>
                <c:pt idx="290">
                  <c:v>58.889999000000003</c:v>
                </c:pt>
                <c:pt idx="291">
                  <c:v>59.849997999999999</c:v>
                </c:pt>
                <c:pt idx="292">
                  <c:v>61.52</c:v>
                </c:pt>
                <c:pt idx="293">
                  <c:v>60.240001999999997</c:v>
                </c:pt>
                <c:pt idx="294">
                  <c:v>60.560001</c:v>
                </c:pt>
                <c:pt idx="295">
                  <c:v>59.970001000000003</c:v>
                </c:pt>
                <c:pt idx="296">
                  <c:v>60.799999</c:v>
                </c:pt>
                <c:pt idx="297">
                  <c:v>60.689999</c:v>
                </c:pt>
                <c:pt idx="298">
                  <c:v>58.330002</c:v>
                </c:pt>
                <c:pt idx="299">
                  <c:v>58.25</c:v>
                </c:pt>
                <c:pt idx="300">
                  <c:v>58.02</c:v>
                </c:pt>
                <c:pt idx="301">
                  <c:v>58.07</c:v>
                </c:pt>
                <c:pt idx="302">
                  <c:v>57</c:v>
                </c:pt>
                <c:pt idx="303">
                  <c:v>58.849997999999999</c:v>
                </c:pt>
                <c:pt idx="304">
                  <c:v>58.939999</c:v>
                </c:pt>
                <c:pt idx="305">
                  <c:v>58.939999</c:v>
                </c:pt>
                <c:pt idx="306">
                  <c:v>60.689999</c:v>
                </c:pt>
                <c:pt idx="307">
                  <c:v>59.959999000000003</c:v>
                </c:pt>
                <c:pt idx="308">
                  <c:v>59.93</c:v>
                </c:pt>
                <c:pt idx="309">
                  <c:v>60.799999</c:v>
                </c:pt>
                <c:pt idx="310">
                  <c:v>61.049999</c:v>
                </c:pt>
                <c:pt idx="311">
                  <c:v>60.759998000000003</c:v>
                </c:pt>
                <c:pt idx="312">
                  <c:v>61.52</c:v>
                </c:pt>
                <c:pt idx="313">
                  <c:v>62.27</c:v>
                </c:pt>
                <c:pt idx="314">
                  <c:v>61.869999</c:v>
                </c:pt>
                <c:pt idx="315">
                  <c:v>62.41</c:v>
                </c:pt>
                <c:pt idx="316">
                  <c:v>62.98</c:v>
                </c:pt>
                <c:pt idx="317">
                  <c:v>64.910004000000001</c:v>
                </c:pt>
                <c:pt idx="318">
                  <c:v>65.989998</c:v>
                </c:pt>
                <c:pt idx="319">
                  <c:v>66.199996999999996</c:v>
                </c:pt>
                <c:pt idx="320">
                  <c:v>65.129997000000003</c:v>
                </c:pt>
                <c:pt idx="321">
                  <c:v>65.669998000000007</c:v>
                </c:pt>
                <c:pt idx="322">
                  <c:v>65.339995999999999</c:v>
                </c:pt>
                <c:pt idx="323">
                  <c:v>65.660004000000001</c:v>
                </c:pt>
                <c:pt idx="324">
                  <c:v>65.400002000000001</c:v>
                </c:pt>
                <c:pt idx="325">
                  <c:v>66.059997999999993</c:v>
                </c:pt>
                <c:pt idx="326">
                  <c:v>66.190002000000007</c:v>
                </c:pt>
                <c:pt idx="327">
                  <c:v>66.279999000000004</c:v>
                </c:pt>
                <c:pt idx="328">
                  <c:v>65.529999000000004</c:v>
                </c:pt>
                <c:pt idx="329">
                  <c:v>65.970000999999996</c:v>
                </c:pt>
                <c:pt idx="330">
                  <c:v>65.260002</c:v>
                </c:pt>
                <c:pt idx="331">
                  <c:v>64.599997999999999</c:v>
                </c:pt>
                <c:pt idx="332">
                  <c:v>64.080001999999993</c:v>
                </c:pt>
                <c:pt idx="333">
                  <c:v>63.880001</c:v>
                </c:pt>
                <c:pt idx="334">
                  <c:v>65.550003000000004</c:v>
                </c:pt>
                <c:pt idx="335">
                  <c:v>66.410004000000001</c:v>
                </c:pt>
                <c:pt idx="336">
                  <c:v>68.040001000000004</c:v>
                </c:pt>
                <c:pt idx="337">
                  <c:v>67.069999999999993</c:v>
                </c:pt>
                <c:pt idx="338">
                  <c:v>65.5</c:v>
                </c:pt>
                <c:pt idx="339">
                  <c:v>65.980002999999996</c:v>
                </c:pt>
                <c:pt idx="340">
                  <c:v>66.209998999999996</c:v>
                </c:pt>
                <c:pt idx="341">
                  <c:v>64.959998999999996</c:v>
                </c:pt>
                <c:pt idx="342">
                  <c:v>64.400002000000001</c:v>
                </c:pt>
                <c:pt idx="343">
                  <c:v>62.580002</c:v>
                </c:pt>
                <c:pt idx="344">
                  <c:v>61.400002000000001</c:v>
                </c:pt>
                <c:pt idx="345">
                  <c:v>62.330002</c:v>
                </c:pt>
                <c:pt idx="346">
                  <c:v>63.23</c:v>
                </c:pt>
                <c:pt idx="347">
                  <c:v>64</c:v>
                </c:pt>
                <c:pt idx="348">
                  <c:v>65.290001000000004</c:v>
                </c:pt>
                <c:pt idx="349">
                  <c:v>65.879997000000003</c:v>
                </c:pt>
                <c:pt idx="350">
                  <c:v>66.099997999999999</c:v>
                </c:pt>
                <c:pt idx="351">
                  <c:v>64.870002999999997</c:v>
                </c:pt>
                <c:pt idx="352">
                  <c:v>65.569999999999993</c:v>
                </c:pt>
                <c:pt idx="353">
                  <c:v>64.959998999999996</c:v>
                </c:pt>
                <c:pt idx="354">
                  <c:v>65.989998</c:v>
                </c:pt>
                <c:pt idx="355">
                  <c:v>66.019997000000004</c:v>
                </c:pt>
                <c:pt idx="356">
                  <c:v>65.790001000000004</c:v>
                </c:pt>
                <c:pt idx="357">
                  <c:v>65.540001000000004</c:v>
                </c:pt>
                <c:pt idx="358">
                  <c:v>64.349997999999999</c:v>
                </c:pt>
                <c:pt idx="359">
                  <c:v>62.130001</c:v>
                </c:pt>
                <c:pt idx="360">
                  <c:v>61.639999000000003</c:v>
                </c:pt>
                <c:pt idx="361">
                  <c:v>63.93</c:v>
                </c:pt>
                <c:pt idx="362">
                  <c:v>65.099997999999999</c:v>
                </c:pt>
                <c:pt idx="363">
                  <c:v>64.919998000000007</c:v>
                </c:pt>
                <c:pt idx="364">
                  <c:v>64.690002000000007</c:v>
                </c:pt>
                <c:pt idx="365">
                  <c:v>64.110000999999997</c:v>
                </c:pt>
                <c:pt idx="366">
                  <c:v>64.879997000000003</c:v>
                </c:pt>
                <c:pt idx="367">
                  <c:v>64.949996999999996</c:v>
                </c:pt>
                <c:pt idx="368">
                  <c:v>63.34</c:v>
                </c:pt>
                <c:pt idx="369">
                  <c:v>62.630001</c:v>
                </c:pt>
                <c:pt idx="370">
                  <c:v>61.889999000000003</c:v>
                </c:pt>
                <c:pt idx="371">
                  <c:v>63.27</c:v>
                </c:pt>
                <c:pt idx="372">
                  <c:v>64.239998</c:v>
                </c:pt>
                <c:pt idx="373">
                  <c:v>63.240001999999997</c:v>
                </c:pt>
                <c:pt idx="374">
                  <c:v>60.91</c:v>
                </c:pt>
                <c:pt idx="375">
                  <c:v>61.810001</c:v>
                </c:pt>
                <c:pt idx="376">
                  <c:v>61.790000999999997</c:v>
                </c:pt>
                <c:pt idx="377">
                  <c:v>60.549999</c:v>
                </c:pt>
                <c:pt idx="378">
                  <c:v>60.080002</c:v>
                </c:pt>
                <c:pt idx="379">
                  <c:v>61.990001999999997</c:v>
                </c:pt>
                <c:pt idx="380">
                  <c:v>61.98</c:v>
                </c:pt>
                <c:pt idx="381">
                  <c:v>62.470001000000003</c:v>
                </c:pt>
                <c:pt idx="382">
                  <c:v>61.799999</c:v>
                </c:pt>
                <c:pt idx="383">
                  <c:v>61.709999000000003</c:v>
                </c:pt>
                <c:pt idx="384">
                  <c:v>63.82</c:v>
                </c:pt>
                <c:pt idx="385">
                  <c:v>64.720000999999996</c:v>
                </c:pt>
                <c:pt idx="386">
                  <c:v>65.370002999999997</c:v>
                </c:pt>
                <c:pt idx="387">
                  <c:v>65.330001999999993</c:v>
                </c:pt>
                <c:pt idx="388">
                  <c:v>63.400002000000001</c:v>
                </c:pt>
                <c:pt idx="389">
                  <c:v>63.439999</c:v>
                </c:pt>
                <c:pt idx="390">
                  <c:v>65.099997999999999</c:v>
                </c:pt>
                <c:pt idx="391">
                  <c:v>63.82</c:v>
                </c:pt>
                <c:pt idx="392">
                  <c:v>62.939999</c:v>
                </c:pt>
                <c:pt idx="393">
                  <c:v>63.950001</c:v>
                </c:pt>
                <c:pt idx="394">
                  <c:v>63.279998999999997</c:v>
                </c:pt>
                <c:pt idx="395">
                  <c:v>63.560001</c:v>
                </c:pt>
                <c:pt idx="396">
                  <c:v>63.470001000000003</c:v>
                </c:pt>
                <c:pt idx="397">
                  <c:v>62.369999</c:v>
                </c:pt>
                <c:pt idx="398">
                  <c:v>62.169998</c:v>
                </c:pt>
                <c:pt idx="399">
                  <c:v>59.98</c:v>
                </c:pt>
                <c:pt idx="400">
                  <c:v>58.580002</c:v>
                </c:pt>
                <c:pt idx="401">
                  <c:v>57.84</c:v>
                </c:pt>
                <c:pt idx="402">
                  <c:v>55.209999000000003</c:v>
                </c:pt>
                <c:pt idx="403">
                  <c:v>55.950001</c:v>
                </c:pt>
                <c:pt idx="404">
                  <c:v>54.860000999999997</c:v>
                </c:pt>
                <c:pt idx="405">
                  <c:v>56.009998000000003</c:v>
                </c:pt>
                <c:pt idx="406">
                  <c:v>56.040000999999997</c:v>
                </c:pt>
                <c:pt idx="407">
                  <c:v>56.869999</c:v>
                </c:pt>
                <c:pt idx="408">
                  <c:v>55.099997999999999</c:v>
                </c:pt>
                <c:pt idx="409">
                  <c:v>56.669998</c:v>
                </c:pt>
                <c:pt idx="410">
                  <c:v>57.450001</c:v>
                </c:pt>
                <c:pt idx="411">
                  <c:v>56.259998000000003</c:v>
                </c:pt>
                <c:pt idx="412">
                  <c:v>56.459999000000003</c:v>
                </c:pt>
                <c:pt idx="413">
                  <c:v>57.02</c:v>
                </c:pt>
                <c:pt idx="414">
                  <c:v>55.150002000000001</c:v>
                </c:pt>
                <c:pt idx="415">
                  <c:v>53.970001000000003</c:v>
                </c:pt>
                <c:pt idx="416">
                  <c:v>53.16</c:v>
                </c:pt>
                <c:pt idx="417">
                  <c:v>52.93</c:v>
                </c:pt>
                <c:pt idx="418">
                  <c:v>51.139999000000003</c:v>
                </c:pt>
                <c:pt idx="419">
                  <c:v>50.669998</c:v>
                </c:pt>
                <c:pt idx="420">
                  <c:v>49.52</c:v>
                </c:pt>
                <c:pt idx="421">
                  <c:v>53.290000999999997</c:v>
                </c:pt>
                <c:pt idx="422">
                  <c:v>55.869999</c:v>
                </c:pt>
                <c:pt idx="423">
                  <c:v>56.27</c:v>
                </c:pt>
                <c:pt idx="424">
                  <c:v>57.830002</c:v>
                </c:pt>
                <c:pt idx="425">
                  <c:v>56.959999000000003</c:v>
                </c:pt>
                <c:pt idx="426">
                  <c:v>58.98</c:v>
                </c:pt>
                <c:pt idx="427">
                  <c:v>58.450001</c:v>
                </c:pt>
                <c:pt idx="428">
                  <c:v>58.849997999999999</c:v>
                </c:pt>
                <c:pt idx="429">
                  <c:v>59.630001</c:v>
                </c:pt>
                <c:pt idx="430">
                  <c:v>59.110000999999997</c:v>
                </c:pt>
                <c:pt idx="431">
                  <c:v>58.740001999999997</c:v>
                </c:pt>
                <c:pt idx="432">
                  <c:v>58.459999000000003</c:v>
                </c:pt>
                <c:pt idx="433">
                  <c:v>57.34</c:v>
                </c:pt>
                <c:pt idx="434">
                  <c:v>57.779998999999997</c:v>
                </c:pt>
                <c:pt idx="435">
                  <c:v>57.419998</c:v>
                </c:pt>
                <c:pt idx="436">
                  <c:v>57.16</c:v>
                </c:pt>
                <c:pt idx="437">
                  <c:v>56.919998</c:v>
                </c:pt>
                <c:pt idx="438">
                  <c:v>56.200001</c:v>
                </c:pt>
                <c:pt idx="439">
                  <c:v>55.810001</c:v>
                </c:pt>
                <c:pt idx="440">
                  <c:v>55.860000999999997</c:v>
                </c:pt>
                <c:pt idx="441">
                  <c:v>56.389999000000003</c:v>
                </c:pt>
                <c:pt idx="442">
                  <c:v>55.810001</c:v>
                </c:pt>
                <c:pt idx="443">
                  <c:v>55.400002000000001</c:v>
                </c:pt>
                <c:pt idx="444">
                  <c:v>54.970001000000003</c:v>
                </c:pt>
                <c:pt idx="445">
                  <c:v>56.02</c:v>
                </c:pt>
                <c:pt idx="446">
                  <c:v>55.810001</c:v>
                </c:pt>
                <c:pt idx="447">
                  <c:v>57.459999000000003</c:v>
                </c:pt>
                <c:pt idx="448">
                  <c:v>56.57</c:v>
                </c:pt>
                <c:pt idx="449">
                  <c:v>55.009998000000003</c:v>
                </c:pt>
                <c:pt idx="450">
                  <c:v>54.330002</c:v>
                </c:pt>
                <c:pt idx="451">
                  <c:v>53.41</c:v>
                </c:pt>
                <c:pt idx="452">
                  <c:v>53.400002000000001</c:v>
                </c:pt>
                <c:pt idx="453">
                  <c:v>55.07</c:v>
                </c:pt>
                <c:pt idx="454">
                  <c:v>55.540000999999997</c:v>
                </c:pt>
                <c:pt idx="455">
                  <c:v>54.32</c:v>
                </c:pt>
                <c:pt idx="456">
                  <c:v>54.41</c:v>
                </c:pt>
                <c:pt idx="457">
                  <c:v>54.630001</c:v>
                </c:pt>
                <c:pt idx="458">
                  <c:v>56.029998999999997</c:v>
                </c:pt>
                <c:pt idx="459">
                  <c:v>57.34</c:v>
                </c:pt>
                <c:pt idx="460">
                  <c:v>57.439999</c:v>
                </c:pt>
                <c:pt idx="461">
                  <c:v>57.82</c:v>
                </c:pt>
                <c:pt idx="462">
                  <c:v>58.09</c:v>
                </c:pt>
                <c:pt idx="463">
                  <c:v>58.599997999999999</c:v>
                </c:pt>
                <c:pt idx="464">
                  <c:v>57.200001</c:v>
                </c:pt>
                <c:pt idx="465">
                  <c:v>56.16</c:v>
                </c:pt>
                <c:pt idx="466">
                  <c:v>57.560001</c:v>
                </c:pt>
                <c:pt idx="467">
                  <c:v>57.43</c:v>
                </c:pt>
                <c:pt idx="468">
                  <c:v>57.380001</c:v>
                </c:pt>
                <c:pt idx="469">
                  <c:v>56.779998999999997</c:v>
                </c:pt>
                <c:pt idx="470">
                  <c:v>56.82</c:v>
                </c:pt>
                <c:pt idx="471">
                  <c:v>55.490001999999997</c:v>
                </c:pt>
                <c:pt idx="472">
                  <c:v>55.91</c:v>
                </c:pt>
                <c:pt idx="473">
                  <c:v>55.990001999999997</c:v>
                </c:pt>
                <c:pt idx="474">
                  <c:v>54.09</c:v>
                </c:pt>
                <c:pt idx="475">
                  <c:v>51.990001999999997</c:v>
                </c:pt>
                <c:pt idx="476">
                  <c:v>52.540000999999997</c:v>
                </c:pt>
                <c:pt idx="477">
                  <c:v>53.810001</c:v>
                </c:pt>
                <c:pt idx="478">
                  <c:v>53.630001</c:v>
                </c:pt>
                <c:pt idx="479">
                  <c:v>54.759998000000003</c:v>
                </c:pt>
                <c:pt idx="480">
                  <c:v>54.369999</c:v>
                </c:pt>
                <c:pt idx="481">
                  <c:v>55</c:v>
                </c:pt>
                <c:pt idx="482">
                  <c:v>56.5</c:v>
                </c:pt>
                <c:pt idx="483">
                  <c:v>55.779998999999997</c:v>
                </c:pt>
                <c:pt idx="484">
                  <c:v>56.189999</c:v>
                </c:pt>
                <c:pt idx="485">
                  <c:v>55.779998999999997</c:v>
                </c:pt>
                <c:pt idx="486">
                  <c:v>56.02</c:v>
                </c:pt>
                <c:pt idx="487">
                  <c:v>55.330002</c:v>
                </c:pt>
                <c:pt idx="488">
                  <c:v>54.52</c:v>
                </c:pt>
                <c:pt idx="489">
                  <c:v>53.959999000000003</c:v>
                </c:pt>
                <c:pt idx="490">
                  <c:v>54</c:v>
                </c:pt>
                <c:pt idx="491">
                  <c:v>54.220001000000003</c:v>
                </c:pt>
                <c:pt idx="492">
                  <c:v>53.939999</c:v>
                </c:pt>
                <c:pt idx="493">
                  <c:v>52.84</c:v>
                </c:pt>
                <c:pt idx="494">
                  <c:v>53.049999</c:v>
                </c:pt>
                <c:pt idx="495">
                  <c:v>53.290000999999997</c:v>
                </c:pt>
                <c:pt idx="496">
                  <c:v>53.060001</c:v>
                </c:pt>
                <c:pt idx="497">
                  <c:v>52.810001</c:v>
                </c:pt>
                <c:pt idx="498">
                  <c:v>53.5</c:v>
                </c:pt>
                <c:pt idx="499">
                  <c:v>53.389999000000003</c:v>
                </c:pt>
                <c:pt idx="500">
                  <c:v>52.669998</c:v>
                </c:pt>
                <c:pt idx="501">
                  <c:v>55.200001</c:v>
                </c:pt>
                <c:pt idx="502">
                  <c:v>55.66</c:v>
                </c:pt>
                <c:pt idx="503">
                  <c:v>56.16</c:v>
                </c:pt>
                <c:pt idx="504">
                  <c:v>55.860000999999997</c:v>
                </c:pt>
                <c:pt idx="505">
                  <c:v>54.720001000000003</c:v>
                </c:pt>
                <c:pt idx="506">
                  <c:v>53.950001</c:v>
                </c:pt>
                <c:pt idx="507">
                  <c:v>54.439999</c:v>
                </c:pt>
                <c:pt idx="508">
                  <c:v>54.700001</c:v>
                </c:pt>
                <c:pt idx="509">
                  <c:v>53.369999</c:v>
                </c:pt>
                <c:pt idx="510">
                  <c:v>53.509998000000003</c:v>
                </c:pt>
                <c:pt idx="511">
                  <c:v>52.240001999999997</c:v>
                </c:pt>
                <c:pt idx="512">
                  <c:v>50.799999</c:v>
                </c:pt>
                <c:pt idx="513">
                  <c:v>51.720001000000003</c:v>
                </c:pt>
                <c:pt idx="514">
                  <c:v>50.950001</c:v>
                </c:pt>
                <c:pt idx="515">
                  <c:v>51.330002</c:v>
                </c:pt>
                <c:pt idx="516">
                  <c:v>51.59</c:v>
                </c:pt>
                <c:pt idx="517">
                  <c:v>51.529998999999997</c:v>
                </c:pt>
                <c:pt idx="518">
                  <c:v>51.93</c:v>
                </c:pt>
                <c:pt idx="519">
                  <c:v>50.549999</c:v>
                </c:pt>
                <c:pt idx="520">
                  <c:v>48.889999000000003</c:v>
                </c:pt>
                <c:pt idx="521">
                  <c:v>48.27</c:v>
                </c:pt>
                <c:pt idx="522">
                  <c:v>47.540000999999997</c:v>
                </c:pt>
                <c:pt idx="523">
                  <c:v>47.009998000000003</c:v>
                </c:pt>
                <c:pt idx="524">
                  <c:v>47.220001000000003</c:v>
                </c:pt>
                <c:pt idx="525">
                  <c:v>47.529998999999997</c:v>
                </c:pt>
                <c:pt idx="526">
                  <c:v>47.869999</c:v>
                </c:pt>
                <c:pt idx="527">
                  <c:v>46.099997999999999</c:v>
                </c:pt>
                <c:pt idx="528">
                  <c:v>44.82</c:v>
                </c:pt>
                <c:pt idx="529">
                  <c:v>46.869999</c:v>
                </c:pt>
                <c:pt idx="530">
                  <c:v>48.060001</c:v>
                </c:pt>
                <c:pt idx="531">
                  <c:v>49.610000999999997</c:v>
                </c:pt>
                <c:pt idx="532">
                  <c:v>48.580002</c:v>
                </c:pt>
                <c:pt idx="533">
                  <c:v>49.82</c:v>
                </c:pt>
                <c:pt idx="534">
                  <c:v>48.009998000000003</c:v>
                </c:pt>
                <c:pt idx="535">
                  <c:v>46.939999</c:v>
                </c:pt>
                <c:pt idx="536">
                  <c:v>46.599997999999999</c:v>
                </c:pt>
                <c:pt idx="537">
                  <c:v>45.669998</c:v>
                </c:pt>
                <c:pt idx="538">
                  <c:v>44.650002000000001</c:v>
                </c:pt>
                <c:pt idx="539">
                  <c:v>43.439999</c:v>
                </c:pt>
                <c:pt idx="540">
                  <c:v>44.02</c:v>
                </c:pt>
                <c:pt idx="541">
                  <c:v>41.639999000000003</c:v>
                </c:pt>
                <c:pt idx="542">
                  <c:v>40.779998999999997</c:v>
                </c:pt>
                <c:pt idx="543">
                  <c:v>38.860000999999997</c:v>
                </c:pt>
                <c:pt idx="544">
                  <c:v>39.349997999999999</c:v>
                </c:pt>
                <c:pt idx="545">
                  <c:v>37.770000000000003</c:v>
                </c:pt>
                <c:pt idx="546">
                  <c:v>39</c:v>
                </c:pt>
                <c:pt idx="547">
                  <c:v>39.970001000000003</c:v>
                </c:pt>
                <c:pt idx="548">
                  <c:v>42.080002</c:v>
                </c:pt>
                <c:pt idx="549">
                  <c:v>41.98</c:v>
                </c:pt>
                <c:pt idx="550">
                  <c:v>41.990001999999997</c:v>
                </c:pt>
                <c:pt idx="551">
                  <c:v>41.220001000000003</c:v>
                </c:pt>
                <c:pt idx="552">
                  <c:v>41.57</c:v>
                </c:pt>
                <c:pt idx="553">
                  <c:v>41.540000999999997</c:v>
                </c:pt>
                <c:pt idx="554">
                  <c:v>42.490001999999997</c:v>
                </c:pt>
                <c:pt idx="555">
                  <c:v>42.209999000000003</c:v>
                </c:pt>
                <c:pt idx="556">
                  <c:v>41.080002</c:v>
                </c:pt>
                <c:pt idx="557">
                  <c:v>40.779998999999997</c:v>
                </c:pt>
                <c:pt idx="558">
                  <c:v>40.779998999999997</c:v>
                </c:pt>
                <c:pt idx="559">
                  <c:v>39.770000000000003</c:v>
                </c:pt>
                <c:pt idx="560">
                  <c:v>38.790000999999997</c:v>
                </c:pt>
                <c:pt idx="561">
                  <c:v>38.169998</c:v>
                </c:pt>
                <c:pt idx="562">
                  <c:v>39.159999999999997</c:v>
                </c:pt>
                <c:pt idx="563">
                  <c:v>40.409999999999997</c:v>
                </c:pt>
                <c:pt idx="564">
                  <c:v>40.240001999999997</c:v>
                </c:pt>
                <c:pt idx="565">
                  <c:v>40.689999</c:v>
                </c:pt>
                <c:pt idx="566">
                  <c:v>40.759998000000003</c:v>
                </c:pt>
                <c:pt idx="567">
                  <c:v>40.360000999999997</c:v>
                </c:pt>
                <c:pt idx="568">
                  <c:v>40.439999</c:v>
                </c:pt>
                <c:pt idx="569">
                  <c:v>41.009998000000003</c:v>
                </c:pt>
                <c:pt idx="570">
                  <c:v>40.810001</c:v>
                </c:pt>
                <c:pt idx="571">
                  <c:v>43.220001000000003</c:v>
                </c:pt>
                <c:pt idx="572">
                  <c:v>43.52</c:v>
                </c:pt>
                <c:pt idx="573">
                  <c:v>43.950001</c:v>
                </c:pt>
                <c:pt idx="574">
                  <c:v>44.279998999999997</c:v>
                </c:pt>
                <c:pt idx="575">
                  <c:v>44.77</c:v>
                </c:pt>
                <c:pt idx="576">
                  <c:v>44.720001000000003</c:v>
                </c:pt>
                <c:pt idx="577">
                  <c:v>45.060001</c:v>
                </c:pt>
                <c:pt idx="578">
                  <c:v>44.220001000000003</c:v>
                </c:pt>
                <c:pt idx="579">
                  <c:v>44.93</c:v>
                </c:pt>
                <c:pt idx="580">
                  <c:v>44.700001</c:v>
                </c:pt>
                <c:pt idx="581">
                  <c:v>45.119999</c:v>
                </c:pt>
                <c:pt idx="582">
                  <c:v>44.380001</c:v>
                </c:pt>
                <c:pt idx="583">
                  <c:v>44.040000999999997</c:v>
                </c:pt>
                <c:pt idx="584">
                  <c:v>44.41</c:v>
                </c:pt>
                <c:pt idx="585">
                  <c:v>45.279998999999997</c:v>
                </c:pt>
                <c:pt idx="586">
                  <c:v>45.220001000000003</c:v>
                </c:pt>
                <c:pt idx="587">
                  <c:v>45.700001</c:v>
                </c:pt>
                <c:pt idx="588">
                  <c:v>45.73</c:v>
                </c:pt>
                <c:pt idx="589">
                  <c:v>46.470001000000003</c:v>
                </c:pt>
                <c:pt idx="590">
                  <c:v>45.790000999999997</c:v>
                </c:pt>
                <c:pt idx="591">
                  <c:v>45.540000999999997</c:v>
                </c:pt>
                <c:pt idx="592">
                  <c:v>46.16</c:v>
                </c:pt>
                <c:pt idx="593">
                  <c:v>45.369999</c:v>
                </c:pt>
                <c:pt idx="594">
                  <c:v>45.540000999999997</c:v>
                </c:pt>
                <c:pt idx="595">
                  <c:v>44.119999</c:v>
                </c:pt>
                <c:pt idx="596">
                  <c:v>43.5</c:v>
                </c:pt>
                <c:pt idx="597">
                  <c:v>43.25</c:v>
                </c:pt>
                <c:pt idx="598">
                  <c:v>43.639999000000003</c:v>
                </c:pt>
                <c:pt idx="599">
                  <c:v>45.450001</c:v>
                </c:pt>
                <c:pt idx="600">
                  <c:v>45.240001999999997</c:v>
                </c:pt>
                <c:pt idx="601">
                  <c:v>44.73</c:v>
                </c:pt>
                <c:pt idx="602">
                  <c:v>46.919998</c:v>
                </c:pt>
                <c:pt idx="603">
                  <c:v>48</c:v>
                </c:pt>
                <c:pt idx="604">
                  <c:v>48.200001</c:v>
                </c:pt>
                <c:pt idx="605">
                  <c:v>49.959999000000003</c:v>
                </c:pt>
                <c:pt idx="606">
                  <c:v>50.73</c:v>
                </c:pt>
                <c:pt idx="607">
                  <c:v>50.580002</c:v>
                </c:pt>
                <c:pt idx="608">
                  <c:v>50.389999000000003</c:v>
                </c:pt>
                <c:pt idx="609">
                  <c:v>48.290000999999997</c:v>
                </c:pt>
                <c:pt idx="610">
                  <c:v>48.02</c:v>
                </c:pt>
                <c:pt idx="611">
                  <c:v>47.439999</c:v>
                </c:pt>
                <c:pt idx="612">
                  <c:v>47.470001000000003</c:v>
                </c:pt>
                <c:pt idx="613">
                  <c:v>47.599997999999999</c:v>
                </c:pt>
                <c:pt idx="614">
                  <c:v>47.48</c:v>
                </c:pt>
                <c:pt idx="615">
                  <c:v>47.669998</c:v>
                </c:pt>
                <c:pt idx="616">
                  <c:v>47.970001000000003</c:v>
                </c:pt>
                <c:pt idx="617">
                  <c:v>49.16</c:v>
                </c:pt>
                <c:pt idx="618">
                  <c:v>49.27</c:v>
                </c:pt>
                <c:pt idx="619">
                  <c:v>49.380001</c:v>
                </c:pt>
                <c:pt idx="620">
                  <c:v>50.650002000000001</c:v>
                </c:pt>
                <c:pt idx="621">
                  <c:v>50.41</c:v>
                </c:pt>
                <c:pt idx="622">
                  <c:v>51.32</c:v>
                </c:pt>
                <c:pt idx="623">
                  <c:v>52.130001</c:v>
                </c:pt>
                <c:pt idx="624">
                  <c:v>50.799999</c:v>
                </c:pt>
                <c:pt idx="625">
                  <c:v>50.93</c:v>
                </c:pt>
                <c:pt idx="626">
                  <c:v>51.919998</c:v>
                </c:pt>
                <c:pt idx="627">
                  <c:v>52.169998</c:v>
                </c:pt>
                <c:pt idx="628">
                  <c:v>52.5</c:v>
                </c:pt>
                <c:pt idx="629">
                  <c:v>53.360000999999997</c:v>
                </c:pt>
                <c:pt idx="630">
                  <c:v>54.68</c:v>
                </c:pt>
                <c:pt idx="631">
                  <c:v>54.450001</c:v>
                </c:pt>
                <c:pt idx="632">
                  <c:v>52.77</c:v>
                </c:pt>
                <c:pt idx="633">
                  <c:v>54.619999</c:v>
                </c:pt>
                <c:pt idx="634">
                  <c:v>55.470001000000003</c:v>
                </c:pt>
                <c:pt idx="635">
                  <c:v>56.66</c:v>
                </c:pt>
                <c:pt idx="636">
                  <c:v>55.990001999999997</c:v>
                </c:pt>
                <c:pt idx="637">
                  <c:v>55.560001</c:v>
                </c:pt>
                <c:pt idx="638">
                  <c:v>55.200001</c:v>
                </c:pt>
                <c:pt idx="639">
                  <c:v>56.419998</c:v>
                </c:pt>
                <c:pt idx="640">
                  <c:v>55.619999</c:v>
                </c:pt>
                <c:pt idx="641">
                  <c:v>56.509998000000003</c:v>
                </c:pt>
                <c:pt idx="642">
                  <c:v>58.75</c:v>
                </c:pt>
                <c:pt idx="643">
                  <c:v>58.650002000000001</c:v>
                </c:pt>
                <c:pt idx="644">
                  <c:v>58.52</c:v>
                </c:pt>
                <c:pt idx="645">
                  <c:v>56.91</c:v>
                </c:pt>
                <c:pt idx="646">
                  <c:v>56.669998</c:v>
                </c:pt>
                <c:pt idx="647">
                  <c:v>56.66</c:v>
                </c:pt>
                <c:pt idx="648">
                  <c:v>55.529998999999997</c:v>
                </c:pt>
                <c:pt idx="649">
                  <c:v>55.59</c:v>
                </c:pt>
                <c:pt idx="650">
                  <c:v>53.080002</c:v>
                </c:pt>
                <c:pt idx="651">
                  <c:v>52.82</c:v>
                </c:pt>
                <c:pt idx="652">
                  <c:v>53.080002</c:v>
                </c:pt>
                <c:pt idx="653">
                  <c:v>52.240001999999997</c:v>
                </c:pt>
                <c:pt idx="654">
                  <c:v>51.110000999999997</c:v>
                </c:pt>
                <c:pt idx="655">
                  <c:v>51.23</c:v>
                </c:pt>
                <c:pt idx="656">
                  <c:v>51.240001999999997</c:v>
                </c:pt>
                <c:pt idx="657">
                  <c:v>51.360000999999997</c:v>
                </c:pt>
                <c:pt idx="658">
                  <c:v>50.68</c:v>
                </c:pt>
                <c:pt idx="659">
                  <c:v>50.310001</c:v>
                </c:pt>
                <c:pt idx="660">
                  <c:v>50.490001999999997</c:v>
                </c:pt>
                <c:pt idx="661">
                  <c:v>50.369999</c:v>
                </c:pt>
                <c:pt idx="662">
                  <c:v>49.419998</c:v>
                </c:pt>
                <c:pt idx="663">
                  <c:v>48.740001999999997</c:v>
                </c:pt>
                <c:pt idx="664">
                  <c:v>47.650002000000001</c:v>
                </c:pt>
                <c:pt idx="665">
                  <c:v>46.990001999999997</c:v>
                </c:pt>
                <c:pt idx="666">
                  <c:v>47.439999</c:v>
                </c:pt>
                <c:pt idx="667">
                  <c:v>47.09</c:v>
                </c:pt>
                <c:pt idx="668">
                  <c:v>46.130001</c:v>
                </c:pt>
                <c:pt idx="669">
                  <c:v>47.290000999999997</c:v>
                </c:pt>
                <c:pt idx="670">
                  <c:v>48.689999</c:v>
                </c:pt>
                <c:pt idx="671">
                  <c:v>48.91</c:v>
                </c:pt>
                <c:pt idx="672">
                  <c:v>49.029998999999997</c:v>
                </c:pt>
                <c:pt idx="673">
                  <c:v>49.040000999999997</c:v>
                </c:pt>
                <c:pt idx="674">
                  <c:v>49.740001999999997</c:v>
                </c:pt>
                <c:pt idx="675">
                  <c:v>50.32</c:v>
                </c:pt>
                <c:pt idx="676">
                  <c:v>50.599997999999999</c:v>
                </c:pt>
                <c:pt idx="677">
                  <c:v>50.439999</c:v>
                </c:pt>
                <c:pt idx="678">
                  <c:v>51.349997999999999</c:v>
                </c:pt>
                <c:pt idx="679">
                  <c:v>52.73</c:v>
                </c:pt>
                <c:pt idx="680">
                  <c:v>52.490001999999997</c:v>
                </c:pt>
                <c:pt idx="681">
                  <c:v>50.919998</c:v>
                </c:pt>
                <c:pt idx="682">
                  <c:v>50.459999000000003</c:v>
                </c:pt>
                <c:pt idx="683">
                  <c:v>51.32</c:v>
                </c:pt>
                <c:pt idx="684">
                  <c:v>50.919998</c:v>
                </c:pt>
                <c:pt idx="685">
                  <c:v>51.360000999999997</c:v>
                </c:pt>
                <c:pt idx="686">
                  <c:v>50.73</c:v>
                </c:pt>
                <c:pt idx="687">
                  <c:v>51.240001999999997</c:v>
                </c:pt>
                <c:pt idx="688">
                  <c:v>51.689999</c:v>
                </c:pt>
                <c:pt idx="689">
                  <c:v>51.66</c:v>
                </c:pt>
                <c:pt idx="690">
                  <c:v>50.290000999999997</c:v>
                </c:pt>
                <c:pt idx="691">
                  <c:v>50.970001000000003</c:v>
                </c:pt>
                <c:pt idx="692">
                  <c:v>51.240001999999997</c:v>
                </c:pt>
                <c:pt idx="693">
                  <c:v>51.32</c:v>
                </c:pt>
                <c:pt idx="694">
                  <c:v>51.07</c:v>
                </c:pt>
                <c:pt idx="695">
                  <c:v>50.779998999999997</c:v>
                </c:pt>
                <c:pt idx="696">
                  <c:v>49.52</c:v>
                </c:pt>
                <c:pt idx="697">
                  <c:v>51.110000999999997</c:v>
                </c:pt>
                <c:pt idx="698">
                  <c:v>49.310001</c:v>
                </c:pt>
                <c:pt idx="699">
                  <c:v>49.240001999999997</c:v>
                </c:pt>
                <c:pt idx="700">
                  <c:v>48.220001000000003</c:v>
                </c:pt>
                <c:pt idx="701">
                  <c:v>47.869999</c:v>
                </c:pt>
                <c:pt idx="702">
                  <c:v>47.07</c:v>
                </c:pt>
                <c:pt idx="703">
                  <c:v>47.040000999999997</c:v>
                </c:pt>
                <c:pt idx="704">
                  <c:v>45.049999</c:v>
                </c:pt>
                <c:pt idx="705">
                  <c:v>43</c:v>
                </c:pt>
                <c:pt idx="706">
                  <c:v>43.540000999999997</c:v>
                </c:pt>
                <c:pt idx="707">
                  <c:v>43.549999</c:v>
                </c:pt>
                <c:pt idx="708">
                  <c:v>44.049999</c:v>
                </c:pt>
                <c:pt idx="709">
                  <c:v>45.299999</c:v>
                </c:pt>
                <c:pt idx="710">
                  <c:v>46.669998</c:v>
                </c:pt>
                <c:pt idx="711">
                  <c:v>46.52</c:v>
                </c:pt>
                <c:pt idx="712">
                  <c:v>46.919998</c:v>
                </c:pt>
                <c:pt idx="713">
                  <c:v>46.049999</c:v>
                </c:pt>
                <c:pt idx="714">
                  <c:v>46.889999000000003</c:v>
                </c:pt>
                <c:pt idx="715">
                  <c:v>45.310001</c:v>
                </c:pt>
                <c:pt idx="716">
                  <c:v>44.029998999999997</c:v>
                </c:pt>
                <c:pt idx="717">
                  <c:v>42.790000999999997</c:v>
                </c:pt>
                <c:pt idx="718">
                  <c:v>41.619999</c:v>
                </c:pt>
                <c:pt idx="719">
                  <c:v>43.32</c:v>
                </c:pt>
                <c:pt idx="720">
                  <c:v>43.630001</c:v>
                </c:pt>
                <c:pt idx="721">
                  <c:v>43.689999</c:v>
                </c:pt>
                <c:pt idx="722">
                  <c:v>41.779998999999997</c:v>
                </c:pt>
                <c:pt idx="723">
                  <c:v>41.439999</c:v>
                </c:pt>
                <c:pt idx="724">
                  <c:v>40.150002000000001</c:v>
                </c:pt>
                <c:pt idx="725">
                  <c:v>40.560001</c:v>
                </c:pt>
                <c:pt idx="726">
                  <c:v>40.159999999999997</c:v>
                </c:pt>
                <c:pt idx="727">
                  <c:v>40.540000999999997</c:v>
                </c:pt>
                <c:pt idx="728">
                  <c:v>41.889999000000003</c:v>
                </c:pt>
                <c:pt idx="729">
                  <c:v>43.43</c:v>
                </c:pt>
                <c:pt idx="730">
                  <c:v>42.990001999999997</c:v>
                </c:pt>
                <c:pt idx="731">
                  <c:v>42.830002</c:v>
                </c:pt>
                <c:pt idx="732">
                  <c:v>42.939999</c:v>
                </c:pt>
                <c:pt idx="733">
                  <c:v>44.07</c:v>
                </c:pt>
                <c:pt idx="734">
                  <c:v>45.610000999999997</c:v>
                </c:pt>
                <c:pt idx="735">
                  <c:v>45.860000999999997</c:v>
                </c:pt>
                <c:pt idx="736">
                  <c:v>46.16</c:v>
                </c:pt>
                <c:pt idx="737">
                  <c:v>45.439999</c:v>
                </c:pt>
                <c:pt idx="738">
                  <c:v>45.299999</c:v>
                </c:pt>
                <c:pt idx="739">
                  <c:v>45.43</c:v>
                </c:pt>
                <c:pt idx="740">
                  <c:v>45.66</c:v>
                </c:pt>
                <c:pt idx="741">
                  <c:v>44.990001999999997</c:v>
                </c:pt>
                <c:pt idx="742">
                  <c:v>44.299999</c:v>
                </c:pt>
                <c:pt idx="743">
                  <c:v>44.990001999999997</c:v>
                </c:pt>
                <c:pt idx="744">
                  <c:v>45.610000999999997</c:v>
                </c:pt>
                <c:pt idx="745">
                  <c:v>46.470001000000003</c:v>
                </c:pt>
                <c:pt idx="746">
                  <c:v>45.650002000000001</c:v>
                </c:pt>
                <c:pt idx="747">
                  <c:v>47.310001</c:v>
                </c:pt>
                <c:pt idx="748">
                  <c:v>46.549999</c:v>
                </c:pt>
                <c:pt idx="749">
                  <c:v>45.77</c:v>
                </c:pt>
                <c:pt idx="750">
                  <c:v>46.009998000000003</c:v>
                </c:pt>
                <c:pt idx="751">
                  <c:v>47.16</c:v>
                </c:pt>
                <c:pt idx="752">
                  <c:v>46.200001</c:v>
                </c:pt>
                <c:pt idx="753">
                  <c:v>47.220001000000003</c:v>
                </c:pt>
                <c:pt idx="754">
                  <c:v>46.25</c:v>
                </c:pt>
                <c:pt idx="755">
                  <c:v>46.490001999999997</c:v>
                </c:pt>
                <c:pt idx="756">
                  <c:v>46.139999000000003</c:v>
                </c:pt>
                <c:pt idx="757">
                  <c:v>45.869999</c:v>
                </c:pt>
                <c:pt idx="758">
                  <c:v>43.119999</c:v>
                </c:pt>
                <c:pt idx="759">
                  <c:v>43.009998000000003</c:v>
                </c:pt>
                <c:pt idx="760">
                  <c:v>45.27</c:v>
                </c:pt>
                <c:pt idx="761">
                  <c:v>44.84</c:v>
                </c:pt>
                <c:pt idx="762">
                  <c:v>43.939999</c:v>
                </c:pt>
                <c:pt idx="763">
                  <c:v>44</c:v>
                </c:pt>
                <c:pt idx="764">
                  <c:v>45.810001</c:v>
                </c:pt>
                <c:pt idx="765">
                  <c:v>46.950001</c:v>
                </c:pt>
                <c:pt idx="766">
                  <c:v>46.720001000000003</c:v>
                </c:pt>
                <c:pt idx="767">
                  <c:v>47.099997999999999</c:v>
                </c:pt>
                <c:pt idx="768">
                  <c:v>47.900002000000001</c:v>
                </c:pt>
                <c:pt idx="769">
                  <c:v>47.240001999999997</c:v>
                </c:pt>
                <c:pt idx="770">
                  <c:v>47.57</c:v>
                </c:pt>
                <c:pt idx="771">
                  <c:v>48.93</c:v>
                </c:pt>
                <c:pt idx="772">
                  <c:v>48.099997999999999</c:v>
                </c:pt>
                <c:pt idx="773">
                  <c:v>48.509998000000003</c:v>
                </c:pt>
                <c:pt idx="774">
                  <c:v>48.5</c:v>
                </c:pt>
                <c:pt idx="775">
                  <c:v>49.849997999999999</c:v>
                </c:pt>
                <c:pt idx="776">
                  <c:v>50.150002000000001</c:v>
                </c:pt>
                <c:pt idx="777">
                  <c:v>51.34</c:v>
                </c:pt>
                <c:pt idx="778">
                  <c:v>51.259998000000003</c:v>
                </c:pt>
                <c:pt idx="779">
                  <c:v>50.669998</c:v>
                </c:pt>
                <c:pt idx="780">
                  <c:v>50.98</c:v>
                </c:pt>
                <c:pt idx="781">
                  <c:v>52.540000999999997</c:v>
                </c:pt>
                <c:pt idx="782">
                  <c:v>52.84</c:v>
                </c:pt>
                <c:pt idx="783">
                  <c:v>52.650002000000001</c:v>
                </c:pt>
                <c:pt idx="784">
                  <c:v>53.16</c:v>
                </c:pt>
                <c:pt idx="785">
                  <c:v>52.82</c:v>
                </c:pt>
                <c:pt idx="786">
                  <c:v>52.580002</c:v>
                </c:pt>
                <c:pt idx="787">
                  <c:v>52.610000999999997</c:v>
                </c:pt>
                <c:pt idx="788">
                  <c:v>52.52</c:v>
                </c:pt>
                <c:pt idx="789">
                  <c:v>52.380001</c:v>
                </c:pt>
                <c:pt idx="790">
                  <c:v>53.07</c:v>
                </c:pt>
                <c:pt idx="791">
                  <c:v>53.529998999999997</c:v>
                </c:pt>
                <c:pt idx="792">
                  <c:v>52.860000999999997</c:v>
                </c:pt>
                <c:pt idx="793">
                  <c:v>52.09</c:v>
                </c:pt>
                <c:pt idx="794">
                  <c:v>52.299999</c:v>
                </c:pt>
                <c:pt idx="795">
                  <c:v>51.57</c:v>
                </c:pt>
                <c:pt idx="796">
                  <c:v>52.09</c:v>
                </c:pt>
                <c:pt idx="797">
                  <c:v>51.650002000000001</c:v>
                </c:pt>
                <c:pt idx="798">
                  <c:v>51.830002</c:v>
                </c:pt>
                <c:pt idx="799">
                  <c:v>51.080002</c:v>
                </c:pt>
                <c:pt idx="800">
                  <c:v>52.209999000000003</c:v>
                </c:pt>
                <c:pt idx="801">
                  <c:v>50.779998999999997</c:v>
                </c:pt>
                <c:pt idx="802">
                  <c:v>49.529998999999997</c:v>
                </c:pt>
                <c:pt idx="803">
                  <c:v>50.639999000000003</c:v>
                </c:pt>
                <c:pt idx="804">
                  <c:v>49.880001</c:v>
                </c:pt>
                <c:pt idx="805">
                  <c:v>49.450001</c:v>
                </c:pt>
                <c:pt idx="806">
                  <c:v>50.360000999999997</c:v>
                </c:pt>
                <c:pt idx="807">
                  <c:v>51.34</c:v>
                </c:pt>
                <c:pt idx="808">
                  <c:v>54.080002</c:v>
                </c:pt>
                <c:pt idx="809">
                  <c:v>54.77</c:v>
                </c:pt>
                <c:pt idx="810">
                  <c:v>54.77</c:v>
                </c:pt>
                <c:pt idx="811">
                  <c:v>57.07</c:v>
                </c:pt>
                <c:pt idx="812">
                  <c:v>56.450001</c:v>
                </c:pt>
                <c:pt idx="813">
                  <c:v>55.939999</c:v>
                </c:pt>
                <c:pt idx="814">
                  <c:v>54.299999</c:v>
                </c:pt>
                <c:pt idx="815">
                  <c:v>53.400002000000001</c:v>
                </c:pt>
                <c:pt idx="816">
                  <c:v>54.209999000000003</c:v>
                </c:pt>
                <c:pt idx="817">
                  <c:v>53.779998999999997</c:v>
                </c:pt>
                <c:pt idx="818">
                  <c:v>51.889999000000003</c:v>
                </c:pt>
                <c:pt idx="819">
                  <c:v>51.889999000000003</c:v>
                </c:pt>
                <c:pt idx="820">
                  <c:v>53.970001000000003</c:v>
                </c:pt>
                <c:pt idx="821">
                  <c:v>54.099997999999999</c:v>
                </c:pt>
                <c:pt idx="822">
                  <c:v>52.825001</c:v>
                </c:pt>
                <c:pt idx="823">
                  <c:v>52.939999</c:v>
                </c:pt>
                <c:pt idx="824">
                  <c:v>54.360000999999997</c:v>
                </c:pt>
                <c:pt idx="825">
                  <c:v>54.299999</c:v>
                </c:pt>
                <c:pt idx="826">
                  <c:v>55.43</c:v>
                </c:pt>
                <c:pt idx="827">
                  <c:v>56.919998</c:v>
                </c:pt>
                <c:pt idx="828">
                  <c:v>56.84</c:v>
                </c:pt>
                <c:pt idx="829">
                  <c:v>54.970001000000003</c:v>
                </c:pt>
                <c:pt idx="830">
                  <c:v>56.720001000000003</c:v>
                </c:pt>
                <c:pt idx="831">
                  <c:v>58.700001</c:v>
                </c:pt>
                <c:pt idx="832">
                  <c:v>58.02</c:v>
                </c:pt>
                <c:pt idx="833">
                  <c:v>57.220001000000003</c:v>
                </c:pt>
                <c:pt idx="834">
                  <c:v>56.939999</c:v>
                </c:pt>
                <c:pt idx="835">
                  <c:v>53.880001</c:v>
                </c:pt>
                <c:pt idx="836">
                  <c:v>52.689999</c:v>
                </c:pt>
                <c:pt idx="837">
                  <c:v>51.220001000000003</c:v>
                </c:pt>
                <c:pt idx="838">
                  <c:v>51.950001</c:v>
                </c:pt>
                <c:pt idx="839">
                  <c:v>53.25</c:v>
                </c:pt>
                <c:pt idx="840">
                  <c:v>51.810001</c:v>
                </c:pt>
                <c:pt idx="841">
                  <c:v>50.215000000000003</c:v>
                </c:pt>
                <c:pt idx="842">
                  <c:v>54.080002</c:v>
                </c:pt>
                <c:pt idx="843">
                  <c:v>53.330002</c:v>
                </c:pt>
                <c:pt idx="844">
                  <c:v>52.400002000000001</c:v>
                </c:pt>
                <c:pt idx="845">
                  <c:v>51.84</c:v>
                </c:pt>
                <c:pt idx="846">
                  <c:v>52.075001</c:v>
                </c:pt>
                <c:pt idx="847">
                  <c:v>52.509998000000003</c:v>
                </c:pt>
                <c:pt idx="848">
                  <c:v>51.389999000000003</c:v>
                </c:pt>
                <c:pt idx="849">
                  <c:v>51.490001999999997</c:v>
                </c:pt>
                <c:pt idx="850">
                  <c:v>52.130001</c:v>
                </c:pt>
                <c:pt idx="851">
                  <c:v>52.310001</c:v>
                </c:pt>
                <c:pt idx="852">
                  <c:v>52.389999000000003</c:v>
                </c:pt>
                <c:pt idx="853">
                  <c:v>51.16</c:v>
                </c:pt>
                <c:pt idx="854">
                  <c:v>50.299999</c:v>
                </c:pt>
                <c:pt idx="855">
                  <c:v>49.939999</c:v>
                </c:pt>
                <c:pt idx="856">
                  <c:v>49.119999</c:v>
                </c:pt>
                <c:pt idx="857">
                  <c:v>47.610000999999997</c:v>
                </c:pt>
                <c:pt idx="858">
                  <c:v>45.73</c:v>
                </c:pt>
                <c:pt idx="859">
                  <c:v>44.810001</c:v>
                </c:pt>
                <c:pt idx="860">
                  <c:v>46.419998</c:v>
                </c:pt>
                <c:pt idx="861">
                  <c:v>47.310001</c:v>
                </c:pt>
                <c:pt idx="862">
                  <c:v>49.380001</c:v>
                </c:pt>
                <c:pt idx="863">
                  <c:v>49.560001</c:v>
                </c:pt>
                <c:pt idx="864">
                  <c:v>48.959999000000003</c:v>
                </c:pt>
                <c:pt idx="865">
                  <c:v>48.099997999999999</c:v>
                </c:pt>
                <c:pt idx="866">
                  <c:v>43.959999000000003</c:v>
                </c:pt>
                <c:pt idx="867">
                  <c:v>45.509998000000003</c:v>
                </c:pt>
                <c:pt idx="868">
                  <c:v>44.990001999999997</c:v>
                </c:pt>
                <c:pt idx="869">
                  <c:v>44.060001</c:v>
                </c:pt>
                <c:pt idx="870">
                  <c:v>43.200001</c:v>
                </c:pt>
                <c:pt idx="871">
                  <c:v>42.09</c:v>
                </c:pt>
                <c:pt idx="872">
                  <c:v>40.889999000000003</c:v>
                </c:pt>
                <c:pt idx="873">
                  <c:v>42.419998</c:v>
                </c:pt>
                <c:pt idx="874">
                  <c:v>40.020000000000003</c:v>
                </c:pt>
                <c:pt idx="875">
                  <c:v>37.509998000000003</c:v>
                </c:pt>
                <c:pt idx="876">
                  <c:v>39.650002000000001</c:v>
                </c:pt>
                <c:pt idx="877">
                  <c:v>43.299999</c:v>
                </c:pt>
                <c:pt idx="878">
                  <c:v>44.290000999999997</c:v>
                </c:pt>
                <c:pt idx="879">
                  <c:v>40.650002000000001</c:v>
                </c:pt>
                <c:pt idx="880">
                  <c:v>40.740001999999997</c:v>
                </c:pt>
                <c:pt idx="881">
                  <c:v>43.740001999999997</c:v>
                </c:pt>
                <c:pt idx="882">
                  <c:v>40.970001000000003</c:v>
                </c:pt>
                <c:pt idx="883">
                  <c:v>40.229999999999997</c:v>
                </c:pt>
                <c:pt idx="884">
                  <c:v>41.290000999999997</c:v>
                </c:pt>
                <c:pt idx="885">
                  <c:v>43.07</c:v>
                </c:pt>
                <c:pt idx="886">
                  <c:v>43.27</c:v>
                </c:pt>
                <c:pt idx="887">
                  <c:v>42.400002000000001</c:v>
                </c:pt>
                <c:pt idx="888">
                  <c:v>44.669998</c:v>
                </c:pt>
                <c:pt idx="889">
                  <c:v>46.220001000000003</c:v>
                </c:pt>
                <c:pt idx="890">
                  <c:v>43.990001999999997</c:v>
                </c:pt>
                <c:pt idx="891">
                  <c:v>44</c:v>
                </c:pt>
                <c:pt idx="892">
                  <c:v>44.66</c:v>
                </c:pt>
                <c:pt idx="893">
                  <c:v>44.990001999999997</c:v>
                </c:pt>
                <c:pt idx="894">
                  <c:v>44.790000999999997</c:v>
                </c:pt>
                <c:pt idx="895">
                  <c:v>45.549999</c:v>
                </c:pt>
                <c:pt idx="896">
                  <c:v>47.889999000000003</c:v>
                </c:pt>
                <c:pt idx="897">
                  <c:v>47.220001000000003</c:v>
                </c:pt>
                <c:pt idx="898">
                  <c:v>48.68</c:v>
                </c:pt>
                <c:pt idx="899">
                  <c:v>49.990001999999997</c:v>
                </c:pt>
                <c:pt idx="900">
                  <c:v>51.93</c:v>
                </c:pt>
                <c:pt idx="901">
                  <c:v>51.400002000000001</c:v>
                </c:pt>
                <c:pt idx="902">
                  <c:v>50.959999000000003</c:v>
                </c:pt>
                <c:pt idx="903">
                  <c:v>51.040000999999997</c:v>
                </c:pt>
                <c:pt idx="904">
                  <c:v>51.990001999999997</c:v>
                </c:pt>
                <c:pt idx="905">
                  <c:v>52</c:v>
                </c:pt>
                <c:pt idx="906">
                  <c:v>52.91</c:v>
                </c:pt>
                <c:pt idx="907">
                  <c:v>52.18</c:v>
                </c:pt>
                <c:pt idx="908">
                  <c:v>51.779998999999997</c:v>
                </c:pt>
                <c:pt idx="909">
                  <c:v>48.970001000000003</c:v>
                </c:pt>
                <c:pt idx="910">
                  <c:v>48.52</c:v>
                </c:pt>
                <c:pt idx="911">
                  <c:v>48.380001</c:v>
                </c:pt>
                <c:pt idx="912">
                  <c:v>50.400002000000001</c:v>
                </c:pt>
                <c:pt idx="913">
                  <c:v>49.73</c:v>
                </c:pt>
                <c:pt idx="914">
                  <c:v>50.650002000000001</c:v>
                </c:pt>
                <c:pt idx="915">
                  <c:v>50.68</c:v>
                </c:pt>
                <c:pt idx="916">
                  <c:v>50.509998000000003</c:v>
                </c:pt>
                <c:pt idx="917">
                  <c:v>49.790000999999997</c:v>
                </c:pt>
                <c:pt idx="918">
                  <c:v>49</c:v>
                </c:pt>
                <c:pt idx="919">
                  <c:v>49.5</c:v>
                </c:pt>
                <c:pt idx="920">
                  <c:v>49.130001</c:v>
                </c:pt>
                <c:pt idx="921">
                  <c:v>47.48</c:v>
                </c:pt>
                <c:pt idx="922">
                  <c:v>49.84</c:v>
                </c:pt>
                <c:pt idx="923">
                  <c:v>51.209999000000003</c:v>
                </c:pt>
                <c:pt idx="924">
                  <c:v>50.790000999999997</c:v>
                </c:pt>
                <c:pt idx="925">
                  <c:v>50.529998999999997</c:v>
                </c:pt>
                <c:pt idx="926">
                  <c:v>52.689999</c:v>
                </c:pt>
                <c:pt idx="927">
                  <c:v>53.470001000000003</c:v>
                </c:pt>
                <c:pt idx="928">
                  <c:v>52.869999</c:v>
                </c:pt>
                <c:pt idx="929">
                  <c:v>52.830002</c:v>
                </c:pt>
                <c:pt idx="930">
                  <c:v>52.139999000000003</c:v>
                </c:pt>
                <c:pt idx="931">
                  <c:v>53.209999000000003</c:v>
                </c:pt>
                <c:pt idx="932">
                  <c:v>50.529998999999997</c:v>
                </c:pt>
                <c:pt idx="933">
                  <c:v>52.189999</c:v>
                </c:pt>
                <c:pt idx="934">
                  <c:v>51.439999</c:v>
                </c:pt>
                <c:pt idx="935">
                  <c:v>50.240001999999997</c:v>
                </c:pt>
                <c:pt idx="936">
                  <c:v>53.23</c:v>
                </c:pt>
                <c:pt idx="937">
                  <c:v>52.740001999999997</c:v>
                </c:pt>
                <c:pt idx="938">
                  <c:v>52.900002000000001</c:v>
                </c:pt>
                <c:pt idx="939">
                  <c:v>52.610000999999997</c:v>
                </c:pt>
                <c:pt idx="940">
                  <c:v>52.57</c:v>
                </c:pt>
                <c:pt idx="941">
                  <c:v>52.450001</c:v>
                </c:pt>
                <c:pt idx="942">
                  <c:v>52.830002</c:v>
                </c:pt>
                <c:pt idx="943">
                  <c:v>53.43</c:v>
                </c:pt>
                <c:pt idx="944">
                  <c:v>53.150002000000001</c:v>
                </c:pt>
                <c:pt idx="945">
                  <c:v>54.630001</c:v>
                </c:pt>
                <c:pt idx="946">
                  <c:v>54.16</c:v>
                </c:pt>
                <c:pt idx="947">
                  <c:v>54.689999</c:v>
                </c:pt>
                <c:pt idx="948">
                  <c:v>55.060001</c:v>
                </c:pt>
                <c:pt idx="949">
                  <c:v>55.41</c:v>
                </c:pt>
                <c:pt idx="950">
                  <c:v>55.57</c:v>
                </c:pt>
                <c:pt idx="951">
                  <c:v>54.66</c:v>
                </c:pt>
                <c:pt idx="952">
                  <c:v>57.119999</c:v>
                </c:pt>
                <c:pt idx="953">
                  <c:v>55.880001</c:v>
                </c:pt>
                <c:pt idx="954">
                  <c:v>55.900002000000001</c:v>
                </c:pt>
                <c:pt idx="955">
                  <c:v>55.09</c:v>
                </c:pt>
                <c:pt idx="956">
                  <c:v>54.540000999999997</c:v>
                </c:pt>
                <c:pt idx="957">
                  <c:v>54.740001999999997</c:v>
                </c:pt>
                <c:pt idx="958">
                  <c:v>54.32</c:v>
                </c:pt>
                <c:pt idx="959">
                  <c:v>57.080002</c:v>
                </c:pt>
                <c:pt idx="960">
                  <c:v>58.02</c:v>
                </c:pt>
                <c:pt idx="961">
                  <c:v>58.98</c:v>
                </c:pt>
                <c:pt idx="962">
                  <c:v>59.470001000000003</c:v>
                </c:pt>
                <c:pt idx="963">
                  <c:v>61.48</c:v>
                </c:pt>
                <c:pt idx="964">
                  <c:v>59.75</c:v>
                </c:pt>
                <c:pt idx="965">
                  <c:v>56.720001000000003</c:v>
                </c:pt>
                <c:pt idx="966">
                  <c:v>56.209999000000003</c:v>
                </c:pt>
                <c:pt idx="967">
                  <c:v>57.009998000000003</c:v>
                </c:pt>
                <c:pt idx="968">
                  <c:v>57.98</c:v>
                </c:pt>
                <c:pt idx="969">
                  <c:v>61.619999</c:v>
                </c:pt>
                <c:pt idx="970">
                  <c:v>61.779998999999997</c:v>
                </c:pt>
                <c:pt idx="971">
                  <c:v>59.360000999999997</c:v>
                </c:pt>
                <c:pt idx="972">
                  <c:v>59.07</c:v>
                </c:pt>
                <c:pt idx="973">
                  <c:v>58.57</c:v>
                </c:pt>
                <c:pt idx="974">
                  <c:v>58.299999</c:v>
                </c:pt>
                <c:pt idx="975">
                  <c:v>58.82</c:v>
                </c:pt>
                <c:pt idx="976">
                  <c:v>59.25</c:v>
                </c:pt>
                <c:pt idx="977">
                  <c:v>58.77</c:v>
                </c:pt>
                <c:pt idx="978">
                  <c:v>59</c:v>
                </c:pt>
                <c:pt idx="979">
                  <c:v>61.200001</c:v>
                </c:pt>
                <c:pt idx="980">
                  <c:v>59.82</c:v>
                </c:pt>
                <c:pt idx="981">
                  <c:v>58.419998</c:v>
                </c:pt>
                <c:pt idx="982">
                  <c:v>58.82</c:v>
                </c:pt>
                <c:pt idx="983">
                  <c:v>58.540000999999997</c:v>
                </c:pt>
                <c:pt idx="984">
                  <c:v>59</c:v>
                </c:pt>
                <c:pt idx="985">
                  <c:v>57.52</c:v>
                </c:pt>
                <c:pt idx="986">
                  <c:v>58.75</c:v>
                </c:pt>
                <c:pt idx="987">
                  <c:v>58.400002000000001</c:v>
                </c:pt>
                <c:pt idx="988">
                  <c:v>60.200001</c:v>
                </c:pt>
                <c:pt idx="989">
                  <c:v>60.419998</c:v>
                </c:pt>
                <c:pt idx="990">
                  <c:v>59.009998000000003</c:v>
                </c:pt>
                <c:pt idx="991">
                  <c:v>59.48</c:v>
                </c:pt>
                <c:pt idx="992">
                  <c:v>59.389999000000003</c:v>
                </c:pt>
                <c:pt idx="993">
                  <c:v>57.630001</c:v>
                </c:pt>
                <c:pt idx="994">
                  <c:v>58.540000999999997</c:v>
                </c:pt>
                <c:pt idx="995">
                  <c:v>58.619999</c:v>
                </c:pt>
                <c:pt idx="996">
                  <c:v>59.419998</c:v>
                </c:pt>
                <c:pt idx="997">
                  <c:v>58.689999</c:v>
                </c:pt>
                <c:pt idx="998">
                  <c:v>58.290000999999997</c:v>
                </c:pt>
                <c:pt idx="999">
                  <c:v>58.16</c:v>
                </c:pt>
                <c:pt idx="1000">
                  <c:v>56.290000999999997</c:v>
                </c:pt>
                <c:pt idx="1001">
                  <c:v>55.139999000000003</c:v>
                </c:pt>
                <c:pt idx="1002">
                  <c:v>55.919998</c:v>
                </c:pt>
                <c:pt idx="1003">
                  <c:v>54.369999</c:v>
                </c:pt>
                <c:pt idx="1004">
                  <c:v>55.02</c:v>
                </c:pt>
                <c:pt idx="1005">
                  <c:v>55.040000999999997</c:v>
                </c:pt>
                <c:pt idx="1006">
                  <c:v>55.049999</c:v>
                </c:pt>
                <c:pt idx="1007">
                  <c:v>54.98</c:v>
                </c:pt>
                <c:pt idx="1008">
                  <c:v>56.25</c:v>
                </c:pt>
                <c:pt idx="1009">
                  <c:v>54.209999000000003</c:v>
                </c:pt>
                <c:pt idx="1010">
                  <c:v>54.34</c:v>
                </c:pt>
                <c:pt idx="1011">
                  <c:v>54.580002</c:v>
                </c:pt>
                <c:pt idx="1012">
                  <c:v>55.07</c:v>
                </c:pt>
                <c:pt idx="1013">
                  <c:v>57.25</c:v>
                </c:pt>
                <c:pt idx="1014">
                  <c:v>58.959999000000003</c:v>
                </c:pt>
                <c:pt idx="1015">
                  <c:v>58.959999000000003</c:v>
                </c:pt>
                <c:pt idx="1016">
                  <c:v>58</c:v>
                </c:pt>
                <c:pt idx="1017">
                  <c:v>58.900002000000001</c:v>
                </c:pt>
                <c:pt idx="1018">
                  <c:v>58.57</c:v>
                </c:pt>
                <c:pt idx="1019">
                  <c:v>58.57</c:v>
                </c:pt>
                <c:pt idx="1020">
                  <c:v>58.700001</c:v>
                </c:pt>
                <c:pt idx="1021">
                  <c:v>58.700001</c:v>
                </c:pt>
                <c:pt idx="1022">
                  <c:v>60.09</c:v>
                </c:pt>
                <c:pt idx="1023">
                  <c:v>61.790000999999997</c:v>
                </c:pt>
                <c:pt idx="1024">
                  <c:v>61.880001</c:v>
                </c:pt>
                <c:pt idx="1025">
                  <c:v>62.959999000000003</c:v>
                </c:pt>
                <c:pt idx="1026">
                  <c:v>61.25</c:v>
                </c:pt>
                <c:pt idx="1027">
                  <c:v>62.689999</c:v>
                </c:pt>
                <c:pt idx="1028">
                  <c:v>61.200001</c:v>
                </c:pt>
                <c:pt idx="1029">
                  <c:v>60.59</c:v>
                </c:pt>
                <c:pt idx="1030">
                  <c:v>60.25</c:v>
                </c:pt>
                <c:pt idx="1031">
                  <c:v>61.68</c:v>
                </c:pt>
                <c:pt idx="1032">
                  <c:v>61.110000999999997</c:v>
                </c:pt>
                <c:pt idx="1033">
                  <c:v>62.040000999999997</c:v>
                </c:pt>
                <c:pt idx="1034">
                  <c:v>62.419998</c:v>
                </c:pt>
                <c:pt idx="1035">
                  <c:v>63.43</c:v>
                </c:pt>
                <c:pt idx="1036">
                  <c:v>64.370002999999997</c:v>
                </c:pt>
                <c:pt idx="1037">
                  <c:v>63.990001999999997</c:v>
                </c:pt>
                <c:pt idx="1038">
                  <c:v>64.019997000000004</c:v>
                </c:pt>
                <c:pt idx="1039">
                  <c:v>65.190002000000007</c:v>
                </c:pt>
                <c:pt idx="1040">
                  <c:v>67.180000000000007</c:v>
                </c:pt>
                <c:pt idx="1041">
                  <c:v>67.160004000000001</c:v>
                </c:pt>
                <c:pt idx="1042">
                  <c:v>65.839995999999999</c:v>
                </c:pt>
                <c:pt idx="1043">
                  <c:v>66.400002000000001</c:v>
                </c:pt>
                <c:pt idx="1044">
                  <c:v>67.879997000000003</c:v>
                </c:pt>
                <c:pt idx="1045">
                  <c:v>69.730002999999996</c:v>
                </c:pt>
                <c:pt idx="1046">
                  <c:v>71.110000999999997</c:v>
                </c:pt>
                <c:pt idx="1047">
                  <c:v>73.629997000000003</c:v>
                </c:pt>
                <c:pt idx="1048">
                  <c:v>71.319999999999993</c:v>
                </c:pt>
                <c:pt idx="1049">
                  <c:v>73.339995999999999</c:v>
                </c:pt>
                <c:pt idx="1050">
                  <c:v>75.010002</c:v>
                </c:pt>
                <c:pt idx="1051">
                  <c:v>78.779999000000004</c:v>
                </c:pt>
                <c:pt idx="1052">
                  <c:v>81.129997000000003</c:v>
                </c:pt>
                <c:pt idx="1053">
                  <c:v>80.279999000000004</c:v>
                </c:pt>
                <c:pt idx="1054">
                  <c:v>78.589995999999999</c:v>
                </c:pt>
                <c:pt idx="1055">
                  <c:v>78.360000999999997</c:v>
                </c:pt>
                <c:pt idx="1056">
                  <c:v>76.819999999999993</c:v>
                </c:pt>
                <c:pt idx="1057">
                  <c:v>78.180000000000007</c:v>
                </c:pt>
                <c:pt idx="1058">
                  <c:v>78.470000999999996</c:v>
                </c:pt>
                <c:pt idx="1059">
                  <c:v>77.769997000000004</c:v>
                </c:pt>
                <c:pt idx="1060">
                  <c:v>81.080001999999993</c:v>
                </c:pt>
                <c:pt idx="1061">
                  <c:v>80.360000999999997</c:v>
                </c:pt>
                <c:pt idx="1062">
                  <c:v>82.470000999999996</c:v>
                </c:pt>
                <c:pt idx="1063">
                  <c:v>83.43</c:v>
                </c:pt>
                <c:pt idx="1064">
                  <c:v>83.849997999999999</c:v>
                </c:pt>
                <c:pt idx="1065">
                  <c:v>80.370002999999997</c:v>
                </c:pt>
                <c:pt idx="1066">
                  <c:v>83.419998000000007</c:v>
                </c:pt>
                <c:pt idx="1067">
                  <c:v>82.260002</c:v>
                </c:pt>
                <c:pt idx="1068">
                  <c:v>85.139999000000003</c:v>
                </c:pt>
                <c:pt idx="1069">
                  <c:v>86.639999000000003</c:v>
                </c:pt>
                <c:pt idx="1070">
                  <c:v>86.300003000000004</c:v>
                </c:pt>
                <c:pt idx="1071">
                  <c:v>84.120002999999997</c:v>
                </c:pt>
                <c:pt idx="1072">
                  <c:v>88.709998999999996</c:v>
                </c:pt>
                <c:pt idx="1073">
                  <c:v>90.860000999999997</c:v>
                </c:pt>
                <c:pt idx="1074">
                  <c:v>91.540001000000004</c:v>
                </c:pt>
                <c:pt idx="1075">
                  <c:v>92.610000999999997</c:v>
                </c:pt>
                <c:pt idx="1076">
                  <c:v>97.230002999999996</c:v>
                </c:pt>
                <c:pt idx="1077">
                  <c:v>93.260002</c:v>
                </c:pt>
                <c:pt idx="1078">
                  <c:v>92.489998</c:v>
                </c:pt>
                <c:pt idx="1079">
                  <c:v>91.019997000000004</c:v>
                </c:pt>
                <c:pt idx="1080">
                  <c:v>91.010002</c:v>
                </c:pt>
                <c:pt idx="1081">
                  <c:v>88.199996999999996</c:v>
                </c:pt>
                <c:pt idx="1082">
                  <c:v>91.389999000000003</c:v>
                </c:pt>
                <c:pt idx="1083">
                  <c:v>89.129997000000003</c:v>
                </c:pt>
                <c:pt idx="1084">
                  <c:v>89.599997999999999</c:v>
                </c:pt>
                <c:pt idx="1085">
                  <c:v>90.290001000000004</c:v>
                </c:pt>
                <c:pt idx="1086">
                  <c:v>90.209998999999996</c:v>
                </c:pt>
                <c:pt idx="1087">
                  <c:v>92.269997000000004</c:v>
                </c:pt>
                <c:pt idx="1088">
                  <c:v>90.860000999999997</c:v>
                </c:pt>
                <c:pt idx="1089">
                  <c:v>90.75</c:v>
                </c:pt>
                <c:pt idx="1090">
                  <c:v>90.879997000000003</c:v>
                </c:pt>
                <c:pt idx="1091">
                  <c:v>87.839995999999999</c:v>
                </c:pt>
                <c:pt idx="1092">
                  <c:v>91.440002000000007</c:v>
                </c:pt>
                <c:pt idx="1093">
                  <c:v>91.150002000000001</c:v>
                </c:pt>
                <c:pt idx="1094">
                  <c:v>87.900002000000001</c:v>
                </c:pt>
                <c:pt idx="1095">
                  <c:v>87.470000999999996</c:v>
                </c:pt>
                <c:pt idx="1096">
                  <c:v>89.989998</c:v>
                </c:pt>
                <c:pt idx="1097">
                  <c:v>93.160004000000001</c:v>
                </c:pt>
                <c:pt idx="1098">
                  <c:v>91.949996999999996</c:v>
                </c:pt>
                <c:pt idx="1099">
                  <c:v>89.970000999999996</c:v>
                </c:pt>
                <c:pt idx="1100">
                  <c:v>88.190002000000007</c:v>
                </c:pt>
                <c:pt idx="1101">
                  <c:v>89.440002000000007</c:v>
                </c:pt>
                <c:pt idx="1102">
                  <c:v>92.599997999999999</c:v>
                </c:pt>
                <c:pt idx="1103">
                  <c:v>96.290001000000004</c:v>
                </c:pt>
                <c:pt idx="1104">
                  <c:v>97.980002999999996</c:v>
                </c:pt>
                <c:pt idx="1105">
                  <c:v>101.93</c:v>
                </c:pt>
                <c:pt idx="1106">
                  <c:v>109.970001</c:v>
                </c:pt>
                <c:pt idx="1107">
                  <c:v>108.290001</c:v>
                </c:pt>
                <c:pt idx="1108">
                  <c:v>104.279999</c:v>
                </c:pt>
                <c:pt idx="1109">
                  <c:v>99.75</c:v>
                </c:pt>
                <c:pt idx="1110">
                  <c:v>99.330001999999993</c:v>
                </c:pt>
                <c:pt idx="1111">
                  <c:v>99.389999000000003</c:v>
                </c:pt>
                <c:pt idx="1112">
                  <c:v>105.769997</c:v>
                </c:pt>
                <c:pt idx="1113">
                  <c:v>103.959999</c:v>
                </c:pt>
                <c:pt idx="1114">
                  <c:v>100.550003</c:v>
                </c:pt>
                <c:pt idx="1115">
                  <c:v>100.199997</c:v>
                </c:pt>
                <c:pt idx="1116">
                  <c:v>104.970001</c:v>
                </c:pt>
                <c:pt idx="1117">
                  <c:v>105.599998</c:v>
                </c:pt>
                <c:pt idx="1118">
                  <c:v>106.019997</c:v>
                </c:pt>
                <c:pt idx="1119">
                  <c:v>106.66999800000001</c:v>
                </c:pt>
                <c:pt idx="1120">
                  <c:v>107.75</c:v>
                </c:pt>
                <c:pt idx="1121">
                  <c:v>104.489998</c:v>
                </c:pt>
                <c:pt idx="1122">
                  <c:v>104.260002</c:v>
                </c:pt>
                <c:pt idx="1123">
                  <c:v>103.739998</c:v>
                </c:pt>
                <c:pt idx="1124">
                  <c:v>102.129997</c:v>
                </c:pt>
                <c:pt idx="1125">
                  <c:v>101.80999799999999</c:v>
                </c:pt>
                <c:pt idx="1126">
                  <c:v>101.699997</c:v>
                </c:pt>
                <c:pt idx="1127">
                  <c:v>100.019997</c:v>
                </c:pt>
                <c:pt idx="1128">
                  <c:v>100.58000199999999</c:v>
                </c:pt>
                <c:pt idx="1129">
                  <c:v>102.400002</c:v>
                </c:pt>
                <c:pt idx="1130">
                  <c:v>103.839996</c:v>
                </c:pt>
                <c:pt idx="1131">
                  <c:v>103.989998</c:v>
                </c:pt>
                <c:pt idx="1132">
                  <c:v>107.459999</c:v>
                </c:pt>
                <c:pt idx="1133">
                  <c:v>106.660004</c:v>
                </c:pt>
                <c:pt idx="1134">
                  <c:v>105.68</c:v>
                </c:pt>
                <c:pt idx="1135">
                  <c:v>105.290001</c:v>
                </c:pt>
                <c:pt idx="1136">
                  <c:v>103.18</c:v>
                </c:pt>
                <c:pt idx="1137">
                  <c:v>101.57</c:v>
                </c:pt>
                <c:pt idx="1138">
                  <c:v>100.980003</c:v>
                </c:pt>
                <c:pt idx="1139">
                  <c:v>101.07</c:v>
                </c:pt>
                <c:pt idx="1140">
                  <c:v>102.139999</c:v>
                </c:pt>
                <c:pt idx="1141">
                  <c:v>105.18</c:v>
                </c:pt>
                <c:pt idx="1142">
                  <c:v>103.66999800000001</c:v>
                </c:pt>
                <c:pt idx="1143">
                  <c:v>102.379997</c:v>
                </c:pt>
                <c:pt idx="1144">
                  <c:v>102.290001</c:v>
                </c:pt>
                <c:pt idx="1145">
                  <c:v>104.349998</c:v>
                </c:pt>
                <c:pt idx="1146">
                  <c:v>102.300003</c:v>
                </c:pt>
                <c:pt idx="1147">
                  <c:v>101.80999799999999</c:v>
                </c:pt>
                <c:pt idx="1148">
                  <c:v>102.110001</c:v>
                </c:pt>
                <c:pt idx="1149">
                  <c:v>100.699997</c:v>
                </c:pt>
                <c:pt idx="1150">
                  <c:v>97.550003000000004</c:v>
                </c:pt>
                <c:pt idx="1151">
                  <c:v>94.769997000000004</c:v>
                </c:pt>
                <c:pt idx="1152">
                  <c:v>91.57</c:v>
                </c:pt>
                <c:pt idx="1153">
                  <c:v>90.93</c:v>
                </c:pt>
                <c:pt idx="1154">
                  <c:v>89.75</c:v>
                </c:pt>
                <c:pt idx="1155">
                  <c:v>93.519997000000004</c:v>
                </c:pt>
                <c:pt idx="1156">
                  <c:v>96.620002999999997</c:v>
                </c:pt>
                <c:pt idx="1157">
                  <c:v>100.209999</c:v>
                </c:pt>
                <c:pt idx="1158">
                  <c:v>108.93</c:v>
                </c:pt>
                <c:pt idx="1159">
                  <c:v>109.800003</c:v>
                </c:pt>
                <c:pt idx="1160">
                  <c:v>104.57</c:v>
                </c:pt>
                <c:pt idx="1161">
                  <c:v>103.610001</c:v>
                </c:pt>
                <c:pt idx="1162">
                  <c:v>100.58000199999999</c:v>
                </c:pt>
                <c:pt idx="1163">
                  <c:v>100.33000199999999</c:v>
                </c:pt>
                <c:pt idx="1164">
                  <c:v>101.540001</c:v>
                </c:pt>
                <c:pt idx="1165">
                  <c:v>97.949996999999996</c:v>
                </c:pt>
                <c:pt idx="1166">
                  <c:v>94.790001000000004</c:v>
                </c:pt>
                <c:pt idx="1167">
                  <c:v>95.779999000000004</c:v>
                </c:pt>
                <c:pt idx="1168">
                  <c:v>94.050003000000004</c:v>
                </c:pt>
                <c:pt idx="1169">
                  <c:v>91</c:v>
                </c:pt>
                <c:pt idx="1170">
                  <c:v>91.650002000000001</c:v>
                </c:pt>
                <c:pt idx="1171">
                  <c:v>92.849997999999999</c:v>
                </c:pt>
                <c:pt idx="1172">
                  <c:v>95.589995999999999</c:v>
                </c:pt>
                <c:pt idx="1173">
                  <c:v>97.139999000000003</c:v>
                </c:pt>
                <c:pt idx="1174">
                  <c:v>96.860000999999997</c:v>
                </c:pt>
                <c:pt idx="1175">
                  <c:v>98.010002</c:v>
                </c:pt>
                <c:pt idx="1176">
                  <c:v>97.68</c:v>
                </c:pt>
                <c:pt idx="1177">
                  <c:v>99.690002000000007</c:v>
                </c:pt>
                <c:pt idx="1178">
                  <c:v>92.879997000000003</c:v>
                </c:pt>
                <c:pt idx="1179">
                  <c:v>90.940002000000007</c:v>
                </c:pt>
                <c:pt idx="1180">
                  <c:v>92.169998000000007</c:v>
                </c:pt>
                <c:pt idx="1181">
                  <c:v>91.660004000000001</c:v>
                </c:pt>
                <c:pt idx="1182">
                  <c:v>93.349997999999999</c:v>
                </c:pt>
                <c:pt idx="1183">
                  <c:v>92.93</c:v>
                </c:pt>
                <c:pt idx="1184">
                  <c:v>91.410004000000001</c:v>
                </c:pt>
                <c:pt idx="1185">
                  <c:v>88.339995999999999</c:v>
                </c:pt>
                <c:pt idx="1186">
                  <c:v>86.639999000000003</c:v>
                </c:pt>
                <c:pt idx="1187">
                  <c:v>89.849997999999999</c:v>
                </c:pt>
                <c:pt idx="1188">
                  <c:v>87.949996999999996</c:v>
                </c:pt>
                <c:pt idx="1189">
                  <c:v>90.919998000000007</c:v>
                </c:pt>
                <c:pt idx="1190">
                  <c:v>91.68</c:v>
                </c:pt>
                <c:pt idx="1191">
                  <c:v>91.870002999999997</c:v>
                </c:pt>
                <c:pt idx="1192">
                  <c:v>92.040001000000004</c:v>
                </c:pt>
                <c:pt idx="1193">
                  <c:v>92.309997999999993</c:v>
                </c:pt>
                <c:pt idx="1194">
                  <c:v>93.839995999999999</c:v>
                </c:pt>
                <c:pt idx="1195">
                  <c:v>93.760002</c:v>
                </c:pt>
                <c:pt idx="1196">
                  <c:v>93.949996999999996</c:v>
                </c:pt>
                <c:pt idx="1197">
                  <c:v>94.800003000000004</c:v>
                </c:pt>
                <c:pt idx="1198">
                  <c:v>95.080001999999993</c:v>
                </c:pt>
                <c:pt idx="1199">
                  <c:v>93.849997999999999</c:v>
                </c:pt>
                <c:pt idx="1200">
                  <c:v>93.730002999999996</c:v>
                </c:pt>
                <c:pt idx="1201">
                  <c:v>92.209998999999996</c:v>
                </c:pt>
                <c:pt idx="1202">
                  <c:v>91.730002999999996</c:v>
                </c:pt>
                <c:pt idx="1203">
                  <c:v>91.639999000000003</c:v>
                </c:pt>
                <c:pt idx="1204">
                  <c:v>90.589995999999999</c:v>
                </c:pt>
                <c:pt idx="1205">
                  <c:v>88.489998</c:v>
                </c:pt>
                <c:pt idx="1206">
                  <c:v>94.809997999999993</c:v>
                </c:pt>
                <c:pt idx="1207">
                  <c:v>92.660004000000001</c:v>
                </c:pt>
                <c:pt idx="1208">
                  <c:v>90.5</c:v>
                </c:pt>
                <c:pt idx="1209">
                  <c:v>90.419998000000007</c:v>
                </c:pt>
                <c:pt idx="1210">
                  <c:v>92.739998</c:v>
                </c:pt>
                <c:pt idx="1211">
                  <c:v>94.209998999999996</c:v>
                </c:pt>
                <c:pt idx="1212">
                  <c:v>94.870002999999997</c:v>
                </c:pt>
                <c:pt idx="1213">
                  <c:v>96.839995999999999</c:v>
                </c:pt>
                <c:pt idx="1214">
                  <c:v>98.370002999999997</c:v>
                </c:pt>
                <c:pt idx="1215">
                  <c:v>96.360000999999997</c:v>
                </c:pt>
                <c:pt idx="1216">
                  <c:v>97.050003000000004</c:v>
                </c:pt>
                <c:pt idx="1217">
                  <c:v>91.209998999999996</c:v>
                </c:pt>
                <c:pt idx="1218">
                  <c:v>91.260002</c:v>
                </c:pt>
                <c:pt idx="1219">
                  <c:v>93.099997999999999</c:v>
                </c:pt>
                <c:pt idx="1220">
                  <c:v>94.279999000000004</c:v>
                </c:pt>
                <c:pt idx="1221">
                  <c:v>95.029999000000004</c:v>
                </c:pt>
                <c:pt idx="1222">
                  <c:v>94.800003000000004</c:v>
                </c:pt>
                <c:pt idx="1223">
                  <c:v>93.75</c:v>
                </c:pt>
                <c:pt idx="1224">
                  <c:v>93.800003000000004</c:v>
                </c:pt>
                <c:pt idx="1225">
                  <c:v>95.57</c:v>
                </c:pt>
                <c:pt idx="1226">
                  <c:v>92.5</c:v>
                </c:pt>
                <c:pt idx="1227">
                  <c:v>93.239998</c:v>
                </c:pt>
                <c:pt idx="1228">
                  <c:v>92.129997000000003</c:v>
                </c:pt>
                <c:pt idx="1229">
                  <c:v>90.580001999999993</c:v>
                </c:pt>
                <c:pt idx="1230">
                  <c:v>90.970000999999996</c:v>
                </c:pt>
                <c:pt idx="1231">
                  <c:v>86.410004000000001</c:v>
                </c:pt>
                <c:pt idx="1232">
                  <c:v>87.709998999999996</c:v>
                </c:pt>
                <c:pt idx="1233">
                  <c:v>88.559997999999993</c:v>
                </c:pt>
                <c:pt idx="1234">
                  <c:v>88.209998999999996</c:v>
                </c:pt>
                <c:pt idx="1235">
                  <c:v>90.400002000000001</c:v>
                </c:pt>
                <c:pt idx="1236">
                  <c:v>89.089995999999999</c:v>
                </c:pt>
                <c:pt idx="1237">
                  <c:v>90.290001000000004</c:v>
                </c:pt>
                <c:pt idx="1238">
                  <c:v>92.739998</c:v>
                </c:pt>
                <c:pt idx="1239">
                  <c:v>93.550003000000004</c:v>
                </c:pt>
                <c:pt idx="1240">
                  <c:v>90.580001999999993</c:v>
                </c:pt>
                <c:pt idx="1241">
                  <c:v>90.25</c:v>
                </c:pt>
                <c:pt idx="1242">
                  <c:v>91.169998000000007</c:v>
                </c:pt>
                <c:pt idx="1243">
                  <c:v>90.839995999999999</c:v>
                </c:pt>
                <c:pt idx="1244">
                  <c:v>88.120002999999997</c:v>
                </c:pt>
                <c:pt idx="1245">
                  <c:v>87.059997999999993</c:v>
                </c:pt>
                <c:pt idx="1246">
                  <c:v>85.889999000000003</c:v>
                </c:pt>
                <c:pt idx="1247">
                  <c:v>87.730002999999996</c:v>
                </c:pt>
                <c:pt idx="1248">
                  <c:v>86.25</c:v>
                </c:pt>
                <c:pt idx="1249">
                  <c:v>87.389999000000003</c:v>
                </c:pt>
                <c:pt idx="1250">
                  <c:v>88.910004000000001</c:v>
                </c:pt>
                <c:pt idx="1251">
                  <c:v>85.190002000000007</c:v>
                </c:pt>
                <c:pt idx="1252">
                  <c:v>82.18</c:v>
                </c:pt>
                <c:pt idx="1253">
                  <c:v>83.029999000000004</c:v>
                </c:pt>
                <c:pt idx="1254">
                  <c:v>83.019997000000004</c:v>
                </c:pt>
                <c:pt idx="1255">
                  <c:v>83.489998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C-441A-88C9-7FA5284AB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0455631"/>
        <c:axId val="960453711"/>
      </c:lineChart>
      <c:dateAx>
        <c:axId val="96045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0453711"/>
        <c:crosses val="autoZero"/>
        <c:auto val="1"/>
        <c:lblOffset val="100"/>
        <c:baseTimeUnit val="days"/>
      </c:dateAx>
      <c:valAx>
        <c:axId val="96045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0455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Rendimiento Bimbo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'VAR SM'!$E$7:$E$1261</c:f>
              <c:numCache>
                <c:formatCode>0.00%</c:formatCode>
                <c:ptCount val="1255"/>
                <c:pt idx="0">
                  <c:v>3.6597350988939847E-2</c:v>
                </c:pt>
                <c:pt idx="1">
                  <c:v>3.1525835334254591E-2</c:v>
                </c:pt>
                <c:pt idx="2">
                  <c:v>-2.2852968442297315E-2</c:v>
                </c:pt>
                <c:pt idx="3">
                  <c:v>-8.0050605526676174E-4</c:v>
                </c:pt>
                <c:pt idx="4">
                  <c:v>1.8800756481119747E-2</c:v>
                </c:pt>
                <c:pt idx="5">
                  <c:v>-5.1013212007608288E-3</c:v>
                </c:pt>
                <c:pt idx="6">
                  <c:v>-1.5835783621755098E-2</c:v>
                </c:pt>
                <c:pt idx="7">
                  <c:v>7.9212368840837211E-3</c:v>
                </c:pt>
                <c:pt idx="8">
                  <c:v>1.1854477038864207E-2</c:v>
                </c:pt>
                <c:pt idx="9">
                  <c:v>1.8703512031698663E-2</c:v>
                </c:pt>
                <c:pt idx="10">
                  <c:v>7.8261960306684648E-3</c:v>
                </c:pt>
                <c:pt idx="11">
                  <c:v>1.2740891380078303E-2</c:v>
                </c:pt>
                <c:pt idx="12">
                  <c:v>8.3449555799743821E-3</c:v>
                </c:pt>
                <c:pt idx="13">
                  <c:v>2.5237665137747847E-2</c:v>
                </c:pt>
                <c:pt idx="14">
                  <c:v>1.700291355791498E-2</c:v>
                </c:pt>
                <c:pt idx="15">
                  <c:v>1.448693864021135E-2</c:v>
                </c:pt>
                <c:pt idx="16">
                  <c:v>8.8590315317422044E-4</c:v>
                </c:pt>
                <c:pt idx="17">
                  <c:v>9.9951942258887684E-3</c:v>
                </c:pt>
                <c:pt idx="18">
                  <c:v>-2.0862268794660001E-2</c:v>
                </c:pt>
                <c:pt idx="19">
                  <c:v>2.6312772625250232E-2</c:v>
                </c:pt>
                <c:pt idx="20">
                  <c:v>1.6562913294391298E-2</c:v>
                </c:pt>
                <c:pt idx="21">
                  <c:v>1.2305447306686175E-2</c:v>
                </c:pt>
                <c:pt idx="22">
                  <c:v>4.2569081472667138E-3</c:v>
                </c:pt>
                <c:pt idx="23">
                  <c:v>-1.1630606944250414E-2</c:v>
                </c:pt>
                <c:pt idx="24">
                  <c:v>2.4439729321839073E-2</c:v>
                </c:pt>
                <c:pt idx="25">
                  <c:v>-2.3971898369623202E-2</c:v>
                </c:pt>
                <c:pt idx="26">
                  <c:v>5.1765986320799547E-2</c:v>
                </c:pt>
                <c:pt idx="27">
                  <c:v>4.8954658353804259E-5</c:v>
                </c:pt>
                <c:pt idx="28">
                  <c:v>-2.397395853949616E-2</c:v>
                </c:pt>
                <c:pt idx="29">
                  <c:v>-1.0037535425311347E-2</c:v>
                </c:pt>
                <c:pt idx="30">
                  <c:v>1.6836981337924366E-2</c:v>
                </c:pt>
                <c:pt idx="31">
                  <c:v>2.7648766802138014E-2</c:v>
                </c:pt>
                <c:pt idx="32">
                  <c:v>-7.9002619540161361E-4</c:v>
                </c:pt>
                <c:pt idx="33">
                  <c:v>-1.2360031291202575E-3</c:v>
                </c:pt>
                <c:pt idx="34">
                  <c:v>2.0381157649330642E-2</c:v>
                </c:pt>
                <c:pt idx="35">
                  <c:v>5.3989386420582727E-3</c:v>
                </c:pt>
                <c:pt idx="36">
                  <c:v>-1.7026961875853976E-2</c:v>
                </c:pt>
                <c:pt idx="37">
                  <c:v>-2.1452053609914701E-3</c:v>
                </c:pt>
                <c:pt idx="38">
                  <c:v>3.5097389235167566E-2</c:v>
                </c:pt>
                <c:pt idx="39">
                  <c:v>-2.1487435588600744E-2</c:v>
                </c:pt>
                <c:pt idx="40">
                  <c:v>-3.1227262668854744E-3</c:v>
                </c:pt>
                <c:pt idx="41">
                  <c:v>2.0030705252141054E-2</c:v>
                </c:pt>
                <c:pt idx="42">
                  <c:v>-4.9157524474780301E-3</c:v>
                </c:pt>
                <c:pt idx="43">
                  <c:v>1.2572405924081789E-2</c:v>
                </c:pt>
                <c:pt idx="44">
                  <c:v>9.4232102557899201E-3</c:v>
                </c:pt>
                <c:pt idx="45">
                  <c:v>-1.9266339861767501E-2</c:v>
                </c:pt>
                <c:pt idx="46">
                  <c:v>9.8650438249330858E-3</c:v>
                </c:pt>
                <c:pt idx="47">
                  <c:v>8.4890428132444167E-3</c:v>
                </c:pt>
                <c:pt idx="48">
                  <c:v>-1.5212426947333439E-3</c:v>
                </c:pt>
                <c:pt idx="49">
                  <c:v>-5.2596894059383191E-3</c:v>
                </c:pt>
                <c:pt idx="50">
                  <c:v>-1.1006108144178305E-2</c:v>
                </c:pt>
                <c:pt idx="51">
                  <c:v>1.3036958425899645E-2</c:v>
                </c:pt>
                <c:pt idx="52">
                  <c:v>-1.666858946074504E-2</c:v>
                </c:pt>
                <c:pt idx="53">
                  <c:v>-4.6835492736194695E-3</c:v>
                </c:pt>
                <c:pt idx="54">
                  <c:v>2.0953327564405707E-2</c:v>
                </c:pt>
                <c:pt idx="55">
                  <c:v>1.3279761044785522E-2</c:v>
                </c:pt>
                <c:pt idx="56">
                  <c:v>4.0409435084252073E-3</c:v>
                </c:pt>
                <c:pt idx="57">
                  <c:v>-6.1836902143636062E-3</c:v>
                </c:pt>
                <c:pt idx="58">
                  <c:v>-1.7962242040798892E-2</c:v>
                </c:pt>
                <c:pt idx="59">
                  <c:v>-3.6736712149370937E-2</c:v>
                </c:pt>
                <c:pt idx="60">
                  <c:v>-4.0089869316507694E-4</c:v>
                </c:pt>
                <c:pt idx="61">
                  <c:v>-1.6165554983243913E-3</c:v>
                </c:pt>
                <c:pt idx="62">
                  <c:v>1.5987221308686701E-2</c:v>
                </c:pt>
                <c:pt idx="63">
                  <c:v>2.2322966182890938E-2</c:v>
                </c:pt>
                <c:pt idx="64">
                  <c:v>1.8212732553459607E-2</c:v>
                </c:pt>
                <c:pt idx="65">
                  <c:v>-2.1633118064148738E-2</c:v>
                </c:pt>
                <c:pt idx="66">
                  <c:v>-1.2529348262558247E-2</c:v>
                </c:pt>
                <c:pt idx="67">
                  <c:v>-2.9295776930348346E-2</c:v>
                </c:pt>
                <c:pt idx="68">
                  <c:v>3.1768890799012593E-2</c:v>
                </c:pt>
                <c:pt idx="69">
                  <c:v>-7.6174786153696871E-3</c:v>
                </c:pt>
                <c:pt idx="70">
                  <c:v>1.6050579735288034E-2</c:v>
                </c:pt>
                <c:pt idx="71">
                  <c:v>-2.5851166138231785E-2</c:v>
                </c:pt>
                <c:pt idx="72">
                  <c:v>-3.7702555718967821E-2</c:v>
                </c:pt>
                <c:pt idx="73">
                  <c:v>-4.0322420816011062E-3</c:v>
                </c:pt>
                <c:pt idx="74">
                  <c:v>9.921650146638962E-3</c:v>
                </c:pt>
                <c:pt idx="75">
                  <c:v>-1.3953501110650499E-2</c:v>
                </c:pt>
                <c:pt idx="76">
                  <c:v>-7.1294761513166355E-3</c:v>
                </c:pt>
                <c:pt idx="77">
                  <c:v>5.9302638142308076E-3</c:v>
                </c:pt>
                <c:pt idx="78">
                  <c:v>-1.0837413876731749E-2</c:v>
                </c:pt>
                <c:pt idx="79">
                  <c:v>2.0425697204731166E-2</c:v>
                </c:pt>
                <c:pt idx="80">
                  <c:v>-1.1445479471243813E-2</c:v>
                </c:pt>
                <c:pt idx="81">
                  <c:v>1.5844003850743756E-2</c:v>
                </c:pt>
                <c:pt idx="82">
                  <c:v>3.1356795578844567E-3</c:v>
                </c:pt>
                <c:pt idx="83">
                  <c:v>1.5341057270134901E-2</c:v>
                </c:pt>
                <c:pt idx="84">
                  <c:v>5.8955474510678368E-3</c:v>
                </c:pt>
                <c:pt idx="85">
                  <c:v>1.341994304137915E-2</c:v>
                </c:pt>
                <c:pt idx="86">
                  <c:v>-2.8585045897378598E-2</c:v>
                </c:pt>
                <c:pt idx="87">
                  <c:v>3.3332222551461662E-3</c:v>
                </c:pt>
                <c:pt idx="88">
                  <c:v>3.4488818086391066E-3</c:v>
                </c:pt>
                <c:pt idx="89">
                  <c:v>8.1779540223142783E-3</c:v>
                </c:pt>
                <c:pt idx="90">
                  <c:v>-2.1116596068440966E-2</c:v>
                </c:pt>
                <c:pt idx="91">
                  <c:v>1.4684113893701937E-2</c:v>
                </c:pt>
                <c:pt idx="92">
                  <c:v>-2.0203408745925876E-2</c:v>
                </c:pt>
                <c:pt idx="93">
                  <c:v>2.7474969629063442E-2</c:v>
                </c:pt>
                <c:pt idx="94">
                  <c:v>9.999907298871482E-3</c:v>
                </c:pt>
                <c:pt idx="95">
                  <c:v>1.9005691372595664E-2</c:v>
                </c:pt>
                <c:pt idx="96">
                  <c:v>-1.0996744413816812E-2</c:v>
                </c:pt>
                <c:pt idx="97">
                  <c:v>4.3549755373135136E-3</c:v>
                </c:pt>
                <c:pt idx="98">
                  <c:v>7.9989172485973783E-3</c:v>
                </c:pt>
                <c:pt idx="99">
                  <c:v>-4.7459451451153083E-3</c:v>
                </c:pt>
                <c:pt idx="100">
                  <c:v>-8.4465631601162282E-3</c:v>
                </c:pt>
                <c:pt idx="101">
                  <c:v>1.530105150810664E-2</c:v>
                </c:pt>
                <c:pt idx="102">
                  <c:v>2.811117529963475E-2</c:v>
                </c:pt>
                <c:pt idx="103">
                  <c:v>1.5265673704753483E-2</c:v>
                </c:pt>
                <c:pt idx="104">
                  <c:v>-1.9156493209293204E-2</c:v>
                </c:pt>
                <c:pt idx="105">
                  <c:v>-1.5423462361423137E-2</c:v>
                </c:pt>
                <c:pt idx="106">
                  <c:v>-1.0473572536837854E-2</c:v>
                </c:pt>
                <c:pt idx="107">
                  <c:v>9.4290028939028464E-3</c:v>
                </c:pt>
                <c:pt idx="108">
                  <c:v>3.3092992188484889E-2</c:v>
                </c:pt>
                <c:pt idx="109">
                  <c:v>6.4150748396967338E-3</c:v>
                </c:pt>
                <c:pt idx="110">
                  <c:v>2.5675469750254764E-2</c:v>
                </c:pt>
                <c:pt idx="111">
                  <c:v>-7.2807843584992036E-3</c:v>
                </c:pt>
                <c:pt idx="112">
                  <c:v>-2.8082872565871619E-2</c:v>
                </c:pt>
                <c:pt idx="113">
                  <c:v>1.5835872760898508E-2</c:v>
                </c:pt>
                <c:pt idx="114">
                  <c:v>-2.142497256712849E-2</c:v>
                </c:pt>
                <c:pt idx="115">
                  <c:v>-2.1176437084927915E-2</c:v>
                </c:pt>
                <c:pt idx="116">
                  <c:v>-1.7100127737021683E-2</c:v>
                </c:pt>
                <c:pt idx="117">
                  <c:v>4.408221337801066E-2</c:v>
                </c:pt>
                <c:pt idx="118">
                  <c:v>6.7393761266746283E-3</c:v>
                </c:pt>
                <c:pt idx="119">
                  <c:v>-1.4913413058222186E-2</c:v>
                </c:pt>
                <c:pt idx="120">
                  <c:v>2.9507749128545879E-2</c:v>
                </c:pt>
                <c:pt idx="121">
                  <c:v>-1.1419457674372153E-2</c:v>
                </c:pt>
                <c:pt idx="122">
                  <c:v>1.5409457115849314E-2</c:v>
                </c:pt>
                <c:pt idx="123">
                  <c:v>1.8210563940781795E-2</c:v>
                </c:pt>
                <c:pt idx="124">
                  <c:v>-3.6323648694399149E-2</c:v>
                </c:pt>
                <c:pt idx="125">
                  <c:v>2.7636851195226235E-2</c:v>
                </c:pt>
                <c:pt idx="126">
                  <c:v>-1.5203202357791264E-2</c:v>
                </c:pt>
                <c:pt idx="127">
                  <c:v>1.1132765031799942E-2</c:v>
                </c:pt>
                <c:pt idx="128">
                  <c:v>-1.6404524904098407E-3</c:v>
                </c:pt>
                <c:pt idx="129">
                  <c:v>-1.2980089611303407E-2</c:v>
                </c:pt>
                <c:pt idx="130">
                  <c:v>-1.7861296215538182E-4</c:v>
                </c:pt>
                <c:pt idx="131">
                  <c:v>1.3641308467470114E-2</c:v>
                </c:pt>
                <c:pt idx="132">
                  <c:v>-8.9885663424191468E-3</c:v>
                </c:pt>
                <c:pt idx="133">
                  <c:v>1.9590271885961512E-2</c:v>
                </c:pt>
                <c:pt idx="134">
                  <c:v>1.8570652606599763E-2</c:v>
                </c:pt>
                <c:pt idx="135">
                  <c:v>-1.8479637003708219E-3</c:v>
                </c:pt>
                <c:pt idx="136">
                  <c:v>1.7948869068834878E-2</c:v>
                </c:pt>
                <c:pt idx="137">
                  <c:v>-1.4008873372042011E-4</c:v>
                </c:pt>
                <c:pt idx="138">
                  <c:v>-3.9211374321920102E-2</c:v>
                </c:pt>
                <c:pt idx="139">
                  <c:v>2.9045223268550798E-2</c:v>
                </c:pt>
                <c:pt idx="140">
                  <c:v>1.7100013718399119E-2</c:v>
                </c:pt>
                <c:pt idx="141">
                  <c:v>-2.5932849398368138E-3</c:v>
                </c:pt>
                <c:pt idx="142">
                  <c:v>-1.8373225995395693E-2</c:v>
                </c:pt>
                <c:pt idx="143">
                  <c:v>1.0563004423533869E-2</c:v>
                </c:pt>
                <c:pt idx="144">
                  <c:v>1.1021752721563404E-2</c:v>
                </c:pt>
                <c:pt idx="145">
                  <c:v>-1.7910189014736608E-2</c:v>
                </c:pt>
                <c:pt idx="146">
                  <c:v>1.891918813535472E-2</c:v>
                </c:pt>
                <c:pt idx="147">
                  <c:v>3.302322947748508E-2</c:v>
                </c:pt>
                <c:pt idx="148">
                  <c:v>9.0464253671517069E-3</c:v>
                </c:pt>
                <c:pt idx="149">
                  <c:v>6.5905236710897433E-4</c:v>
                </c:pt>
                <c:pt idx="150">
                  <c:v>1.85588331700236E-2</c:v>
                </c:pt>
                <c:pt idx="151">
                  <c:v>2.7022077605146719E-3</c:v>
                </c:pt>
                <c:pt idx="152">
                  <c:v>-1.7873228276479524E-3</c:v>
                </c:pt>
                <c:pt idx="153">
                  <c:v>-1.5766391897040204E-2</c:v>
                </c:pt>
                <c:pt idx="154">
                  <c:v>-2.6339722115160592E-2</c:v>
                </c:pt>
                <c:pt idx="155">
                  <c:v>1.0963951444702066E-2</c:v>
                </c:pt>
                <c:pt idx="156">
                  <c:v>5.9838955149552455E-3</c:v>
                </c:pt>
                <c:pt idx="157">
                  <c:v>7.3624582410162396E-3</c:v>
                </c:pt>
                <c:pt idx="158">
                  <c:v>4.2650897739485841E-2</c:v>
                </c:pt>
                <c:pt idx="159">
                  <c:v>2.7223189296721798E-2</c:v>
                </c:pt>
                <c:pt idx="160">
                  <c:v>1.8114591855699477E-3</c:v>
                </c:pt>
                <c:pt idx="161">
                  <c:v>-1.9978822620686783E-2</c:v>
                </c:pt>
                <c:pt idx="162">
                  <c:v>3.0878479029357475E-2</c:v>
                </c:pt>
                <c:pt idx="163">
                  <c:v>-1.0985668280367757E-3</c:v>
                </c:pt>
                <c:pt idx="164">
                  <c:v>7.6894537845295392E-3</c:v>
                </c:pt>
                <c:pt idx="165">
                  <c:v>4.4480701889804131E-3</c:v>
                </c:pt>
                <c:pt idx="166">
                  <c:v>1.2642417112554401E-2</c:v>
                </c:pt>
                <c:pt idx="167">
                  <c:v>3.2125555071411967E-2</c:v>
                </c:pt>
                <c:pt idx="168">
                  <c:v>7.2473680721278954E-3</c:v>
                </c:pt>
                <c:pt idx="169">
                  <c:v>2.3158738172706621E-2</c:v>
                </c:pt>
                <c:pt idx="170">
                  <c:v>1.7652851353055356E-2</c:v>
                </c:pt>
                <c:pt idx="171">
                  <c:v>-1.8327884322010216E-3</c:v>
                </c:pt>
                <c:pt idx="172">
                  <c:v>1.3846254438217324E-2</c:v>
                </c:pt>
                <c:pt idx="173">
                  <c:v>3.1022197282054623E-3</c:v>
                </c:pt>
                <c:pt idx="174">
                  <c:v>1.57192793895793E-4</c:v>
                </c:pt>
                <c:pt idx="175">
                  <c:v>2.6916061452077391E-2</c:v>
                </c:pt>
                <c:pt idx="176">
                  <c:v>-1.3247546831949213E-2</c:v>
                </c:pt>
                <c:pt idx="177">
                  <c:v>-1.1374880454392127E-2</c:v>
                </c:pt>
                <c:pt idx="178">
                  <c:v>4.006310068537508E-3</c:v>
                </c:pt>
                <c:pt idx="179">
                  <c:v>5.7844675181788312E-3</c:v>
                </c:pt>
                <c:pt idx="180">
                  <c:v>-1.812102109404827E-2</c:v>
                </c:pt>
                <c:pt idx="181">
                  <c:v>-6.2564852359846504E-2</c:v>
                </c:pt>
                <c:pt idx="182">
                  <c:v>-1.0766224007721118E-2</c:v>
                </c:pt>
                <c:pt idx="183">
                  <c:v>-1.7049287060668522E-2</c:v>
                </c:pt>
                <c:pt idx="184">
                  <c:v>1.7224548729446232E-2</c:v>
                </c:pt>
                <c:pt idx="185">
                  <c:v>-2.0790048883333273E-2</c:v>
                </c:pt>
                <c:pt idx="186">
                  <c:v>-2.0086325770653658E-2</c:v>
                </c:pt>
                <c:pt idx="187">
                  <c:v>1.1911292631548349E-2</c:v>
                </c:pt>
                <c:pt idx="188">
                  <c:v>1.6257017970578606E-2</c:v>
                </c:pt>
                <c:pt idx="189">
                  <c:v>5.2119434780389844E-3</c:v>
                </c:pt>
                <c:pt idx="190">
                  <c:v>-9.132262051556074E-3</c:v>
                </c:pt>
                <c:pt idx="191">
                  <c:v>-5.2784423978615942E-2</c:v>
                </c:pt>
                <c:pt idx="192">
                  <c:v>-8.5485649305141673E-4</c:v>
                </c:pt>
                <c:pt idx="193">
                  <c:v>3.7683650233849226E-3</c:v>
                </c:pt>
                <c:pt idx="194">
                  <c:v>3.0807882100895296E-3</c:v>
                </c:pt>
                <c:pt idx="195">
                  <c:v>4.9173725239600053E-3</c:v>
                </c:pt>
                <c:pt idx="196">
                  <c:v>-2.8746887625237506E-2</c:v>
                </c:pt>
                <c:pt idx="197">
                  <c:v>1.5348943617361992E-2</c:v>
                </c:pt>
                <c:pt idx="198">
                  <c:v>4.7518037114098691E-3</c:v>
                </c:pt>
                <c:pt idx="199">
                  <c:v>3.57188971378627E-2</c:v>
                </c:pt>
                <c:pt idx="200">
                  <c:v>-6.0259005242173603E-3</c:v>
                </c:pt>
                <c:pt idx="201">
                  <c:v>-2.1571442036510725E-2</c:v>
                </c:pt>
                <c:pt idx="202">
                  <c:v>-9.2337074916260288E-3</c:v>
                </c:pt>
                <c:pt idx="203">
                  <c:v>2.6244706605477806E-2</c:v>
                </c:pt>
                <c:pt idx="204">
                  <c:v>-1.8024167579536111E-2</c:v>
                </c:pt>
                <c:pt idx="205">
                  <c:v>1.3330469667296396E-2</c:v>
                </c:pt>
                <c:pt idx="206">
                  <c:v>1.0220892486665219E-2</c:v>
                </c:pt>
                <c:pt idx="207">
                  <c:v>5.6038183755510664E-4</c:v>
                </c:pt>
                <c:pt idx="208">
                  <c:v>2.0081800125933684E-2</c:v>
                </c:pt>
                <c:pt idx="209">
                  <c:v>2.1741539148616311E-2</c:v>
                </c:pt>
                <c:pt idx="210">
                  <c:v>9.0887918636609281E-3</c:v>
                </c:pt>
                <c:pt idx="211">
                  <c:v>1.2740823018866221E-2</c:v>
                </c:pt>
                <c:pt idx="212">
                  <c:v>3.8109579468151286E-2</c:v>
                </c:pt>
                <c:pt idx="213">
                  <c:v>2.7266512860647747E-2</c:v>
                </c:pt>
                <c:pt idx="214">
                  <c:v>6.7271579853420216E-3</c:v>
                </c:pt>
                <c:pt idx="215">
                  <c:v>-8.5628923449106303E-3</c:v>
                </c:pt>
                <c:pt idx="216">
                  <c:v>1.9607651295599458E-2</c:v>
                </c:pt>
                <c:pt idx="217">
                  <c:v>-4.5777849503116242E-3</c:v>
                </c:pt>
                <c:pt idx="218">
                  <c:v>-9.4081291410412476E-3</c:v>
                </c:pt>
                <c:pt idx="219">
                  <c:v>1.9376387212235179E-2</c:v>
                </c:pt>
                <c:pt idx="220">
                  <c:v>5.3570949633745327E-3</c:v>
                </c:pt>
                <c:pt idx="221">
                  <c:v>1.6090086513756836E-2</c:v>
                </c:pt>
                <c:pt idx="222">
                  <c:v>5.7882005682650039E-3</c:v>
                </c:pt>
                <c:pt idx="223">
                  <c:v>4.4933631031378214E-3</c:v>
                </c:pt>
                <c:pt idx="224">
                  <c:v>-4.1302687338763853E-3</c:v>
                </c:pt>
                <c:pt idx="225">
                  <c:v>-3.7894255189490945E-3</c:v>
                </c:pt>
                <c:pt idx="226">
                  <c:v>-2.7057536911849682E-3</c:v>
                </c:pt>
                <c:pt idx="227">
                  <c:v>2.1450426859357656E-2</c:v>
                </c:pt>
                <c:pt idx="228">
                  <c:v>-5.6833634558885737E-3</c:v>
                </c:pt>
                <c:pt idx="229">
                  <c:v>1.082284816012871E-2</c:v>
                </c:pt>
                <c:pt idx="230">
                  <c:v>-1.92625730698524E-2</c:v>
                </c:pt>
                <c:pt idx="231">
                  <c:v>-5.3404375635810273E-3</c:v>
                </c:pt>
                <c:pt idx="232">
                  <c:v>-1.2505913916730433E-2</c:v>
                </c:pt>
                <c:pt idx="233">
                  <c:v>1.9577264894071474E-2</c:v>
                </c:pt>
                <c:pt idx="234">
                  <c:v>4.6237196892440848E-4</c:v>
                </c:pt>
                <c:pt idx="235">
                  <c:v>9.7922551746061088E-3</c:v>
                </c:pt>
                <c:pt idx="236">
                  <c:v>2.1555642353089785E-3</c:v>
                </c:pt>
                <c:pt idx="237">
                  <c:v>-2.7593659738486449E-2</c:v>
                </c:pt>
                <c:pt idx="238">
                  <c:v>2.0062709695054602E-2</c:v>
                </c:pt>
                <c:pt idx="239">
                  <c:v>-1.8904148928140786E-2</c:v>
                </c:pt>
                <c:pt idx="240">
                  <c:v>7.5489797570129219E-3</c:v>
                </c:pt>
                <c:pt idx="241">
                  <c:v>-5.1438115341560292E-3</c:v>
                </c:pt>
                <c:pt idx="242">
                  <c:v>-1.6721622485343698E-2</c:v>
                </c:pt>
                <c:pt idx="243">
                  <c:v>2.0698851130835097E-2</c:v>
                </c:pt>
                <c:pt idx="244">
                  <c:v>3.1289607305882879E-2</c:v>
                </c:pt>
                <c:pt idx="245">
                  <c:v>-1.3338101217342342E-2</c:v>
                </c:pt>
                <c:pt idx="246">
                  <c:v>2.3481181332071555E-2</c:v>
                </c:pt>
                <c:pt idx="247">
                  <c:v>2.472724931539234E-2</c:v>
                </c:pt>
                <c:pt idx="248">
                  <c:v>-3.527167193201792E-4</c:v>
                </c:pt>
                <c:pt idx="249">
                  <c:v>-2.4620454640071291E-2</c:v>
                </c:pt>
                <c:pt idx="250">
                  <c:v>8.6822021693874173E-3</c:v>
                </c:pt>
                <c:pt idx="251">
                  <c:v>9.2220709326581406E-3</c:v>
                </c:pt>
                <c:pt idx="252">
                  <c:v>-9.9512698115658618E-3</c:v>
                </c:pt>
                <c:pt idx="253">
                  <c:v>2.5095530260444324E-2</c:v>
                </c:pt>
                <c:pt idx="254">
                  <c:v>2.607618994083109E-2</c:v>
                </c:pt>
                <c:pt idx="255">
                  <c:v>-8.3848095816861038E-3</c:v>
                </c:pt>
                <c:pt idx="256">
                  <c:v>-1.5747828489614604E-2</c:v>
                </c:pt>
                <c:pt idx="257">
                  <c:v>-4.2293434039748536E-3</c:v>
                </c:pt>
                <c:pt idx="258">
                  <c:v>-1.0270537153880844E-2</c:v>
                </c:pt>
                <c:pt idx="259">
                  <c:v>7.1373108044912913E-3</c:v>
                </c:pt>
                <c:pt idx="260">
                  <c:v>1.9101326400453783E-2</c:v>
                </c:pt>
                <c:pt idx="261">
                  <c:v>1.4662461566939722E-2</c:v>
                </c:pt>
                <c:pt idx="262">
                  <c:v>-1.7695613172253804E-2</c:v>
                </c:pt>
                <c:pt idx="263">
                  <c:v>4.0266899434418897E-3</c:v>
                </c:pt>
                <c:pt idx="264">
                  <c:v>-2.6583564358281384E-2</c:v>
                </c:pt>
                <c:pt idx="265">
                  <c:v>-1.3934965658684097E-2</c:v>
                </c:pt>
                <c:pt idx="266">
                  <c:v>1.7242293020187507E-2</c:v>
                </c:pt>
                <c:pt idx="267">
                  <c:v>-4.2312401283065237E-2</c:v>
                </c:pt>
                <c:pt idx="268">
                  <c:v>5.6454602403114985E-2</c:v>
                </c:pt>
                <c:pt idx="269">
                  <c:v>-1.3713218833551912E-2</c:v>
                </c:pt>
                <c:pt idx="270">
                  <c:v>1.0070629980227608E-2</c:v>
                </c:pt>
                <c:pt idx="271">
                  <c:v>6.6038844905321583E-3</c:v>
                </c:pt>
                <c:pt idx="272">
                  <c:v>-1.2394307924203339E-2</c:v>
                </c:pt>
                <c:pt idx="273">
                  <c:v>-1.2924320416128655E-2</c:v>
                </c:pt>
                <c:pt idx="274">
                  <c:v>1.3342480020185461E-2</c:v>
                </c:pt>
                <c:pt idx="275">
                  <c:v>-5.04441937825736E-3</c:v>
                </c:pt>
                <c:pt idx="276">
                  <c:v>-1.3752283309020999E-2</c:v>
                </c:pt>
                <c:pt idx="277">
                  <c:v>1.5994422457734424E-2</c:v>
                </c:pt>
                <c:pt idx="278">
                  <c:v>-1.187008364839191E-2</c:v>
                </c:pt>
                <c:pt idx="279">
                  <c:v>4.5410996558951705E-3</c:v>
                </c:pt>
                <c:pt idx="280">
                  <c:v>-5.8653637335181084E-3</c:v>
                </c:pt>
                <c:pt idx="281">
                  <c:v>2.1251902367444883E-2</c:v>
                </c:pt>
                <c:pt idx="282">
                  <c:v>-1.0487170570339948E-2</c:v>
                </c:pt>
                <c:pt idx="283">
                  <c:v>-1.4782800655981469E-2</c:v>
                </c:pt>
                <c:pt idx="284">
                  <c:v>6.1694580616940015E-3</c:v>
                </c:pt>
                <c:pt idx="285">
                  <c:v>1.972339463479255E-2</c:v>
                </c:pt>
                <c:pt idx="286">
                  <c:v>-6.6082329343264742E-3</c:v>
                </c:pt>
                <c:pt idx="287">
                  <c:v>-1.0322057529234102E-2</c:v>
                </c:pt>
                <c:pt idx="288">
                  <c:v>-1.6643198226958082E-2</c:v>
                </c:pt>
                <c:pt idx="289">
                  <c:v>2.1087683742713866E-2</c:v>
                </c:pt>
                <c:pt idx="290">
                  <c:v>2.6976594021091128E-3</c:v>
                </c:pt>
                <c:pt idx="291">
                  <c:v>1.4673346497090683E-2</c:v>
                </c:pt>
                <c:pt idx="292">
                  <c:v>2.9816426909112192E-2</c:v>
                </c:pt>
                <c:pt idx="293">
                  <c:v>1.1246231992250867E-2</c:v>
                </c:pt>
                <c:pt idx="294">
                  <c:v>2.3457112085319452E-4</c:v>
                </c:pt>
                <c:pt idx="295">
                  <c:v>-1.4729192209988516E-2</c:v>
                </c:pt>
                <c:pt idx="296">
                  <c:v>-9.8056705902591149E-3</c:v>
                </c:pt>
                <c:pt idx="297">
                  <c:v>2.4310458565427046E-2</c:v>
                </c:pt>
                <c:pt idx="298">
                  <c:v>-3.4610324934621316E-3</c:v>
                </c:pt>
                <c:pt idx="299">
                  <c:v>1.7345349859732705E-2</c:v>
                </c:pt>
                <c:pt idx="300">
                  <c:v>2.5772796823291727E-2</c:v>
                </c:pt>
                <c:pt idx="301">
                  <c:v>2.105783163839569E-2</c:v>
                </c:pt>
                <c:pt idx="302">
                  <c:v>-7.76237568658653E-3</c:v>
                </c:pt>
                <c:pt idx="303">
                  <c:v>-8.3696066009511776E-3</c:v>
                </c:pt>
                <c:pt idx="304">
                  <c:v>-1.2010488876248906E-2</c:v>
                </c:pt>
                <c:pt idx="305">
                  <c:v>1.0097235413094596E-2</c:v>
                </c:pt>
                <c:pt idx="306">
                  <c:v>-2.0690253885031662E-3</c:v>
                </c:pt>
                <c:pt idx="307">
                  <c:v>3.7610384364901358E-4</c:v>
                </c:pt>
                <c:pt idx="308">
                  <c:v>-2.9027854381531076E-2</c:v>
                </c:pt>
                <c:pt idx="309">
                  <c:v>1.374616651410593E-2</c:v>
                </c:pt>
                <c:pt idx="310">
                  <c:v>1.6087690832856653E-2</c:v>
                </c:pt>
                <c:pt idx="311">
                  <c:v>-3.1447381194784962E-2</c:v>
                </c:pt>
                <c:pt idx="312">
                  <c:v>-2.208586397162416E-3</c:v>
                </c:pt>
                <c:pt idx="313">
                  <c:v>-3.2477965535059494E-2</c:v>
                </c:pt>
                <c:pt idx="314">
                  <c:v>-1.016858934692858E-2</c:v>
                </c:pt>
                <c:pt idx="315">
                  <c:v>-2.9019722301239014E-2</c:v>
                </c:pt>
                <c:pt idx="316">
                  <c:v>1.2051102984345116E-3</c:v>
                </c:pt>
                <c:pt idx="317">
                  <c:v>-1.3857616507326826E-2</c:v>
                </c:pt>
                <c:pt idx="318">
                  <c:v>-4.1999713383073746E-3</c:v>
                </c:pt>
                <c:pt idx="319">
                  <c:v>-9.3255542534075447E-3</c:v>
                </c:pt>
                <c:pt idx="320">
                  <c:v>1.5246878037438382E-2</c:v>
                </c:pt>
                <c:pt idx="321">
                  <c:v>1.2984347168995157E-2</c:v>
                </c:pt>
                <c:pt idx="322">
                  <c:v>1.9789007689667022E-2</c:v>
                </c:pt>
                <c:pt idx="323">
                  <c:v>-3.2785166878517645E-2</c:v>
                </c:pt>
                <c:pt idx="324">
                  <c:v>5.6185224048169837E-3</c:v>
                </c:pt>
                <c:pt idx="325">
                  <c:v>-2.1652112379971757E-2</c:v>
                </c:pt>
                <c:pt idx="326">
                  <c:v>-9.1036794465052823E-3</c:v>
                </c:pt>
                <c:pt idx="327">
                  <c:v>-1.8059732237034429E-2</c:v>
                </c:pt>
                <c:pt idx="328">
                  <c:v>-1.1841645793465859E-2</c:v>
                </c:pt>
                <c:pt idx="329">
                  <c:v>-1.7167363464976024E-2</c:v>
                </c:pt>
                <c:pt idx="330">
                  <c:v>4.9590664288722891E-3</c:v>
                </c:pt>
                <c:pt idx="331">
                  <c:v>6.6242496020105469E-3</c:v>
                </c:pt>
                <c:pt idx="332">
                  <c:v>8.8612598643219506E-3</c:v>
                </c:pt>
                <c:pt idx="333">
                  <c:v>-1.126736752580546E-2</c:v>
                </c:pt>
                <c:pt idx="334">
                  <c:v>1.7892552237859995E-2</c:v>
                </c:pt>
                <c:pt idx="335">
                  <c:v>-2.637161830424806E-2</c:v>
                </c:pt>
                <c:pt idx="336">
                  <c:v>-2.9005221738777971E-2</c:v>
                </c:pt>
                <c:pt idx="337">
                  <c:v>7.0027376384824589E-3</c:v>
                </c:pt>
                <c:pt idx="338">
                  <c:v>2.2824629670402111E-2</c:v>
                </c:pt>
                <c:pt idx="339">
                  <c:v>1.9896672948734154E-2</c:v>
                </c:pt>
                <c:pt idx="340">
                  <c:v>3.8488546205141024E-3</c:v>
                </c:pt>
                <c:pt idx="341">
                  <c:v>-2.4526378062891124E-2</c:v>
                </c:pt>
                <c:pt idx="342">
                  <c:v>1.791692039424234E-3</c:v>
                </c:pt>
                <c:pt idx="343">
                  <c:v>1.3423886218554211E-2</c:v>
                </c:pt>
                <c:pt idx="344">
                  <c:v>1.0857830776770709E-2</c:v>
                </c:pt>
                <c:pt idx="345">
                  <c:v>8.8094178325537845E-3</c:v>
                </c:pt>
                <c:pt idx="346">
                  <c:v>5.2293129944859053E-2</c:v>
                </c:pt>
                <c:pt idx="347">
                  <c:v>3.0282315676831515E-3</c:v>
                </c:pt>
                <c:pt idx="348">
                  <c:v>-7.8388048577681512E-3</c:v>
                </c:pt>
                <c:pt idx="349">
                  <c:v>1.7580491705346893E-3</c:v>
                </c:pt>
                <c:pt idx="350">
                  <c:v>-5.9683044973159382E-3</c:v>
                </c:pt>
                <c:pt idx="351">
                  <c:v>1.2549415566975409E-2</c:v>
                </c:pt>
                <c:pt idx="352">
                  <c:v>-1.3980455209741564E-2</c:v>
                </c:pt>
                <c:pt idx="353">
                  <c:v>1.9252629985130776E-2</c:v>
                </c:pt>
                <c:pt idx="354">
                  <c:v>9.8613633816073427E-3</c:v>
                </c:pt>
                <c:pt idx="355">
                  <c:v>1.6522636436309197E-2</c:v>
                </c:pt>
                <c:pt idx="356">
                  <c:v>1.5211234719830709E-2</c:v>
                </c:pt>
                <c:pt idx="357">
                  <c:v>1.285234677193705E-2</c:v>
                </c:pt>
                <c:pt idx="358">
                  <c:v>-6.881898449537622E-4</c:v>
                </c:pt>
                <c:pt idx="359">
                  <c:v>-1.8123432919281444E-2</c:v>
                </c:pt>
                <c:pt idx="360">
                  <c:v>2.0441278332950751E-2</c:v>
                </c:pt>
                <c:pt idx="361">
                  <c:v>-1.37937998813886E-2</c:v>
                </c:pt>
                <c:pt idx="362">
                  <c:v>-2.6765120325855899E-3</c:v>
                </c:pt>
                <c:pt idx="363">
                  <c:v>-1.7884399294453051E-2</c:v>
                </c:pt>
                <c:pt idx="364">
                  <c:v>-4.6034352096874662E-2</c:v>
                </c:pt>
                <c:pt idx="365">
                  <c:v>2.6424311067657261E-2</c:v>
                </c:pt>
                <c:pt idx="366">
                  <c:v>1.7455109243452671E-2</c:v>
                </c:pt>
                <c:pt idx="367">
                  <c:v>1.9378939996552373E-2</c:v>
                </c:pt>
                <c:pt idx="368">
                  <c:v>-2.025439723666568E-2</c:v>
                </c:pt>
                <c:pt idx="369">
                  <c:v>2.4240301047667893E-2</c:v>
                </c:pt>
                <c:pt idx="370">
                  <c:v>-1.2096749070568723E-2</c:v>
                </c:pt>
                <c:pt idx="371">
                  <c:v>5.2657336774296432E-2</c:v>
                </c:pt>
                <c:pt idx="372">
                  <c:v>1.0537902907063215E-2</c:v>
                </c:pt>
                <c:pt idx="373">
                  <c:v>2.22483243132254E-2</c:v>
                </c:pt>
                <c:pt idx="374">
                  <c:v>4.1155061788327079E-3</c:v>
                </c:pt>
                <c:pt idx="375">
                  <c:v>-1.0395840299762284E-2</c:v>
                </c:pt>
                <c:pt idx="376">
                  <c:v>-1.893810331735624E-2</c:v>
                </c:pt>
                <c:pt idx="377">
                  <c:v>-4.4552145264185154E-3</c:v>
                </c:pt>
                <c:pt idx="378">
                  <c:v>8.0598457834151534E-3</c:v>
                </c:pt>
                <c:pt idx="379">
                  <c:v>1.3835597653939432E-2</c:v>
                </c:pt>
                <c:pt idx="380">
                  <c:v>-8.2327338785915197E-3</c:v>
                </c:pt>
                <c:pt idx="381">
                  <c:v>-2.4684443687364773E-2</c:v>
                </c:pt>
                <c:pt idx="382">
                  <c:v>-8.0453908587116152E-3</c:v>
                </c:pt>
                <c:pt idx="383">
                  <c:v>2.2748392332308919E-2</c:v>
                </c:pt>
                <c:pt idx="384">
                  <c:v>1.8069615119897884E-2</c:v>
                </c:pt>
                <c:pt idx="385">
                  <c:v>3.0100207958147687E-2</c:v>
                </c:pt>
                <c:pt idx="386">
                  <c:v>1.8878236692394076E-2</c:v>
                </c:pt>
                <c:pt idx="387">
                  <c:v>-4.5327421454126139E-2</c:v>
                </c:pt>
                <c:pt idx="388">
                  <c:v>-1.5492849573141884E-2</c:v>
                </c:pt>
                <c:pt idx="389">
                  <c:v>1.4461445405049353E-2</c:v>
                </c:pt>
                <c:pt idx="390">
                  <c:v>1.6493847224764737E-2</c:v>
                </c:pt>
                <c:pt idx="391">
                  <c:v>1.6143183982579502E-2</c:v>
                </c:pt>
                <c:pt idx="392">
                  <c:v>6.7701549725528078E-3</c:v>
                </c:pt>
                <c:pt idx="393">
                  <c:v>-1.3621765442646259E-3</c:v>
                </c:pt>
                <c:pt idx="394">
                  <c:v>6.517756586356567E-3</c:v>
                </c:pt>
                <c:pt idx="395">
                  <c:v>1.3400749811470743E-2</c:v>
                </c:pt>
                <c:pt idx="396">
                  <c:v>-2.9633010781423899E-2</c:v>
                </c:pt>
                <c:pt idx="397">
                  <c:v>4.9808483490910533E-3</c:v>
                </c:pt>
                <c:pt idx="398">
                  <c:v>-4.3979461367625823E-2</c:v>
                </c:pt>
                <c:pt idx="399">
                  <c:v>1.7987117451200411E-2</c:v>
                </c:pt>
                <c:pt idx="400">
                  <c:v>3.6941967277742724E-2</c:v>
                </c:pt>
                <c:pt idx="401">
                  <c:v>8.2485942842605697E-3</c:v>
                </c:pt>
                <c:pt idx="402">
                  <c:v>-2.2944656514043413E-2</c:v>
                </c:pt>
                <c:pt idx="403">
                  <c:v>2.0095842864225513E-2</c:v>
                </c:pt>
                <c:pt idx="404">
                  <c:v>2.4947965315040323E-2</c:v>
                </c:pt>
                <c:pt idx="405">
                  <c:v>-3.2260162081217313E-2</c:v>
                </c:pt>
                <c:pt idx="406">
                  <c:v>-1.6270138896348229E-3</c:v>
                </c:pt>
                <c:pt idx="407">
                  <c:v>-1.0668982964930852E-3</c:v>
                </c:pt>
                <c:pt idx="408">
                  <c:v>-1.6163863403603092E-2</c:v>
                </c:pt>
                <c:pt idx="409">
                  <c:v>-5.3974316447789633E-2</c:v>
                </c:pt>
                <c:pt idx="410">
                  <c:v>9.2770699702700524E-3</c:v>
                </c:pt>
                <c:pt idx="411">
                  <c:v>1.6681097013421263E-2</c:v>
                </c:pt>
                <c:pt idx="412">
                  <c:v>1.4405745620448614E-2</c:v>
                </c:pt>
                <c:pt idx="413">
                  <c:v>-2.8306931634844559E-2</c:v>
                </c:pt>
                <c:pt idx="414">
                  <c:v>2.5891164565788667E-2</c:v>
                </c:pt>
                <c:pt idx="415">
                  <c:v>-1.9384517940576006E-2</c:v>
                </c:pt>
                <c:pt idx="416">
                  <c:v>8.1954611195578127E-3</c:v>
                </c:pt>
                <c:pt idx="417">
                  <c:v>2.9366220751055839E-3</c:v>
                </c:pt>
                <c:pt idx="418">
                  <c:v>3.4565757427982624E-2</c:v>
                </c:pt>
                <c:pt idx="419">
                  <c:v>-1.4943258653139547E-2</c:v>
                </c:pt>
                <c:pt idx="420">
                  <c:v>2.8569854453349922E-3</c:v>
                </c:pt>
                <c:pt idx="421">
                  <c:v>-2.7798245415993759E-2</c:v>
                </c:pt>
                <c:pt idx="422">
                  <c:v>3.8910458710686345E-2</c:v>
                </c:pt>
                <c:pt idx="423">
                  <c:v>2.7442435860247576E-2</c:v>
                </c:pt>
                <c:pt idx="424">
                  <c:v>-3.1081043559725578E-2</c:v>
                </c:pt>
                <c:pt idx="425">
                  <c:v>-2.4007275402852451E-2</c:v>
                </c:pt>
                <c:pt idx="426">
                  <c:v>1.3364946741192723E-2</c:v>
                </c:pt>
                <c:pt idx="427">
                  <c:v>-1.9225273635658121E-2</c:v>
                </c:pt>
                <c:pt idx="428">
                  <c:v>-1.3402290185753988E-2</c:v>
                </c:pt>
                <c:pt idx="429">
                  <c:v>-1.162572989810394E-2</c:v>
                </c:pt>
                <c:pt idx="430">
                  <c:v>8.8953725899645671E-3</c:v>
                </c:pt>
                <c:pt idx="431">
                  <c:v>2.5550698354612229E-3</c:v>
                </c:pt>
                <c:pt idx="432">
                  <c:v>3.0079769346580102E-3</c:v>
                </c:pt>
                <c:pt idx="433">
                  <c:v>4.2790335368742263E-3</c:v>
                </c:pt>
                <c:pt idx="434">
                  <c:v>-1.673561086469039E-3</c:v>
                </c:pt>
                <c:pt idx="435">
                  <c:v>-1.1674971679218722E-2</c:v>
                </c:pt>
                <c:pt idx="436">
                  <c:v>-1.944349799129556E-2</c:v>
                </c:pt>
                <c:pt idx="437">
                  <c:v>-2.3457626000466348E-2</c:v>
                </c:pt>
                <c:pt idx="438">
                  <c:v>-1.3275906023467758E-2</c:v>
                </c:pt>
                <c:pt idx="439">
                  <c:v>4.2588616242821883E-2</c:v>
                </c:pt>
                <c:pt idx="440">
                  <c:v>2.0325679839963653E-2</c:v>
                </c:pt>
                <c:pt idx="441">
                  <c:v>-5.9799694420798896E-2</c:v>
                </c:pt>
                <c:pt idx="442">
                  <c:v>-6.3948969857833583E-3</c:v>
                </c:pt>
                <c:pt idx="443">
                  <c:v>1.3788657762317592E-2</c:v>
                </c:pt>
                <c:pt idx="444">
                  <c:v>2.3812067355913125E-2</c:v>
                </c:pt>
                <c:pt idx="445">
                  <c:v>2.9373815494353529E-3</c:v>
                </c:pt>
                <c:pt idx="446">
                  <c:v>8.3122163466062046E-3</c:v>
                </c:pt>
                <c:pt idx="447">
                  <c:v>4.3779673369793758E-3</c:v>
                </c:pt>
                <c:pt idx="448">
                  <c:v>4.2890284474063983E-2</c:v>
                </c:pt>
                <c:pt idx="449">
                  <c:v>1.0028313315075109E-2</c:v>
                </c:pt>
                <c:pt idx="450">
                  <c:v>-6.9301443652055447E-3</c:v>
                </c:pt>
                <c:pt idx="451">
                  <c:v>-1.8856631626714901E-2</c:v>
                </c:pt>
                <c:pt idx="452">
                  <c:v>-1.2274092399451495E-2</c:v>
                </c:pt>
                <c:pt idx="453">
                  <c:v>-1.4134026964360454E-2</c:v>
                </c:pt>
                <c:pt idx="454">
                  <c:v>1.4394036119768354E-2</c:v>
                </c:pt>
                <c:pt idx="455">
                  <c:v>-6.875159240817769E-3</c:v>
                </c:pt>
                <c:pt idx="456">
                  <c:v>-4.325867629366942E-3</c:v>
                </c:pt>
                <c:pt idx="457">
                  <c:v>-1.7439262550273865E-2</c:v>
                </c:pt>
                <c:pt idx="458">
                  <c:v>-3.217096306749951E-3</c:v>
                </c:pt>
                <c:pt idx="459">
                  <c:v>-3.1167751524013489E-2</c:v>
                </c:pt>
                <c:pt idx="460">
                  <c:v>-1.0307259818219604E-2</c:v>
                </c:pt>
                <c:pt idx="461">
                  <c:v>-1.1346815945482633E-3</c:v>
                </c:pt>
                <c:pt idx="462">
                  <c:v>-1.6195259867334642E-2</c:v>
                </c:pt>
                <c:pt idx="463">
                  <c:v>-1.063676379858723E-2</c:v>
                </c:pt>
                <c:pt idx="464">
                  <c:v>-8.65316963842859E-3</c:v>
                </c:pt>
                <c:pt idx="465">
                  <c:v>5.0499230307135563E-3</c:v>
                </c:pt>
                <c:pt idx="466">
                  <c:v>1.719377762536008E-2</c:v>
                </c:pt>
                <c:pt idx="467">
                  <c:v>1.7588120838506749E-2</c:v>
                </c:pt>
                <c:pt idx="468">
                  <c:v>1.1038888445862743E-3</c:v>
                </c:pt>
                <c:pt idx="469">
                  <c:v>1.0631399243058557E-2</c:v>
                </c:pt>
                <c:pt idx="470">
                  <c:v>1.3868523436028041E-2</c:v>
                </c:pt>
                <c:pt idx="471">
                  <c:v>-2.8448110668864439E-3</c:v>
                </c:pt>
                <c:pt idx="472">
                  <c:v>7.3990284332970356E-3</c:v>
                </c:pt>
                <c:pt idx="473">
                  <c:v>1.2856665337215014E-2</c:v>
                </c:pt>
                <c:pt idx="474">
                  <c:v>1.2370534869274374E-2</c:v>
                </c:pt>
                <c:pt idx="475">
                  <c:v>3.704477646251501E-3</c:v>
                </c:pt>
                <c:pt idx="476">
                  <c:v>2.6035922750571611E-2</c:v>
                </c:pt>
                <c:pt idx="477">
                  <c:v>-5.2096649140797244E-3</c:v>
                </c:pt>
                <c:pt idx="478">
                  <c:v>-4.2552706340618042E-3</c:v>
                </c:pt>
                <c:pt idx="479">
                  <c:v>-3.5835081143623534E-2</c:v>
                </c:pt>
                <c:pt idx="480">
                  <c:v>1.0768628411276248E-2</c:v>
                </c:pt>
                <c:pt idx="481">
                  <c:v>-9.0493611716064501E-3</c:v>
                </c:pt>
                <c:pt idx="482">
                  <c:v>-2.486883842753025E-3</c:v>
                </c:pt>
                <c:pt idx="483">
                  <c:v>-2.4463412130155401E-2</c:v>
                </c:pt>
                <c:pt idx="484">
                  <c:v>4.6407865994862151E-4</c:v>
                </c:pt>
                <c:pt idx="485">
                  <c:v>2.5223061891798885E-3</c:v>
                </c:pt>
                <c:pt idx="486">
                  <c:v>9.2628627962529544E-3</c:v>
                </c:pt>
                <c:pt idx="487">
                  <c:v>1.5086140753367502E-2</c:v>
                </c:pt>
                <c:pt idx="488">
                  <c:v>-5.0689493242554043E-3</c:v>
                </c:pt>
                <c:pt idx="489">
                  <c:v>-1.9040819553403514E-2</c:v>
                </c:pt>
                <c:pt idx="490">
                  <c:v>2.3642286326995568E-2</c:v>
                </c:pt>
                <c:pt idx="491">
                  <c:v>3.062889729336014E-2</c:v>
                </c:pt>
                <c:pt idx="492">
                  <c:v>9.3253210089289731E-3</c:v>
                </c:pt>
                <c:pt idx="493">
                  <c:v>-4.1307547999840953E-2</c:v>
                </c:pt>
                <c:pt idx="494">
                  <c:v>-5.8421026669408975E-3</c:v>
                </c:pt>
                <c:pt idx="495">
                  <c:v>1.2723527121320265E-2</c:v>
                </c:pt>
                <c:pt idx="496">
                  <c:v>2.2027064472063009E-2</c:v>
                </c:pt>
                <c:pt idx="497">
                  <c:v>-5.3415045563461223E-4</c:v>
                </c:pt>
                <c:pt idx="498">
                  <c:v>-3.3596972464035479E-2</c:v>
                </c:pt>
                <c:pt idx="499">
                  <c:v>-2.4135807400720872E-2</c:v>
                </c:pt>
                <c:pt idx="500">
                  <c:v>3.4170344905514967E-2</c:v>
                </c:pt>
                <c:pt idx="501">
                  <c:v>-1.3058794550503133E-2</c:v>
                </c:pt>
                <c:pt idx="502">
                  <c:v>1.9418476749244826E-2</c:v>
                </c:pt>
                <c:pt idx="503">
                  <c:v>1.2664616064404307E-2</c:v>
                </c:pt>
                <c:pt idx="504">
                  <c:v>-6.1355513349613125E-4</c:v>
                </c:pt>
                <c:pt idx="505">
                  <c:v>-1.2151138414823025E-2</c:v>
                </c:pt>
                <c:pt idx="506">
                  <c:v>-5.5973998574746662E-3</c:v>
                </c:pt>
                <c:pt idx="507">
                  <c:v>2.0376991462346568E-2</c:v>
                </c:pt>
                <c:pt idx="508">
                  <c:v>2.5648570986707548E-2</c:v>
                </c:pt>
                <c:pt idx="509">
                  <c:v>-1.3643461626634866E-2</c:v>
                </c:pt>
                <c:pt idx="510">
                  <c:v>-2.7607859710060384E-2</c:v>
                </c:pt>
                <c:pt idx="511">
                  <c:v>-2.6243803781958566E-4</c:v>
                </c:pt>
                <c:pt idx="512">
                  <c:v>4.9882522261598894E-2</c:v>
                </c:pt>
                <c:pt idx="513">
                  <c:v>2.5641465012133893E-2</c:v>
                </c:pt>
                <c:pt idx="514">
                  <c:v>-5.9916963660576654E-3</c:v>
                </c:pt>
                <c:pt idx="515">
                  <c:v>1.2885016898687889E-2</c:v>
                </c:pt>
                <c:pt idx="516">
                  <c:v>-4.2911248970968156E-3</c:v>
                </c:pt>
                <c:pt idx="517">
                  <c:v>-4.4268691503503439E-2</c:v>
                </c:pt>
                <c:pt idx="518">
                  <c:v>3.308250520349313E-2</c:v>
                </c:pt>
                <c:pt idx="519">
                  <c:v>-8.4071517460050146E-3</c:v>
                </c:pt>
                <c:pt idx="520">
                  <c:v>-8.0432358441020185E-3</c:v>
                </c:pt>
                <c:pt idx="521">
                  <c:v>2.0375438563165364E-2</c:v>
                </c:pt>
                <c:pt idx="522">
                  <c:v>-2.3737847971141521E-2</c:v>
                </c:pt>
                <c:pt idx="523">
                  <c:v>3.1535418431475025E-2</c:v>
                </c:pt>
                <c:pt idx="524">
                  <c:v>2.3464842752855708E-2</c:v>
                </c:pt>
                <c:pt idx="525">
                  <c:v>-1.5614841409945835E-2</c:v>
                </c:pt>
                <c:pt idx="526">
                  <c:v>-5.7441622379130898E-2</c:v>
                </c:pt>
                <c:pt idx="527">
                  <c:v>8.4529419536156277E-3</c:v>
                </c:pt>
                <c:pt idx="528">
                  <c:v>-6.3180222251915663E-3</c:v>
                </c:pt>
                <c:pt idx="529">
                  <c:v>2.0908763632920854E-3</c:v>
                </c:pt>
                <c:pt idx="530">
                  <c:v>-1.464408359507903E-3</c:v>
                </c:pt>
                <c:pt idx="531">
                  <c:v>1.637183472862342E-2</c:v>
                </c:pt>
                <c:pt idx="532">
                  <c:v>-2.337125855119564E-2</c:v>
                </c:pt>
                <c:pt idx="533">
                  <c:v>9.2349524274964248E-3</c:v>
                </c:pt>
                <c:pt idx="534">
                  <c:v>1.3112669674160578E-2</c:v>
                </c:pt>
                <c:pt idx="535">
                  <c:v>2.636577139426075E-3</c:v>
                </c:pt>
                <c:pt idx="536">
                  <c:v>2.0353038409557045E-2</c:v>
                </c:pt>
                <c:pt idx="537">
                  <c:v>-2.7473220630755586E-3</c:v>
                </c:pt>
                <c:pt idx="538">
                  <c:v>8.4423359313571533E-3</c:v>
                </c:pt>
                <c:pt idx="539">
                  <c:v>4.4389843928187489E-3</c:v>
                </c:pt>
                <c:pt idx="540">
                  <c:v>-5.7936836979676776E-3</c:v>
                </c:pt>
                <c:pt idx="541">
                  <c:v>-1.9862401177261405E-2</c:v>
                </c:pt>
                <c:pt idx="542">
                  <c:v>-9.0931862263768631E-4</c:v>
                </c:pt>
                <c:pt idx="543">
                  <c:v>7.3051559171132601E-3</c:v>
                </c:pt>
                <c:pt idx="544">
                  <c:v>9.9991588005895679E-3</c:v>
                </c:pt>
                <c:pt idx="545">
                  <c:v>1.2919268675171592E-2</c:v>
                </c:pt>
                <c:pt idx="546">
                  <c:v>3.2324600095965883E-2</c:v>
                </c:pt>
                <c:pt idx="547">
                  <c:v>-2.3666355426027054E-2</c:v>
                </c:pt>
                <c:pt idx="548">
                  <c:v>-1.2230852507922298E-2</c:v>
                </c:pt>
                <c:pt idx="549">
                  <c:v>-5.0272710068736751E-2</c:v>
                </c:pt>
                <c:pt idx="550">
                  <c:v>-1.3089863391321256E-4</c:v>
                </c:pt>
                <c:pt idx="551">
                  <c:v>3.0950466765282989E-2</c:v>
                </c:pt>
                <c:pt idx="552">
                  <c:v>1.0610609028977903E-2</c:v>
                </c:pt>
                <c:pt idx="553">
                  <c:v>-2.0771987712341948E-2</c:v>
                </c:pt>
                <c:pt idx="554">
                  <c:v>-1.5160411548834941E-2</c:v>
                </c:pt>
                <c:pt idx="555">
                  <c:v>1.7768447726297708E-3</c:v>
                </c:pt>
                <c:pt idx="556">
                  <c:v>8.717399241488958E-3</c:v>
                </c:pt>
                <c:pt idx="557">
                  <c:v>5.5542882221518326E-3</c:v>
                </c:pt>
                <c:pt idx="558">
                  <c:v>-4.2318737508890798E-3</c:v>
                </c:pt>
                <c:pt idx="559">
                  <c:v>9.6718932679098531E-3</c:v>
                </c:pt>
                <c:pt idx="560">
                  <c:v>2.5139591706029953E-2</c:v>
                </c:pt>
                <c:pt idx="561">
                  <c:v>-8.3863439382006189E-3</c:v>
                </c:pt>
                <c:pt idx="562">
                  <c:v>-2.808929301614102E-2</c:v>
                </c:pt>
                <c:pt idx="563">
                  <c:v>7.4784793524362006E-3</c:v>
                </c:pt>
                <c:pt idx="564">
                  <c:v>1.3200428749329284E-3</c:v>
                </c:pt>
                <c:pt idx="565">
                  <c:v>-3.5871419092600609E-2</c:v>
                </c:pt>
                <c:pt idx="566">
                  <c:v>1.5057618350766149E-2</c:v>
                </c:pt>
                <c:pt idx="567">
                  <c:v>-4.183040075969406E-3</c:v>
                </c:pt>
                <c:pt idx="568">
                  <c:v>6.0974889679594859E-3</c:v>
                </c:pt>
                <c:pt idx="569">
                  <c:v>-3.9629459511109133E-2</c:v>
                </c:pt>
                <c:pt idx="570">
                  <c:v>-3.3375181407426097E-3</c:v>
                </c:pt>
                <c:pt idx="571">
                  <c:v>-1.2680821957110004E-3</c:v>
                </c:pt>
                <c:pt idx="572">
                  <c:v>-1.3796003844721856E-2</c:v>
                </c:pt>
                <c:pt idx="573">
                  <c:v>-1.3857522683927566E-2</c:v>
                </c:pt>
                <c:pt idx="574">
                  <c:v>1.1399548328476868E-2</c:v>
                </c:pt>
                <c:pt idx="575">
                  <c:v>1.7460035795369255E-2</c:v>
                </c:pt>
                <c:pt idx="576">
                  <c:v>-2.1055258254612484E-2</c:v>
                </c:pt>
                <c:pt idx="577">
                  <c:v>-4.7355768037649895E-3</c:v>
                </c:pt>
                <c:pt idx="578">
                  <c:v>2.8393562373512437E-2</c:v>
                </c:pt>
                <c:pt idx="579">
                  <c:v>1.2846148888385443E-2</c:v>
                </c:pt>
                <c:pt idx="580">
                  <c:v>-3.8547500170294027E-2</c:v>
                </c:pt>
                <c:pt idx="581">
                  <c:v>9.6631917447927203E-3</c:v>
                </c:pt>
                <c:pt idx="582">
                  <c:v>8.6966493484285767E-4</c:v>
                </c:pt>
                <c:pt idx="583">
                  <c:v>-1.2286281412390682E-2</c:v>
                </c:pt>
                <c:pt idx="584">
                  <c:v>-6.2498705142386432E-3</c:v>
                </c:pt>
                <c:pt idx="585">
                  <c:v>-3.1023910875460334E-2</c:v>
                </c:pt>
                <c:pt idx="586">
                  <c:v>1.7295989650251978E-2</c:v>
                </c:pt>
                <c:pt idx="587">
                  <c:v>-7.0862153377694859E-3</c:v>
                </c:pt>
                <c:pt idx="588">
                  <c:v>-2.9819849686901174E-2</c:v>
                </c:pt>
                <c:pt idx="589">
                  <c:v>-2.5152459195846525E-3</c:v>
                </c:pt>
                <c:pt idx="590">
                  <c:v>2.5617748059269484E-2</c:v>
                </c:pt>
                <c:pt idx="591">
                  <c:v>-3.2403523065911162E-2</c:v>
                </c:pt>
                <c:pt idx="592">
                  <c:v>-1.9131415506611741E-2</c:v>
                </c:pt>
                <c:pt idx="593">
                  <c:v>-3.2389001675295968E-3</c:v>
                </c:pt>
                <c:pt idx="594">
                  <c:v>-1.9878312331260039E-2</c:v>
                </c:pt>
                <c:pt idx="595">
                  <c:v>-1.0171344725334121E-2</c:v>
                </c:pt>
                <c:pt idx="596">
                  <c:v>-3.463697946982431E-2</c:v>
                </c:pt>
                <c:pt idx="597">
                  <c:v>1.0577001905690216E-2</c:v>
                </c:pt>
                <c:pt idx="598">
                  <c:v>7.3713178721409114E-4</c:v>
                </c:pt>
                <c:pt idx="599">
                  <c:v>1.7605774038748342E-2</c:v>
                </c:pt>
                <c:pt idx="600">
                  <c:v>5.3655575747204578E-3</c:v>
                </c:pt>
                <c:pt idx="601">
                  <c:v>-1.6758180051109645E-2</c:v>
                </c:pt>
                <c:pt idx="602">
                  <c:v>-4.1009948407126878E-2</c:v>
                </c:pt>
                <c:pt idx="603">
                  <c:v>1.8608640678698395E-2</c:v>
                </c:pt>
                <c:pt idx="604">
                  <c:v>-2.5767431727731712E-2</c:v>
                </c:pt>
                <c:pt idx="605">
                  <c:v>2.1589231130442073E-3</c:v>
                </c:pt>
                <c:pt idx="606">
                  <c:v>-1.3537086922342035E-2</c:v>
                </c:pt>
                <c:pt idx="607">
                  <c:v>2.1248755884028383E-2</c:v>
                </c:pt>
                <c:pt idx="608">
                  <c:v>4.9516178863966446E-4</c:v>
                </c:pt>
                <c:pt idx="609">
                  <c:v>-3.0083385367470354E-3</c:v>
                </c:pt>
                <c:pt idx="610">
                  <c:v>1.4407732837002432E-2</c:v>
                </c:pt>
                <c:pt idx="611">
                  <c:v>7.6199760829012619E-3</c:v>
                </c:pt>
                <c:pt idx="612">
                  <c:v>4.1518179930300873E-2</c:v>
                </c:pt>
                <c:pt idx="613">
                  <c:v>1.1180435712203514E-2</c:v>
                </c:pt>
                <c:pt idx="614">
                  <c:v>4.6343244640066851E-3</c:v>
                </c:pt>
                <c:pt idx="615">
                  <c:v>-6.9035909812646349E-3</c:v>
                </c:pt>
                <c:pt idx="616">
                  <c:v>5.9533565552594564E-3</c:v>
                </c:pt>
                <c:pt idx="617">
                  <c:v>-4.3753165679948497E-3</c:v>
                </c:pt>
                <c:pt idx="618">
                  <c:v>1.2268689180109536E-3</c:v>
                </c:pt>
                <c:pt idx="619">
                  <c:v>-2.2625434567211646E-2</c:v>
                </c:pt>
                <c:pt idx="620">
                  <c:v>1.1791784761237305E-2</c:v>
                </c:pt>
                <c:pt idx="621">
                  <c:v>3.3952300045030992E-3</c:v>
                </c:pt>
                <c:pt idx="622">
                  <c:v>-2.7217810076676278E-2</c:v>
                </c:pt>
                <c:pt idx="623">
                  <c:v>7.1476764873361978E-3</c:v>
                </c:pt>
                <c:pt idx="624">
                  <c:v>-2.6217880739988403E-2</c:v>
                </c:pt>
                <c:pt idx="625">
                  <c:v>-3.2039479884304334E-3</c:v>
                </c:pt>
                <c:pt idx="626">
                  <c:v>-1.6227473543671637E-4</c:v>
                </c:pt>
                <c:pt idx="627">
                  <c:v>-9.3945141710201439E-3</c:v>
                </c:pt>
                <c:pt idx="628">
                  <c:v>8.1694836909120376E-3</c:v>
                </c:pt>
                <c:pt idx="629">
                  <c:v>-3.6355121340358502E-3</c:v>
                </c:pt>
                <c:pt idx="630">
                  <c:v>-3.7623781736426651E-2</c:v>
                </c:pt>
                <c:pt idx="631">
                  <c:v>2.2397867042568582E-2</c:v>
                </c:pt>
                <c:pt idx="632">
                  <c:v>-8.5538022726419777E-3</c:v>
                </c:pt>
                <c:pt idx="633">
                  <c:v>1.6951940628847046E-2</c:v>
                </c:pt>
                <c:pt idx="634">
                  <c:v>7.0512598036700782E-3</c:v>
                </c:pt>
                <c:pt idx="635">
                  <c:v>-4.0717690498656686E-2</c:v>
                </c:pt>
                <c:pt idx="636">
                  <c:v>-2.7549084045508463E-3</c:v>
                </c:pt>
                <c:pt idx="637">
                  <c:v>-2.5424168317343164E-3</c:v>
                </c:pt>
                <c:pt idx="638">
                  <c:v>2.3082831250082914E-2</c:v>
                </c:pt>
                <c:pt idx="639">
                  <c:v>-1.2741445252667231E-2</c:v>
                </c:pt>
                <c:pt idx="640">
                  <c:v>1.5430725481666772E-2</c:v>
                </c:pt>
                <c:pt idx="641">
                  <c:v>1.716256822233226E-2</c:v>
                </c:pt>
                <c:pt idx="642">
                  <c:v>1.1021236225557325E-2</c:v>
                </c:pt>
                <c:pt idx="643">
                  <c:v>-9.0372009483761472E-3</c:v>
                </c:pt>
                <c:pt idx="644">
                  <c:v>4.8601897431400878E-2</c:v>
                </c:pt>
                <c:pt idx="645">
                  <c:v>-1.4875456909131909E-2</c:v>
                </c:pt>
                <c:pt idx="646">
                  <c:v>3.1983757092425222E-2</c:v>
                </c:pt>
                <c:pt idx="647">
                  <c:v>-4.0214718041357206E-2</c:v>
                </c:pt>
                <c:pt idx="648">
                  <c:v>-2.7232828954457226E-2</c:v>
                </c:pt>
                <c:pt idx="649">
                  <c:v>2.1209792261567439E-2</c:v>
                </c:pt>
                <c:pt idx="650">
                  <c:v>-8.7409766233794168E-3</c:v>
                </c:pt>
                <c:pt idx="651">
                  <c:v>-8.7033179216059724E-3</c:v>
                </c:pt>
                <c:pt idx="652">
                  <c:v>-2.4846544121877957E-2</c:v>
                </c:pt>
                <c:pt idx="653">
                  <c:v>1.3125250226265116E-2</c:v>
                </c:pt>
                <c:pt idx="654">
                  <c:v>2.070912222025395E-2</c:v>
                </c:pt>
                <c:pt idx="655">
                  <c:v>-3.2572843657088277E-2</c:v>
                </c:pt>
                <c:pt idx="656">
                  <c:v>1.0784825935750414E-2</c:v>
                </c:pt>
                <c:pt idx="657">
                  <c:v>8.1769740720949238E-3</c:v>
                </c:pt>
                <c:pt idx="658">
                  <c:v>1.8790352598738666E-2</c:v>
                </c:pt>
                <c:pt idx="659">
                  <c:v>1.0060853570935153E-2</c:v>
                </c:pt>
                <c:pt idx="660">
                  <c:v>-1.9558753589300874E-2</c:v>
                </c:pt>
                <c:pt idx="661">
                  <c:v>1.9344116849770155E-2</c:v>
                </c:pt>
                <c:pt idx="662">
                  <c:v>-2.8527814248249447E-3</c:v>
                </c:pt>
                <c:pt idx="663">
                  <c:v>-2.9278166394292864E-2</c:v>
                </c:pt>
                <c:pt idx="664">
                  <c:v>-2.1219911391282688E-2</c:v>
                </c:pt>
                <c:pt idx="665">
                  <c:v>7.2027471660654346E-3</c:v>
                </c:pt>
                <c:pt idx="666">
                  <c:v>-2.4091970662916705E-2</c:v>
                </c:pt>
                <c:pt idx="667">
                  <c:v>-7.1941144100409844E-3</c:v>
                </c:pt>
                <c:pt idx="668">
                  <c:v>1.0628960362530148E-2</c:v>
                </c:pt>
                <c:pt idx="669">
                  <c:v>2.5078762154650082E-2</c:v>
                </c:pt>
                <c:pt idx="670">
                  <c:v>-4.0802600085109053E-2</c:v>
                </c:pt>
                <c:pt idx="671">
                  <c:v>-1.4938082202495004E-3</c:v>
                </c:pt>
                <c:pt idx="672">
                  <c:v>1.5284719647598253E-2</c:v>
                </c:pt>
                <c:pt idx="673">
                  <c:v>-2.1762713604331625E-3</c:v>
                </c:pt>
                <c:pt idx="674">
                  <c:v>1.6355442037971355E-3</c:v>
                </c:pt>
                <c:pt idx="675">
                  <c:v>1.3337372424935781E-2</c:v>
                </c:pt>
                <c:pt idx="676">
                  <c:v>-2.107597158671342E-2</c:v>
                </c:pt>
                <c:pt idx="677">
                  <c:v>-3.5823177845984315E-2</c:v>
                </c:pt>
                <c:pt idx="678">
                  <c:v>1.8753756180505933E-2</c:v>
                </c:pt>
                <c:pt idx="679">
                  <c:v>-4.3289691644642853E-3</c:v>
                </c:pt>
                <c:pt idx="680">
                  <c:v>-2.6546268849012202E-2</c:v>
                </c:pt>
                <c:pt idx="681">
                  <c:v>-2.9453772795736157E-2</c:v>
                </c:pt>
                <c:pt idx="682">
                  <c:v>-2.6391338900956227E-2</c:v>
                </c:pt>
                <c:pt idx="683">
                  <c:v>2.7068671696467633E-2</c:v>
                </c:pt>
                <c:pt idx="684">
                  <c:v>1.6595781491831135E-2</c:v>
                </c:pt>
                <c:pt idx="685">
                  <c:v>1.599593307952114E-2</c:v>
                </c:pt>
                <c:pt idx="686">
                  <c:v>7.4884756634756673E-3</c:v>
                </c:pt>
                <c:pt idx="687">
                  <c:v>1.7077229609948601E-2</c:v>
                </c:pt>
                <c:pt idx="688">
                  <c:v>-8.2105731095385107E-3</c:v>
                </c:pt>
                <c:pt idx="689">
                  <c:v>-7.2142205812319336E-3</c:v>
                </c:pt>
                <c:pt idx="690">
                  <c:v>-1.1549347433409343E-2</c:v>
                </c:pt>
                <c:pt idx="691">
                  <c:v>-2.5664290493639261E-2</c:v>
                </c:pt>
                <c:pt idx="692">
                  <c:v>-3.2733891619649701E-2</c:v>
                </c:pt>
                <c:pt idx="693">
                  <c:v>-1.1243702544560594E-2</c:v>
                </c:pt>
                <c:pt idx="694">
                  <c:v>-2.5954406610213393E-2</c:v>
                </c:pt>
                <c:pt idx="695">
                  <c:v>-1.8982070115386857E-2</c:v>
                </c:pt>
                <c:pt idx="696">
                  <c:v>1.5836082177876437E-2</c:v>
                </c:pt>
                <c:pt idx="697">
                  <c:v>-2.1162569317442228E-2</c:v>
                </c:pt>
                <c:pt idx="698">
                  <c:v>-6.1368332469108246E-3</c:v>
                </c:pt>
                <c:pt idx="699">
                  <c:v>1.5620765689082368E-2</c:v>
                </c:pt>
                <c:pt idx="700">
                  <c:v>-3.047611604890943E-2</c:v>
                </c:pt>
                <c:pt idx="701">
                  <c:v>1.3222534592541326E-2</c:v>
                </c:pt>
                <c:pt idx="702">
                  <c:v>-1.9424127179533689E-2</c:v>
                </c:pt>
                <c:pt idx="703">
                  <c:v>1.6335413996479912E-2</c:v>
                </c:pt>
                <c:pt idx="704">
                  <c:v>-7.5395661214865389E-3</c:v>
                </c:pt>
                <c:pt idx="705">
                  <c:v>2.4258602553159644E-2</c:v>
                </c:pt>
                <c:pt idx="706">
                  <c:v>-2.2030501832903469E-2</c:v>
                </c:pt>
                <c:pt idx="707">
                  <c:v>1.825975375594423E-3</c:v>
                </c:pt>
                <c:pt idx="708">
                  <c:v>9.3254447314408025E-3</c:v>
                </c:pt>
                <c:pt idx="709">
                  <c:v>1.9611181312157177E-2</c:v>
                </c:pt>
                <c:pt idx="710">
                  <c:v>1.0394071891137596E-3</c:v>
                </c:pt>
                <c:pt idx="711">
                  <c:v>-7.9532723681967621E-3</c:v>
                </c:pt>
                <c:pt idx="712">
                  <c:v>-1.1379909506733954E-3</c:v>
                </c:pt>
                <c:pt idx="713">
                  <c:v>2.775272476442138E-2</c:v>
                </c:pt>
                <c:pt idx="714">
                  <c:v>3.8173007779862433E-2</c:v>
                </c:pt>
                <c:pt idx="715">
                  <c:v>-9.4442637425488207E-3</c:v>
                </c:pt>
                <c:pt idx="716">
                  <c:v>1.9590515140113455E-3</c:v>
                </c:pt>
                <c:pt idx="717">
                  <c:v>-1.4022517092670915E-4</c:v>
                </c:pt>
                <c:pt idx="718">
                  <c:v>-2.293204429198897E-2</c:v>
                </c:pt>
                <c:pt idx="719">
                  <c:v>-1.2929536255723529E-2</c:v>
                </c:pt>
                <c:pt idx="720">
                  <c:v>-1.815959613572388E-2</c:v>
                </c:pt>
                <c:pt idx="721">
                  <c:v>2.5084588369784215E-2</c:v>
                </c:pt>
                <c:pt idx="722">
                  <c:v>9.3811097341906374E-3</c:v>
                </c:pt>
                <c:pt idx="723">
                  <c:v>2.0326507844905882E-2</c:v>
                </c:pt>
                <c:pt idx="724">
                  <c:v>1.2023581983588758E-2</c:v>
                </c:pt>
                <c:pt idx="725">
                  <c:v>9.554714405243055E-3</c:v>
                </c:pt>
                <c:pt idx="726">
                  <c:v>-4.5075381914767313E-3</c:v>
                </c:pt>
                <c:pt idx="727">
                  <c:v>1.767942113531407E-2</c:v>
                </c:pt>
                <c:pt idx="728">
                  <c:v>-8.5305482717949067E-3</c:v>
                </c:pt>
                <c:pt idx="729">
                  <c:v>6.4614509271851048E-4</c:v>
                </c:pt>
                <c:pt idx="730">
                  <c:v>8.4485189757190059E-3</c:v>
                </c:pt>
                <c:pt idx="731">
                  <c:v>-3.180493756151499E-3</c:v>
                </c:pt>
                <c:pt idx="732">
                  <c:v>4.4392912221623872E-3</c:v>
                </c:pt>
                <c:pt idx="733">
                  <c:v>-1.468613371013845E-2</c:v>
                </c:pt>
                <c:pt idx="734">
                  <c:v>-2.607338158232949E-2</c:v>
                </c:pt>
                <c:pt idx="735">
                  <c:v>-2.5215530860513133E-2</c:v>
                </c:pt>
                <c:pt idx="736">
                  <c:v>-2.3290899487700672E-2</c:v>
                </c:pt>
                <c:pt idx="737">
                  <c:v>-1.3914059601556929E-2</c:v>
                </c:pt>
                <c:pt idx="738">
                  <c:v>1.7509587071709902E-2</c:v>
                </c:pt>
                <c:pt idx="739">
                  <c:v>7.4061764651796088E-3</c:v>
                </c:pt>
                <c:pt idx="740">
                  <c:v>-1.5601518978749784E-2</c:v>
                </c:pt>
                <c:pt idx="741">
                  <c:v>8.1122699997485705E-3</c:v>
                </c:pt>
                <c:pt idx="742">
                  <c:v>-1.4767228095760936E-2</c:v>
                </c:pt>
                <c:pt idx="743">
                  <c:v>6.0944901115303624E-3</c:v>
                </c:pt>
                <c:pt idx="744">
                  <c:v>4.7672176151576156E-3</c:v>
                </c:pt>
                <c:pt idx="745">
                  <c:v>7.6733547992756182E-3</c:v>
                </c:pt>
                <c:pt idx="746">
                  <c:v>-1.1307914824819371E-2</c:v>
                </c:pt>
                <c:pt idx="747">
                  <c:v>1.0840503481520242E-3</c:v>
                </c:pt>
                <c:pt idx="748">
                  <c:v>1.193367363513733E-2</c:v>
                </c:pt>
                <c:pt idx="749">
                  <c:v>-1.9420760492801132E-2</c:v>
                </c:pt>
                <c:pt idx="750">
                  <c:v>2.2527267474338135E-2</c:v>
                </c:pt>
                <c:pt idx="751">
                  <c:v>-1.4198639552600954E-3</c:v>
                </c:pt>
                <c:pt idx="752">
                  <c:v>1.9937537185845873E-3</c:v>
                </c:pt>
                <c:pt idx="753">
                  <c:v>-1.4854913866904185E-2</c:v>
                </c:pt>
                <c:pt idx="754">
                  <c:v>2.3068424906962592E-2</c:v>
                </c:pt>
                <c:pt idx="755">
                  <c:v>-4.1356352085990429E-2</c:v>
                </c:pt>
                <c:pt idx="756">
                  <c:v>-2.7528412836905315E-2</c:v>
                </c:pt>
                <c:pt idx="757">
                  <c:v>1.2390602461279579E-2</c:v>
                </c:pt>
                <c:pt idx="758">
                  <c:v>3.2036254896010245E-2</c:v>
                </c:pt>
                <c:pt idx="759">
                  <c:v>1.5346846692493522E-2</c:v>
                </c:pt>
                <c:pt idx="760">
                  <c:v>-2.9649010391674641E-2</c:v>
                </c:pt>
                <c:pt idx="761">
                  <c:v>-1.4076018466635287E-2</c:v>
                </c:pt>
                <c:pt idx="762">
                  <c:v>-3.8895795175547893E-2</c:v>
                </c:pt>
                <c:pt idx="763">
                  <c:v>-2.2249757227803466E-2</c:v>
                </c:pt>
                <c:pt idx="764">
                  <c:v>1.0595972982610965E-2</c:v>
                </c:pt>
                <c:pt idx="765">
                  <c:v>6.2809928303992789E-4</c:v>
                </c:pt>
                <c:pt idx="766">
                  <c:v>2.9023630962862214E-3</c:v>
                </c:pt>
                <c:pt idx="767">
                  <c:v>-2.2165865751923332E-2</c:v>
                </c:pt>
                <c:pt idx="768">
                  <c:v>-2.3259914364144207E-2</c:v>
                </c:pt>
                <c:pt idx="769">
                  <c:v>1.0696024005874331E-2</c:v>
                </c:pt>
                <c:pt idx="770">
                  <c:v>-2.6625424095559333E-2</c:v>
                </c:pt>
                <c:pt idx="771">
                  <c:v>-1.4287561362642861E-2</c:v>
                </c:pt>
                <c:pt idx="772">
                  <c:v>-1.319704806549825E-2</c:v>
                </c:pt>
                <c:pt idx="773">
                  <c:v>-4.479611965009689E-3</c:v>
                </c:pt>
                <c:pt idx="774">
                  <c:v>2.4341560105968177E-2</c:v>
                </c:pt>
                <c:pt idx="775">
                  <c:v>1.2840703134040342E-4</c:v>
                </c:pt>
                <c:pt idx="776">
                  <c:v>3.2360181854280967E-3</c:v>
                </c:pt>
                <c:pt idx="777">
                  <c:v>-4.2342834749138927E-2</c:v>
                </c:pt>
                <c:pt idx="778">
                  <c:v>2.3449303355899762E-3</c:v>
                </c:pt>
                <c:pt idx="779">
                  <c:v>1.1905399559227904E-2</c:v>
                </c:pt>
                <c:pt idx="780">
                  <c:v>3.1734505888661242E-3</c:v>
                </c:pt>
                <c:pt idx="781">
                  <c:v>3.1743559940093785E-3</c:v>
                </c:pt>
                <c:pt idx="782">
                  <c:v>2.5978953504455476E-2</c:v>
                </c:pt>
                <c:pt idx="783">
                  <c:v>-6.3840488879705597E-3</c:v>
                </c:pt>
                <c:pt idx="784">
                  <c:v>-3.8268564770999255E-2</c:v>
                </c:pt>
                <c:pt idx="785">
                  <c:v>2.7669373026954925E-2</c:v>
                </c:pt>
                <c:pt idx="786">
                  <c:v>-3.0798078226775025E-3</c:v>
                </c:pt>
                <c:pt idx="787">
                  <c:v>-1.3609736462203554E-3</c:v>
                </c:pt>
                <c:pt idx="788">
                  <c:v>3.3985956455494628E-3</c:v>
                </c:pt>
                <c:pt idx="789">
                  <c:v>8.7368273534676848E-3</c:v>
                </c:pt>
                <c:pt idx="790">
                  <c:v>-3.798857309609098E-3</c:v>
                </c:pt>
                <c:pt idx="791">
                  <c:v>8.0434428567047037E-4</c:v>
                </c:pt>
                <c:pt idx="792">
                  <c:v>1.1999767084835238E-2</c:v>
                </c:pt>
                <c:pt idx="793">
                  <c:v>2.2624188431767965E-2</c:v>
                </c:pt>
                <c:pt idx="794">
                  <c:v>-2.8221818163057924E-2</c:v>
                </c:pt>
                <c:pt idx="795">
                  <c:v>-7.7423233146437843E-4</c:v>
                </c:pt>
                <c:pt idx="796">
                  <c:v>1.6706668189016366E-2</c:v>
                </c:pt>
                <c:pt idx="797">
                  <c:v>-3.7194967990222668E-3</c:v>
                </c:pt>
                <c:pt idx="798">
                  <c:v>1.2523118681516416E-2</c:v>
                </c:pt>
                <c:pt idx="799">
                  <c:v>8.2540461093365564E-3</c:v>
                </c:pt>
                <c:pt idx="800">
                  <c:v>-3.8711425008860441E-2</c:v>
                </c:pt>
                <c:pt idx="801">
                  <c:v>-7.0654581568461647E-3</c:v>
                </c:pt>
                <c:pt idx="802">
                  <c:v>3.5293104832875275E-3</c:v>
                </c:pt>
                <c:pt idx="803">
                  <c:v>1.0375153174456477E-2</c:v>
                </c:pt>
                <c:pt idx="804">
                  <c:v>-1.5300131085888938E-2</c:v>
                </c:pt>
                <c:pt idx="805">
                  <c:v>1.3644424567993002E-2</c:v>
                </c:pt>
                <c:pt idx="806">
                  <c:v>1.1548831640755132E-2</c:v>
                </c:pt>
                <c:pt idx="807">
                  <c:v>9.745779879011391E-3</c:v>
                </c:pt>
                <c:pt idx="808">
                  <c:v>-5.3240356908131233E-3</c:v>
                </c:pt>
                <c:pt idx="809">
                  <c:v>1.2338479139960447E-2</c:v>
                </c:pt>
                <c:pt idx="810">
                  <c:v>3.4226757165617162E-2</c:v>
                </c:pt>
                <c:pt idx="811">
                  <c:v>-1.2610807438863862E-2</c:v>
                </c:pt>
                <c:pt idx="812">
                  <c:v>1.2849090923214809E-2</c:v>
                </c:pt>
                <c:pt idx="813">
                  <c:v>-1.3473313881078718E-2</c:v>
                </c:pt>
                <c:pt idx="814">
                  <c:v>-1.6687964478803931E-3</c:v>
                </c:pt>
                <c:pt idx="815">
                  <c:v>1.4604793255288561E-2</c:v>
                </c:pt>
                <c:pt idx="816">
                  <c:v>3.192845085895385E-2</c:v>
                </c:pt>
                <c:pt idx="817">
                  <c:v>-2.0314841423637785E-2</c:v>
                </c:pt>
                <c:pt idx="818">
                  <c:v>-6.4172863155930078E-3</c:v>
                </c:pt>
                <c:pt idx="819">
                  <c:v>6.9303984276080149E-3</c:v>
                </c:pt>
                <c:pt idx="820">
                  <c:v>3.5891098959181271E-3</c:v>
                </c:pt>
                <c:pt idx="821">
                  <c:v>-5.8278319324694301E-3</c:v>
                </c:pt>
                <c:pt idx="822">
                  <c:v>-1.5550724155606085E-2</c:v>
                </c:pt>
                <c:pt idx="823">
                  <c:v>1.8182478018825127E-2</c:v>
                </c:pt>
                <c:pt idx="824">
                  <c:v>1.4146318652937355E-2</c:v>
                </c:pt>
                <c:pt idx="825">
                  <c:v>-1.8118536649302009E-2</c:v>
                </c:pt>
                <c:pt idx="826">
                  <c:v>4.4235897189517835E-2</c:v>
                </c:pt>
                <c:pt idx="827">
                  <c:v>6.4686570847483135E-3</c:v>
                </c:pt>
                <c:pt idx="828">
                  <c:v>1.2451156263604565E-2</c:v>
                </c:pt>
                <c:pt idx="829">
                  <c:v>4.9120315611716229E-3</c:v>
                </c:pt>
                <c:pt idx="830">
                  <c:v>1.7927809188589449E-2</c:v>
                </c:pt>
                <c:pt idx="831">
                  <c:v>2.8774872257565504E-3</c:v>
                </c:pt>
                <c:pt idx="832">
                  <c:v>-2.1949860575858321E-2</c:v>
                </c:pt>
                <c:pt idx="833">
                  <c:v>5.2263620938182757E-2</c:v>
                </c:pt>
                <c:pt idx="834">
                  <c:v>-3.2269239929837538E-2</c:v>
                </c:pt>
                <c:pt idx="835">
                  <c:v>4.8894150467442441E-3</c:v>
                </c:pt>
                <c:pt idx="836">
                  <c:v>-1.9252276506751061E-3</c:v>
                </c:pt>
                <c:pt idx="837">
                  <c:v>-3.1801563109628575E-2</c:v>
                </c:pt>
                <c:pt idx="838">
                  <c:v>2.9214279301464667E-3</c:v>
                </c:pt>
                <c:pt idx="839">
                  <c:v>-1.9423085190257684E-2</c:v>
                </c:pt>
                <c:pt idx="840">
                  <c:v>-2.5056589772559801E-2</c:v>
                </c:pt>
                <c:pt idx="841">
                  <c:v>1.5109786013090482E-2</c:v>
                </c:pt>
                <c:pt idx="842">
                  <c:v>9.3266613829542256E-3</c:v>
                </c:pt>
                <c:pt idx="843">
                  <c:v>3.4252852428618683E-3</c:v>
                </c:pt>
                <c:pt idx="844">
                  <c:v>-5.1758229020595618E-2</c:v>
                </c:pt>
                <c:pt idx="845">
                  <c:v>-8.662896228201664E-3</c:v>
                </c:pt>
                <c:pt idx="846">
                  <c:v>1.5640247729051992E-2</c:v>
                </c:pt>
                <c:pt idx="847">
                  <c:v>1.7233079521670105E-2</c:v>
                </c:pt>
                <c:pt idx="848">
                  <c:v>1.3562983235130667E-2</c:v>
                </c:pt>
                <c:pt idx="849">
                  <c:v>2.4121607788810226E-3</c:v>
                </c:pt>
                <c:pt idx="850">
                  <c:v>4.2735362736788733E-2</c:v>
                </c:pt>
                <c:pt idx="851">
                  <c:v>-8.1974405167036819E-3</c:v>
                </c:pt>
                <c:pt idx="852">
                  <c:v>2.072753574041917E-3</c:v>
                </c:pt>
                <c:pt idx="853">
                  <c:v>1.2313593312893351E-2</c:v>
                </c:pt>
                <c:pt idx="854">
                  <c:v>-1.1092095655156495E-2</c:v>
                </c:pt>
                <c:pt idx="855">
                  <c:v>2.4553952168193685E-2</c:v>
                </c:pt>
                <c:pt idx="856">
                  <c:v>-4.3990935118558387E-2</c:v>
                </c:pt>
                <c:pt idx="857">
                  <c:v>3.9515705479430924E-2</c:v>
                </c:pt>
                <c:pt idx="858">
                  <c:v>1.6422106297134899E-2</c:v>
                </c:pt>
                <c:pt idx="859">
                  <c:v>2.916168763743545E-2</c:v>
                </c:pt>
                <c:pt idx="860">
                  <c:v>-9.8052163336181629E-3</c:v>
                </c:pt>
                <c:pt idx="861">
                  <c:v>1.0640741133365638E-2</c:v>
                </c:pt>
                <c:pt idx="862">
                  <c:v>-5.4726837539022482E-4</c:v>
                </c:pt>
                <c:pt idx="863">
                  <c:v>5.612552622677975E-3</c:v>
                </c:pt>
                <c:pt idx="864">
                  <c:v>-1.8172627879631031E-2</c:v>
                </c:pt>
                <c:pt idx="865">
                  <c:v>-3.375707989935888E-3</c:v>
                </c:pt>
                <c:pt idx="866">
                  <c:v>7.1097156201954601E-3</c:v>
                </c:pt>
                <c:pt idx="867">
                  <c:v>3.4276230617519887E-2</c:v>
                </c:pt>
                <c:pt idx="868">
                  <c:v>1.4279565495197844E-2</c:v>
                </c:pt>
                <c:pt idx="869">
                  <c:v>1.1472324907875283E-2</c:v>
                </c:pt>
                <c:pt idx="870">
                  <c:v>-2.4876617577073646E-2</c:v>
                </c:pt>
                <c:pt idx="871">
                  <c:v>3.1697952531520142E-2</c:v>
                </c:pt>
                <c:pt idx="872">
                  <c:v>1.356049783853759E-2</c:v>
                </c:pt>
                <c:pt idx="873">
                  <c:v>-6.291458184617983E-3</c:v>
                </c:pt>
                <c:pt idx="874">
                  <c:v>1.9310267212697418E-2</c:v>
                </c:pt>
                <c:pt idx="875">
                  <c:v>-5.7594399840945926E-4</c:v>
                </c:pt>
                <c:pt idx="876">
                  <c:v>1.0925863839738309E-2</c:v>
                </c:pt>
                <c:pt idx="877">
                  <c:v>1.348237811996815E-2</c:v>
                </c:pt>
                <c:pt idx="878">
                  <c:v>2.462553439392183E-2</c:v>
                </c:pt>
                <c:pt idx="879">
                  <c:v>3.73596733213327E-2</c:v>
                </c:pt>
                <c:pt idx="880">
                  <c:v>-2.4653970384958235E-3</c:v>
                </c:pt>
                <c:pt idx="881">
                  <c:v>-1.4257791680136999E-2</c:v>
                </c:pt>
                <c:pt idx="882">
                  <c:v>9.6085189217495776E-3</c:v>
                </c:pt>
                <c:pt idx="883">
                  <c:v>3.2013963261054088E-2</c:v>
                </c:pt>
                <c:pt idx="884">
                  <c:v>3.2995889398102642E-2</c:v>
                </c:pt>
                <c:pt idx="885">
                  <c:v>-1.1855468013221184E-2</c:v>
                </c:pt>
                <c:pt idx="886">
                  <c:v>-1.1962931392019956E-2</c:v>
                </c:pt>
                <c:pt idx="887">
                  <c:v>1.450386110468993E-2</c:v>
                </c:pt>
                <c:pt idx="888">
                  <c:v>2.621057798867637E-3</c:v>
                </c:pt>
                <c:pt idx="889">
                  <c:v>-3.6983060520665224E-2</c:v>
                </c:pt>
                <c:pt idx="890">
                  <c:v>-1.6265749486418141E-2</c:v>
                </c:pt>
                <c:pt idx="891">
                  <c:v>-1.7627535249622656E-2</c:v>
                </c:pt>
                <c:pt idx="892">
                  <c:v>-2.0244866365233169E-3</c:v>
                </c:pt>
                <c:pt idx="893">
                  <c:v>3.5318001430528684E-2</c:v>
                </c:pt>
                <c:pt idx="894">
                  <c:v>3.2419122334945063E-3</c:v>
                </c:pt>
                <c:pt idx="895">
                  <c:v>-5.176906764162257E-2</c:v>
                </c:pt>
                <c:pt idx="896">
                  <c:v>-2.2715469317737769E-2</c:v>
                </c:pt>
                <c:pt idx="897">
                  <c:v>1.8643036813383443E-3</c:v>
                </c:pt>
                <c:pt idx="898">
                  <c:v>-7.2118982799551238E-3</c:v>
                </c:pt>
                <c:pt idx="899">
                  <c:v>-4.6428857585894698E-2</c:v>
                </c:pt>
                <c:pt idx="900">
                  <c:v>1.0193346194636804E-2</c:v>
                </c:pt>
                <c:pt idx="901">
                  <c:v>-6.9183164816084917E-3</c:v>
                </c:pt>
                <c:pt idx="902">
                  <c:v>3.3259127028069688E-3</c:v>
                </c:pt>
                <c:pt idx="903">
                  <c:v>-7.2638121940229363E-3</c:v>
                </c:pt>
                <c:pt idx="904">
                  <c:v>-8.6675464169538776E-3</c:v>
                </c:pt>
                <c:pt idx="905">
                  <c:v>-5.7883168710520256E-3</c:v>
                </c:pt>
                <c:pt idx="906">
                  <c:v>-6.3666645583352948E-3</c:v>
                </c:pt>
                <c:pt idx="907">
                  <c:v>2.8916001912399483E-2</c:v>
                </c:pt>
                <c:pt idx="908">
                  <c:v>-1.1213618105814461E-2</c:v>
                </c:pt>
                <c:pt idx="909">
                  <c:v>2.4490684038417122E-2</c:v>
                </c:pt>
                <c:pt idx="910">
                  <c:v>-2.4881552277635308E-2</c:v>
                </c:pt>
                <c:pt idx="911">
                  <c:v>1.8915441174855194E-2</c:v>
                </c:pt>
                <c:pt idx="912">
                  <c:v>-3.5813780165019674E-3</c:v>
                </c:pt>
                <c:pt idx="913">
                  <c:v>-2.5388567402769183E-2</c:v>
                </c:pt>
                <c:pt idx="914">
                  <c:v>2.687971835144053E-2</c:v>
                </c:pt>
                <c:pt idx="915">
                  <c:v>-1.2081010552827011E-2</c:v>
                </c:pt>
                <c:pt idx="916">
                  <c:v>-2.5361333868731982E-2</c:v>
                </c:pt>
                <c:pt idx="917">
                  <c:v>-8.7847375602512451E-4</c:v>
                </c:pt>
                <c:pt idx="918">
                  <c:v>4.6365190149313448E-3</c:v>
                </c:pt>
                <c:pt idx="919">
                  <c:v>1.2327346762347506E-2</c:v>
                </c:pt>
                <c:pt idx="920">
                  <c:v>1.3384560862262874E-2</c:v>
                </c:pt>
                <c:pt idx="921">
                  <c:v>3.6456025251287036E-2</c:v>
                </c:pt>
                <c:pt idx="922">
                  <c:v>-3.5779714083300787E-2</c:v>
                </c:pt>
                <c:pt idx="923">
                  <c:v>-8.5794602706625173E-3</c:v>
                </c:pt>
                <c:pt idx="924">
                  <c:v>-3.452436961277907E-2</c:v>
                </c:pt>
                <c:pt idx="925">
                  <c:v>-1.4634719773002777E-2</c:v>
                </c:pt>
                <c:pt idx="926">
                  <c:v>-1.9448535795182067E-3</c:v>
                </c:pt>
                <c:pt idx="927">
                  <c:v>3.0762780237432261E-2</c:v>
                </c:pt>
                <c:pt idx="928">
                  <c:v>-7.9806842392482966E-3</c:v>
                </c:pt>
                <c:pt idx="929">
                  <c:v>-4.7186064612147815E-4</c:v>
                </c:pt>
                <c:pt idx="930">
                  <c:v>-4.4889615380849679E-2</c:v>
                </c:pt>
                <c:pt idx="931">
                  <c:v>-1.5322673851369303E-2</c:v>
                </c:pt>
                <c:pt idx="932">
                  <c:v>7.0057483640115397E-3</c:v>
                </c:pt>
                <c:pt idx="933">
                  <c:v>1.2468523085702246E-2</c:v>
                </c:pt>
                <c:pt idx="934">
                  <c:v>-9.5026860875921382E-3</c:v>
                </c:pt>
                <c:pt idx="935">
                  <c:v>-2.6477101433700256E-2</c:v>
                </c:pt>
                <c:pt idx="936">
                  <c:v>-1.6720493009867249E-2</c:v>
                </c:pt>
                <c:pt idx="937">
                  <c:v>-2.6931139619526839E-2</c:v>
                </c:pt>
                <c:pt idx="938">
                  <c:v>-2.4921694206603187E-2</c:v>
                </c:pt>
                <c:pt idx="939">
                  <c:v>3.464334406599108E-3</c:v>
                </c:pt>
                <c:pt idx="940">
                  <c:v>2.1292674813911637E-2</c:v>
                </c:pt>
                <c:pt idx="941">
                  <c:v>6.6874705069567214E-3</c:v>
                </c:pt>
                <c:pt idx="942">
                  <c:v>8.4504501494882581E-4</c:v>
                </c:pt>
                <c:pt idx="943">
                  <c:v>-2.2488071708706446E-2</c:v>
                </c:pt>
                <c:pt idx="944">
                  <c:v>2.2154120551856989E-4</c:v>
                </c:pt>
                <c:pt idx="945">
                  <c:v>-2.1059840062772353E-2</c:v>
                </c:pt>
                <c:pt idx="946">
                  <c:v>1.2037889855770208E-2</c:v>
                </c:pt>
                <c:pt idx="947">
                  <c:v>-2.3082243833422195E-2</c:v>
                </c:pt>
                <c:pt idx="948">
                  <c:v>3.9982431330253983E-2</c:v>
                </c:pt>
                <c:pt idx="949">
                  <c:v>1.8205305851997544E-3</c:v>
                </c:pt>
                <c:pt idx="950">
                  <c:v>-2.7426508556045559E-2</c:v>
                </c:pt>
                <c:pt idx="951">
                  <c:v>1.5012157034322092E-2</c:v>
                </c:pt>
                <c:pt idx="952">
                  <c:v>-2.0704477277437419E-2</c:v>
                </c:pt>
                <c:pt idx="953">
                  <c:v>4.3996317944592614E-4</c:v>
                </c:pt>
                <c:pt idx="954">
                  <c:v>-1.8050765495340744E-2</c:v>
                </c:pt>
                <c:pt idx="955">
                  <c:v>1.605922645653024E-2</c:v>
                </c:pt>
                <c:pt idx="956">
                  <c:v>1.0258782542001833E-2</c:v>
                </c:pt>
                <c:pt idx="957">
                  <c:v>9.4658457944727693E-3</c:v>
                </c:pt>
                <c:pt idx="958">
                  <c:v>-1.9651852234258513E-2</c:v>
                </c:pt>
                <c:pt idx="959">
                  <c:v>-8.4708126700568567E-3</c:v>
                </c:pt>
                <c:pt idx="960">
                  <c:v>-1.5666995673743144E-2</c:v>
                </c:pt>
                <c:pt idx="961">
                  <c:v>-3.692140205934575E-3</c:v>
                </c:pt>
                <c:pt idx="962">
                  <c:v>2.0838531261164684E-2</c:v>
                </c:pt>
                <c:pt idx="963">
                  <c:v>-8.6671212858814174E-3</c:v>
                </c:pt>
                <c:pt idx="964">
                  <c:v>-1.3300880982583595E-2</c:v>
                </c:pt>
                <c:pt idx="965">
                  <c:v>3.0746657260723138E-2</c:v>
                </c:pt>
                <c:pt idx="966">
                  <c:v>5.3833174426884444E-3</c:v>
                </c:pt>
                <c:pt idx="967">
                  <c:v>-1.0483557243162049E-2</c:v>
                </c:pt>
                <c:pt idx="968">
                  <c:v>-1.3913215292249289E-2</c:v>
                </c:pt>
                <c:pt idx="969">
                  <c:v>-2.4542670119580578E-3</c:v>
                </c:pt>
                <c:pt idx="970">
                  <c:v>1.8796265485369567E-2</c:v>
                </c:pt>
                <c:pt idx="971">
                  <c:v>-2.4224888643340166E-2</c:v>
                </c:pt>
                <c:pt idx="972">
                  <c:v>3.4210271756761469E-3</c:v>
                </c:pt>
                <c:pt idx="973">
                  <c:v>-4.8474769258576779E-2</c:v>
                </c:pt>
                <c:pt idx="974">
                  <c:v>-1.5544739867534515E-2</c:v>
                </c:pt>
                <c:pt idx="975">
                  <c:v>4.7412761741483884E-3</c:v>
                </c:pt>
                <c:pt idx="976">
                  <c:v>2.4733198653136987E-2</c:v>
                </c:pt>
                <c:pt idx="977">
                  <c:v>-2.0072100169192639E-3</c:v>
                </c:pt>
                <c:pt idx="978">
                  <c:v>-2.319223508375259E-2</c:v>
                </c:pt>
                <c:pt idx="979">
                  <c:v>-1.3054549290839091E-2</c:v>
                </c:pt>
                <c:pt idx="980">
                  <c:v>-4.1474809492533765E-2</c:v>
                </c:pt>
                <c:pt idx="981">
                  <c:v>-2.6569925839430953E-2</c:v>
                </c:pt>
                <c:pt idx="982">
                  <c:v>1.3072004185258007E-2</c:v>
                </c:pt>
                <c:pt idx="983">
                  <c:v>-1.1287742887082664E-2</c:v>
                </c:pt>
                <c:pt idx="984">
                  <c:v>-5.1310126090060477E-3</c:v>
                </c:pt>
                <c:pt idx="985">
                  <c:v>-1.7960499901176232E-2</c:v>
                </c:pt>
                <c:pt idx="986">
                  <c:v>6.7248918912045409E-3</c:v>
                </c:pt>
                <c:pt idx="987">
                  <c:v>-1.6560702385030393E-2</c:v>
                </c:pt>
                <c:pt idx="988">
                  <c:v>-2.503898566787546E-2</c:v>
                </c:pt>
                <c:pt idx="989">
                  <c:v>-1.2280936996210208E-3</c:v>
                </c:pt>
                <c:pt idx="990">
                  <c:v>-1.0528404341073697E-2</c:v>
                </c:pt>
                <c:pt idx="991">
                  <c:v>2.5100714120093151E-3</c:v>
                </c:pt>
                <c:pt idx="992">
                  <c:v>-2.1819678223880132E-2</c:v>
                </c:pt>
                <c:pt idx="993">
                  <c:v>5.0353311249092217E-2</c:v>
                </c:pt>
                <c:pt idx="994">
                  <c:v>-1.570123875681916E-3</c:v>
                </c:pt>
                <c:pt idx="995">
                  <c:v>-4.3171596821939152E-3</c:v>
                </c:pt>
                <c:pt idx="996">
                  <c:v>-2.8759204802017234E-2</c:v>
                </c:pt>
                <c:pt idx="997">
                  <c:v>1.1035731535751544E-2</c:v>
                </c:pt>
                <c:pt idx="998">
                  <c:v>-1.6791975688210448E-2</c:v>
                </c:pt>
                <c:pt idx="999">
                  <c:v>4.2741536030735071E-2</c:v>
                </c:pt>
                <c:pt idx="1000">
                  <c:v>-3.7317909160147662E-3</c:v>
                </c:pt>
                <c:pt idx="1001">
                  <c:v>-4.1052717294606071E-3</c:v>
                </c:pt>
                <c:pt idx="1002">
                  <c:v>-1.6752231068579149E-2</c:v>
                </c:pt>
                <c:pt idx="1003">
                  <c:v>2.0904074208429008E-2</c:v>
                </c:pt>
                <c:pt idx="1004">
                  <c:v>2.2220784324256292E-2</c:v>
                </c:pt>
                <c:pt idx="1005">
                  <c:v>-4.7175787433988141E-2</c:v>
                </c:pt>
                <c:pt idx="1006">
                  <c:v>4.2236413586442631E-2</c:v>
                </c:pt>
                <c:pt idx="1007">
                  <c:v>2.055926462625376E-3</c:v>
                </c:pt>
                <c:pt idx="1008">
                  <c:v>2.8435173578848564E-2</c:v>
                </c:pt>
                <c:pt idx="1009">
                  <c:v>4.877790527939835E-3</c:v>
                </c:pt>
                <c:pt idx="1010">
                  <c:v>-3.2757965322263112E-2</c:v>
                </c:pt>
                <c:pt idx="1011">
                  <c:v>4.9816336460093508E-2</c:v>
                </c:pt>
                <c:pt idx="1012">
                  <c:v>-7.3205338549713773E-3</c:v>
                </c:pt>
                <c:pt idx="1013">
                  <c:v>1.8408435588627817E-2</c:v>
                </c:pt>
                <c:pt idx="1014">
                  <c:v>2.1075978060495291E-2</c:v>
                </c:pt>
                <c:pt idx="1015">
                  <c:v>-4.1096010786702192E-2</c:v>
                </c:pt>
                <c:pt idx="1016">
                  <c:v>2.3519388096446697E-2</c:v>
                </c:pt>
                <c:pt idx="1017">
                  <c:v>1.8554723283100538E-2</c:v>
                </c:pt>
                <c:pt idx="1018">
                  <c:v>1.5562372936303573E-2</c:v>
                </c:pt>
                <c:pt idx="1019">
                  <c:v>3.2390327198925532E-2</c:v>
                </c:pt>
                <c:pt idx="1020">
                  <c:v>-1.2310144481283905E-2</c:v>
                </c:pt>
                <c:pt idx="1021">
                  <c:v>-1.0322173578993921E-2</c:v>
                </c:pt>
                <c:pt idx="1022">
                  <c:v>2.42441682989992E-2</c:v>
                </c:pt>
                <c:pt idx="1023">
                  <c:v>1.6784654348199361E-2</c:v>
                </c:pt>
                <c:pt idx="1024">
                  <c:v>3.6578551777702265E-2</c:v>
                </c:pt>
                <c:pt idx="1025">
                  <c:v>-1.4853376280772785E-3</c:v>
                </c:pt>
                <c:pt idx="1026">
                  <c:v>1.1663571489187211E-2</c:v>
                </c:pt>
                <c:pt idx="1027">
                  <c:v>1.07438608598468E-3</c:v>
                </c:pt>
                <c:pt idx="1028">
                  <c:v>7.3386723352334539E-3</c:v>
                </c:pt>
                <c:pt idx="1029">
                  <c:v>-1.3252382563336718E-2</c:v>
                </c:pt>
                <c:pt idx="1030">
                  <c:v>-1.0862747725002132E-2</c:v>
                </c:pt>
                <c:pt idx="1031">
                  <c:v>1.2162558437498886E-2</c:v>
                </c:pt>
                <c:pt idx="1032">
                  <c:v>2.5358762584719526E-2</c:v>
                </c:pt>
                <c:pt idx="1033">
                  <c:v>2.7124663282298039E-2</c:v>
                </c:pt>
                <c:pt idx="1034">
                  <c:v>-1.6426867166493109E-2</c:v>
                </c:pt>
                <c:pt idx="1035">
                  <c:v>-3.9582389666174854E-2</c:v>
                </c:pt>
                <c:pt idx="1036">
                  <c:v>1.7687277902788352E-2</c:v>
                </c:pt>
                <c:pt idx="1037">
                  <c:v>-7.9006813216514465E-3</c:v>
                </c:pt>
                <c:pt idx="1038">
                  <c:v>2.8524174225444624E-2</c:v>
                </c:pt>
                <c:pt idx="1039">
                  <c:v>-2.9032815749677345E-2</c:v>
                </c:pt>
                <c:pt idx="1040">
                  <c:v>-8.1091737613685579E-4</c:v>
                </c:pt>
                <c:pt idx="1041">
                  <c:v>7.9470637332548224E-5</c:v>
                </c:pt>
                <c:pt idx="1042">
                  <c:v>-1.2978469703087971E-2</c:v>
                </c:pt>
                <c:pt idx="1043">
                  <c:v>2.0544559711361272E-2</c:v>
                </c:pt>
                <c:pt idx="1044">
                  <c:v>-2.2641640431253543E-3</c:v>
                </c:pt>
                <c:pt idx="1045">
                  <c:v>-1.9950392904978388E-2</c:v>
                </c:pt>
                <c:pt idx="1046">
                  <c:v>-3.4707803418209948E-3</c:v>
                </c:pt>
                <c:pt idx="1047">
                  <c:v>-3.6833757544978175E-2</c:v>
                </c:pt>
                <c:pt idx="1048">
                  <c:v>1.9154245723190147E-2</c:v>
                </c:pt>
                <c:pt idx="1049">
                  <c:v>9.0993674573199741E-3</c:v>
                </c:pt>
                <c:pt idx="1050">
                  <c:v>7.6651559827354437E-4</c:v>
                </c:pt>
                <c:pt idx="1051">
                  <c:v>3.2888664514513256E-2</c:v>
                </c:pt>
                <c:pt idx="1052">
                  <c:v>-7.7749553942549647E-3</c:v>
                </c:pt>
                <c:pt idx="1053">
                  <c:v>3.5473625583174418E-3</c:v>
                </c:pt>
                <c:pt idx="1054">
                  <c:v>1.4375182085933811E-2</c:v>
                </c:pt>
                <c:pt idx="1055">
                  <c:v>2.3091186182668651E-2</c:v>
                </c:pt>
                <c:pt idx="1056">
                  <c:v>-2.8444767960999803E-2</c:v>
                </c:pt>
                <c:pt idx="1057">
                  <c:v>7.4160173779035674E-3</c:v>
                </c:pt>
                <c:pt idx="1058">
                  <c:v>-3.0470947325246991E-3</c:v>
                </c:pt>
                <c:pt idx="1059">
                  <c:v>3.2604782819420542E-3</c:v>
                </c:pt>
                <c:pt idx="1060">
                  <c:v>-2.5114095120494354E-3</c:v>
                </c:pt>
                <c:pt idx="1061">
                  <c:v>-9.4997720658312728E-3</c:v>
                </c:pt>
                <c:pt idx="1062">
                  <c:v>5.6136262563207234E-3</c:v>
                </c:pt>
                <c:pt idx="1063">
                  <c:v>-3.8331006556542327E-2</c:v>
                </c:pt>
                <c:pt idx="1064">
                  <c:v>-1.2663816681694726E-2</c:v>
                </c:pt>
                <c:pt idx="1065">
                  <c:v>-6.8659904051248302E-3</c:v>
                </c:pt>
                <c:pt idx="1066">
                  <c:v>1.7499165987032651E-2</c:v>
                </c:pt>
                <c:pt idx="1067">
                  <c:v>2.978950284884422E-2</c:v>
                </c:pt>
                <c:pt idx="1068">
                  <c:v>-1.1598823030806808E-2</c:v>
                </c:pt>
                <c:pt idx="1069">
                  <c:v>3.0823837700575021E-2</c:v>
                </c:pt>
                <c:pt idx="1070">
                  <c:v>2.4179233469236385E-3</c:v>
                </c:pt>
                <c:pt idx="1071">
                  <c:v>-1.4529367158639745E-2</c:v>
                </c:pt>
                <c:pt idx="1072">
                  <c:v>-3.9709228310431686E-2</c:v>
                </c:pt>
                <c:pt idx="1073">
                  <c:v>-4.2180612147091345E-3</c:v>
                </c:pt>
                <c:pt idx="1074">
                  <c:v>-3.3846631905980603E-3</c:v>
                </c:pt>
                <c:pt idx="1075">
                  <c:v>-5.0399410130842074E-3</c:v>
                </c:pt>
                <c:pt idx="1076">
                  <c:v>-4.345356770492575E-3</c:v>
                </c:pt>
                <c:pt idx="1077">
                  <c:v>-7.0408644889155192E-3</c:v>
                </c:pt>
                <c:pt idx="1078">
                  <c:v>4.1919956981176343E-2</c:v>
                </c:pt>
                <c:pt idx="1079">
                  <c:v>-1.3999654557178958E-2</c:v>
                </c:pt>
                <c:pt idx="1080">
                  <c:v>-1.7826062657342722E-3</c:v>
                </c:pt>
                <c:pt idx="1081">
                  <c:v>4.2094495858950812E-3</c:v>
                </c:pt>
                <c:pt idx="1082">
                  <c:v>-1.8269645517648953E-2</c:v>
                </c:pt>
                <c:pt idx="1083">
                  <c:v>5.3022843853881216E-3</c:v>
                </c:pt>
                <c:pt idx="1084">
                  <c:v>-1.2880337519713247E-2</c:v>
                </c:pt>
                <c:pt idx="1085">
                  <c:v>1.6647377469084162E-2</c:v>
                </c:pt>
                <c:pt idx="1086">
                  <c:v>-7.0731778740540131E-3</c:v>
                </c:pt>
                <c:pt idx="1087">
                  <c:v>-3.2886137914197896E-3</c:v>
                </c:pt>
                <c:pt idx="1088">
                  <c:v>-5.0355200739257137E-2</c:v>
                </c:pt>
                <c:pt idx="1089">
                  <c:v>-9.2209418549081511E-3</c:v>
                </c:pt>
                <c:pt idx="1090">
                  <c:v>-1.679493190201882E-2</c:v>
                </c:pt>
                <c:pt idx="1091">
                  <c:v>2.1991280893119348E-2</c:v>
                </c:pt>
                <c:pt idx="1092">
                  <c:v>2.5424187534282029E-2</c:v>
                </c:pt>
                <c:pt idx="1093">
                  <c:v>1.1401754618824931E-2</c:v>
                </c:pt>
                <c:pt idx="1094">
                  <c:v>-1.6677164307157454E-2</c:v>
                </c:pt>
                <c:pt idx="1095">
                  <c:v>-9.183837022029729E-3</c:v>
                </c:pt>
                <c:pt idx="1096">
                  <c:v>-1.1275058057530641E-3</c:v>
                </c:pt>
                <c:pt idx="1097">
                  <c:v>-2.0168801765254818E-2</c:v>
                </c:pt>
                <c:pt idx="1098">
                  <c:v>-7.2819619040393364E-3</c:v>
                </c:pt>
                <c:pt idx="1099">
                  <c:v>5.3557419178763364E-3</c:v>
                </c:pt>
                <c:pt idx="1100">
                  <c:v>1.8037700836088723E-2</c:v>
                </c:pt>
                <c:pt idx="1101">
                  <c:v>5.3907459287643872E-3</c:v>
                </c:pt>
                <c:pt idx="1102">
                  <c:v>-3.182809076848836E-2</c:v>
                </c:pt>
                <c:pt idx="1103">
                  <c:v>-1.0966935163889242E-3</c:v>
                </c:pt>
                <c:pt idx="1104">
                  <c:v>1.3861190662469911E-2</c:v>
                </c:pt>
                <c:pt idx="1105">
                  <c:v>7.8143170714347378E-3</c:v>
                </c:pt>
                <c:pt idx="1106">
                  <c:v>-4.2810819587259172E-3</c:v>
                </c:pt>
                <c:pt idx="1107">
                  <c:v>-1.2716057279322793E-2</c:v>
                </c:pt>
                <c:pt idx="1108">
                  <c:v>-2.5043811681647116E-2</c:v>
                </c:pt>
                <c:pt idx="1109">
                  <c:v>2.0921207905478603E-2</c:v>
                </c:pt>
                <c:pt idx="1110">
                  <c:v>2.5675786481840466E-2</c:v>
                </c:pt>
                <c:pt idx="1111">
                  <c:v>-1.24368291312217E-2</c:v>
                </c:pt>
                <c:pt idx="1112">
                  <c:v>-1.7756809930165221E-2</c:v>
                </c:pt>
                <c:pt idx="1113">
                  <c:v>-7.5725058520417559E-3</c:v>
                </c:pt>
                <c:pt idx="1114">
                  <c:v>-3.4336250725471879E-3</c:v>
                </c:pt>
                <c:pt idx="1115">
                  <c:v>2.4741166552960214E-2</c:v>
                </c:pt>
                <c:pt idx="1116">
                  <c:v>-1.0905788998492798E-2</c:v>
                </c:pt>
                <c:pt idx="1117">
                  <c:v>1.6084697919362938E-2</c:v>
                </c:pt>
                <c:pt idx="1118">
                  <c:v>-1.26736811333089E-2</c:v>
                </c:pt>
                <c:pt idx="1119">
                  <c:v>-4.584681317426541E-3</c:v>
                </c:pt>
                <c:pt idx="1120">
                  <c:v>-2.734093511332707E-2</c:v>
                </c:pt>
                <c:pt idx="1121">
                  <c:v>-4.2944541087255314E-4</c:v>
                </c:pt>
                <c:pt idx="1122">
                  <c:v>-1.8449617726553194E-2</c:v>
                </c:pt>
                <c:pt idx="1123">
                  <c:v>1.231611052832288E-2</c:v>
                </c:pt>
                <c:pt idx="1124">
                  <c:v>-2.0424097464023052E-3</c:v>
                </c:pt>
                <c:pt idx="1125">
                  <c:v>-3.0471082079435705E-2</c:v>
                </c:pt>
                <c:pt idx="1126">
                  <c:v>-1.2614430633855648E-2</c:v>
                </c:pt>
                <c:pt idx="1127">
                  <c:v>1.5181270113020529E-2</c:v>
                </c:pt>
                <c:pt idx="1128">
                  <c:v>-2.8362083155159156E-2</c:v>
                </c:pt>
                <c:pt idx="1129">
                  <c:v>2.0325899483075689E-2</c:v>
                </c:pt>
                <c:pt idx="1130">
                  <c:v>-1.1361309400210092E-2</c:v>
                </c:pt>
                <c:pt idx="1131">
                  <c:v>8.5846292261409964E-3</c:v>
                </c:pt>
                <c:pt idx="1132">
                  <c:v>1.895896144738738E-2</c:v>
                </c:pt>
                <c:pt idx="1133">
                  <c:v>-2.3144278011662058E-2</c:v>
                </c:pt>
                <c:pt idx="1134">
                  <c:v>4.3155197480155311E-2</c:v>
                </c:pt>
                <c:pt idx="1135">
                  <c:v>3.8584678178520786E-3</c:v>
                </c:pt>
                <c:pt idx="1136">
                  <c:v>-4.1760330488136738E-2</c:v>
                </c:pt>
                <c:pt idx="1137">
                  <c:v>1.0991315798316274E-2</c:v>
                </c:pt>
                <c:pt idx="1138">
                  <c:v>1.3135934725047038E-2</c:v>
                </c:pt>
                <c:pt idx="1139">
                  <c:v>2.2594264605581865E-2</c:v>
                </c:pt>
                <c:pt idx="1140">
                  <c:v>3.925103498621936E-2</c:v>
                </c:pt>
                <c:pt idx="1141">
                  <c:v>-2.2349221417219216E-2</c:v>
                </c:pt>
                <c:pt idx="1142">
                  <c:v>5.7584890582770294E-3</c:v>
                </c:pt>
                <c:pt idx="1143">
                  <c:v>1.7862587292899038E-2</c:v>
                </c:pt>
                <c:pt idx="1144">
                  <c:v>-8.7268156455151454E-3</c:v>
                </c:pt>
                <c:pt idx="1145">
                  <c:v>-1.4711896283659381E-2</c:v>
                </c:pt>
                <c:pt idx="1146">
                  <c:v>-1.0938610900994423E-2</c:v>
                </c:pt>
                <c:pt idx="1147">
                  <c:v>-1.7737987312023484E-2</c:v>
                </c:pt>
                <c:pt idx="1148">
                  <c:v>3.5006271949800331E-3</c:v>
                </c:pt>
                <c:pt idx="1149">
                  <c:v>-1.9218478499542377E-2</c:v>
                </c:pt>
                <c:pt idx="1150">
                  <c:v>7.2759343673280772E-3</c:v>
                </c:pt>
                <c:pt idx="1151">
                  <c:v>3.7090963859176325E-2</c:v>
                </c:pt>
                <c:pt idx="1152">
                  <c:v>-2.6165730517086504E-2</c:v>
                </c:pt>
                <c:pt idx="1153">
                  <c:v>-1.133849294931333E-2</c:v>
                </c:pt>
                <c:pt idx="1154">
                  <c:v>-2.1300532166933381E-2</c:v>
                </c:pt>
                <c:pt idx="1155">
                  <c:v>9.3551592932754747E-5</c:v>
                </c:pt>
                <c:pt idx="1156">
                  <c:v>2.3438260961801367E-2</c:v>
                </c:pt>
                <c:pt idx="1157">
                  <c:v>8.987003034850366E-3</c:v>
                </c:pt>
                <c:pt idx="1158">
                  <c:v>1.6110000378391144E-2</c:v>
                </c:pt>
                <c:pt idx="1159">
                  <c:v>-3.3924759405835989E-2</c:v>
                </c:pt>
                <c:pt idx="1160">
                  <c:v>1.0203288383818785E-2</c:v>
                </c:pt>
                <c:pt idx="1161">
                  <c:v>1.8641452479487407E-2</c:v>
                </c:pt>
                <c:pt idx="1162">
                  <c:v>1.7614724888061861E-3</c:v>
                </c:pt>
                <c:pt idx="1163">
                  <c:v>-3.0919181603299463E-3</c:v>
                </c:pt>
                <c:pt idx="1164">
                  <c:v>-2.2502749493414964E-2</c:v>
                </c:pt>
                <c:pt idx="1165">
                  <c:v>-1.7727511960534553E-2</c:v>
                </c:pt>
                <c:pt idx="1166">
                  <c:v>2.8951419059123077E-2</c:v>
                </c:pt>
                <c:pt idx="1167">
                  <c:v>1.0533071218438798E-2</c:v>
                </c:pt>
                <c:pt idx="1168">
                  <c:v>2.6780978946006551E-2</c:v>
                </c:pt>
                <c:pt idx="1169">
                  <c:v>-5.9051403208065225E-3</c:v>
                </c:pt>
                <c:pt idx="1170">
                  <c:v>1.7779611486959952E-2</c:v>
                </c:pt>
                <c:pt idx="1171">
                  <c:v>1.8296030187804719E-3</c:v>
                </c:pt>
                <c:pt idx="1172">
                  <c:v>1.0537672121853159E-2</c:v>
                </c:pt>
                <c:pt idx="1173">
                  <c:v>-2.3236676594658258E-2</c:v>
                </c:pt>
                <c:pt idx="1174">
                  <c:v>9.3728237426657698E-3</c:v>
                </c:pt>
                <c:pt idx="1175">
                  <c:v>-1.1303477536960677E-3</c:v>
                </c:pt>
                <c:pt idx="1176">
                  <c:v>1.6521022481464056E-2</c:v>
                </c:pt>
                <c:pt idx="1177">
                  <c:v>5.9587838053131639E-3</c:v>
                </c:pt>
                <c:pt idx="1178">
                  <c:v>2.4040821339391061E-2</c:v>
                </c:pt>
                <c:pt idx="1179">
                  <c:v>-1.2626590184280265E-2</c:v>
                </c:pt>
                <c:pt idx="1180">
                  <c:v>8.3946154682939065E-3</c:v>
                </c:pt>
                <c:pt idx="1181">
                  <c:v>-1.6013494704955385E-2</c:v>
                </c:pt>
                <c:pt idx="1182">
                  <c:v>-8.3282997631198563E-3</c:v>
                </c:pt>
                <c:pt idx="1183">
                  <c:v>-2.1783687733247241E-3</c:v>
                </c:pt>
                <c:pt idx="1184">
                  <c:v>2.2674623903246944E-2</c:v>
                </c:pt>
                <c:pt idx="1185">
                  <c:v>4.8590442252692372E-3</c:v>
                </c:pt>
                <c:pt idx="1186">
                  <c:v>-2.1714325587511307E-2</c:v>
                </c:pt>
                <c:pt idx="1187">
                  <c:v>-2.9512744460600993E-3</c:v>
                </c:pt>
                <c:pt idx="1188">
                  <c:v>-2.5869505094974172E-2</c:v>
                </c:pt>
                <c:pt idx="1189">
                  <c:v>-3.1753405731163374E-3</c:v>
                </c:pt>
                <c:pt idx="1190">
                  <c:v>-1.8695360845895777E-3</c:v>
                </c:pt>
                <c:pt idx="1191">
                  <c:v>3.9170364058824882E-2</c:v>
                </c:pt>
                <c:pt idx="1192">
                  <c:v>-3.4988757971132434E-2</c:v>
                </c:pt>
                <c:pt idx="1193">
                  <c:v>-2.9838003941676471E-2</c:v>
                </c:pt>
                <c:pt idx="1194">
                  <c:v>3.400611695305427E-2</c:v>
                </c:pt>
                <c:pt idx="1195">
                  <c:v>1.5311139234042712E-2</c:v>
                </c:pt>
                <c:pt idx="1196">
                  <c:v>1.4319724645136059E-4</c:v>
                </c:pt>
                <c:pt idx="1197">
                  <c:v>8.7810045090357513E-3</c:v>
                </c:pt>
                <c:pt idx="1198">
                  <c:v>-2.5907417486163986E-3</c:v>
                </c:pt>
                <c:pt idx="1199">
                  <c:v>9.6160386105788118E-3</c:v>
                </c:pt>
                <c:pt idx="1200">
                  <c:v>1.1007229855035435E-2</c:v>
                </c:pt>
                <c:pt idx="1201">
                  <c:v>-2.0450247395748036E-2</c:v>
                </c:pt>
                <c:pt idx="1202">
                  <c:v>-1.0285121684996493E-2</c:v>
                </c:pt>
                <c:pt idx="1203">
                  <c:v>6.5464978520299588E-3</c:v>
                </c:pt>
                <c:pt idx="1204">
                  <c:v>-1.3948533686744043E-2</c:v>
                </c:pt>
                <c:pt idx="1205">
                  <c:v>1.1813856837193002E-2</c:v>
                </c:pt>
                <c:pt idx="1206">
                  <c:v>-6.8993399693469595E-3</c:v>
                </c:pt>
                <c:pt idx="1207">
                  <c:v>2.125366137235531E-2</c:v>
                </c:pt>
                <c:pt idx="1208">
                  <c:v>2.3200565163394866E-2</c:v>
                </c:pt>
                <c:pt idx="1209">
                  <c:v>-1.0149261766083908E-2</c:v>
                </c:pt>
                <c:pt idx="1210">
                  <c:v>1.4402142951462969E-2</c:v>
                </c:pt>
                <c:pt idx="1211">
                  <c:v>-5.6488818338411616E-3</c:v>
                </c:pt>
                <c:pt idx="1212">
                  <c:v>3.8770263752780166E-3</c:v>
                </c:pt>
                <c:pt idx="1213">
                  <c:v>-3.7709768670759593E-3</c:v>
                </c:pt>
                <c:pt idx="1214">
                  <c:v>2.8708393875310857E-2</c:v>
                </c:pt>
                <c:pt idx="1215">
                  <c:v>-6.1895547471921787E-3</c:v>
                </c:pt>
                <c:pt idx="1216">
                  <c:v>-7.608035192723306E-3</c:v>
                </c:pt>
                <c:pt idx="1217">
                  <c:v>-2.0598692646979402E-2</c:v>
                </c:pt>
                <c:pt idx="1218">
                  <c:v>-3.304016705511291E-2</c:v>
                </c:pt>
                <c:pt idx="1219">
                  <c:v>1.5899403312988541E-2</c:v>
                </c:pt>
                <c:pt idx="1220">
                  <c:v>9.5175107596838487E-3</c:v>
                </c:pt>
                <c:pt idx="1221">
                  <c:v>-2.8894986063006396E-2</c:v>
                </c:pt>
                <c:pt idx="1222">
                  <c:v>2.011039620082096E-3</c:v>
                </c:pt>
                <c:pt idx="1223">
                  <c:v>1.2473391018872661E-2</c:v>
                </c:pt>
                <c:pt idx="1224">
                  <c:v>-2.535972145625157E-2</c:v>
                </c:pt>
                <c:pt idx="1225">
                  <c:v>1.8655771120078005E-2</c:v>
                </c:pt>
                <c:pt idx="1226">
                  <c:v>2.0519655582592064E-3</c:v>
                </c:pt>
                <c:pt idx="1227">
                  <c:v>1.5428301847087012E-2</c:v>
                </c:pt>
                <c:pt idx="1228">
                  <c:v>-1.2960562695267873E-2</c:v>
                </c:pt>
                <c:pt idx="1229">
                  <c:v>2.0835405176982447E-2</c:v>
                </c:pt>
                <c:pt idx="1230">
                  <c:v>1.0735479417575529E-2</c:v>
                </c:pt>
                <c:pt idx="1231">
                  <c:v>1.5435158952227605E-2</c:v>
                </c:pt>
                <c:pt idx="1232">
                  <c:v>2.2202003904999212E-2</c:v>
                </c:pt>
                <c:pt idx="1233">
                  <c:v>-2.4389486601064592E-2</c:v>
                </c:pt>
                <c:pt idx="1234">
                  <c:v>7.8120549369192945E-3</c:v>
                </c:pt>
                <c:pt idx="1235">
                  <c:v>-1.017290872075988E-2</c:v>
                </c:pt>
                <c:pt idx="1236">
                  <c:v>-1.0025948114395925E-3</c:v>
                </c:pt>
                <c:pt idx="1237">
                  <c:v>-1.6026767960712889E-2</c:v>
                </c:pt>
                <c:pt idx="1238">
                  <c:v>4.2566141647116598E-2</c:v>
                </c:pt>
                <c:pt idx="1239">
                  <c:v>4.0140129608088743E-2</c:v>
                </c:pt>
                <c:pt idx="1240">
                  <c:v>7.1788280028830496E-3</c:v>
                </c:pt>
                <c:pt idx="1241">
                  <c:v>2.0144638756308206E-2</c:v>
                </c:pt>
                <c:pt idx="1242">
                  <c:v>-4.0490138130589671E-3</c:v>
                </c:pt>
                <c:pt idx="1243">
                  <c:v>-1.6116740975777314E-2</c:v>
                </c:pt>
                <c:pt idx="1244">
                  <c:v>-1.458268497621641E-2</c:v>
                </c:pt>
                <c:pt idx="1245">
                  <c:v>-1.8656656279886892E-2</c:v>
                </c:pt>
                <c:pt idx="1246">
                  <c:v>1.4560934167803533E-2</c:v>
                </c:pt>
                <c:pt idx="1247">
                  <c:v>8.5326261023648056E-3</c:v>
                </c:pt>
                <c:pt idx="1248">
                  <c:v>-6.3272619813817309E-3</c:v>
                </c:pt>
                <c:pt idx="1249">
                  <c:v>-1.4893562696410791E-2</c:v>
                </c:pt>
                <c:pt idx="1250">
                  <c:v>-2.5711609426954499E-2</c:v>
                </c:pt>
                <c:pt idx="1251">
                  <c:v>-2.2002671043050464E-2</c:v>
                </c:pt>
                <c:pt idx="1252">
                  <c:v>-2.658833646381414E-2</c:v>
                </c:pt>
                <c:pt idx="1253">
                  <c:v>-1.0952736053562256E-2</c:v>
                </c:pt>
                <c:pt idx="1254">
                  <c:v>-5.7929552264586993E-2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4-4F6B-ACF2-A3A9A4EFC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8068319"/>
        <c:axId val="738069279"/>
      </c:lineChart>
      <c:catAx>
        <c:axId val="7380683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38069279"/>
        <c:crosses val="autoZero"/>
        <c:auto val="1"/>
        <c:lblAlgn val="ctr"/>
        <c:lblOffset val="100"/>
        <c:noMultiLvlLbl val="0"/>
      </c:catAx>
      <c:valAx>
        <c:axId val="73806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38068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Rendimiento</a:t>
            </a:r>
            <a:r>
              <a:rPr lang="es-MX" baseline="0"/>
              <a:t> GMEXICO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'VAR SM'!$I$7:$I$1261</c:f>
              <c:numCache>
                <c:formatCode>#,##0.0000</c:formatCode>
                <c:ptCount val="1255"/>
                <c:pt idx="0">
                  <c:v>1.379010989010987E-2</c:v>
                </c:pt>
                <c:pt idx="1">
                  <c:v>1.9128629524519214E-2</c:v>
                </c:pt>
                <c:pt idx="2">
                  <c:v>-2.1272178909860773E-2</c:v>
                </c:pt>
                <c:pt idx="3">
                  <c:v>9.5887705092692066E-3</c:v>
                </c:pt>
                <c:pt idx="4">
                  <c:v>-5.6986068869016027E-3</c:v>
                </c:pt>
                <c:pt idx="5">
                  <c:v>1.3372977852409651E-2</c:v>
                </c:pt>
                <c:pt idx="6">
                  <c:v>4.8177417336514594E-3</c:v>
                </c:pt>
                <c:pt idx="7">
                  <c:v>-5.0031476964115251E-3</c:v>
                </c:pt>
                <c:pt idx="8">
                  <c:v>-1.0266038131154454E-2</c:v>
                </c:pt>
                <c:pt idx="9">
                  <c:v>4.6570065767568281E-3</c:v>
                </c:pt>
                <c:pt idx="10">
                  <c:v>5.2675938741590933E-3</c:v>
                </c:pt>
                <c:pt idx="11">
                  <c:v>-4.4015720897416788E-3</c:v>
                </c:pt>
                <c:pt idx="12">
                  <c:v>8.21050526315803E-3</c:v>
                </c:pt>
                <c:pt idx="13">
                  <c:v>-7.7260181191484145E-3</c:v>
                </c:pt>
                <c:pt idx="14">
                  <c:v>8.417718855218137E-4</c:v>
                </c:pt>
                <c:pt idx="15">
                  <c:v>5.0462152008785566E-3</c:v>
                </c:pt>
                <c:pt idx="16">
                  <c:v>4.1841214264459747E-3</c:v>
                </c:pt>
                <c:pt idx="17">
                  <c:v>-2.7083541666667044E-3</c:v>
                </c:pt>
                <c:pt idx="18">
                  <c:v>-1.4622937426842508E-3</c:v>
                </c:pt>
                <c:pt idx="19">
                  <c:v>6.2767783739903216E-4</c:v>
                </c:pt>
                <c:pt idx="20">
                  <c:v>4.1814131640638408E-3</c:v>
                </c:pt>
                <c:pt idx="21">
                  <c:v>-1.2908578240861557E-2</c:v>
                </c:pt>
                <c:pt idx="22">
                  <c:v>1.2233748154397706E-2</c:v>
                </c:pt>
                <c:pt idx="23">
                  <c:v>-3.3965428882457682E-2</c:v>
                </c:pt>
                <c:pt idx="24">
                  <c:v>4.5297453725250403E-3</c:v>
                </c:pt>
                <c:pt idx="25">
                  <c:v>-1.8896306635172833E-2</c:v>
                </c:pt>
                <c:pt idx="26">
                  <c:v>-1.5101751260708118E-2</c:v>
                </c:pt>
                <c:pt idx="27">
                  <c:v>5.0444444444444514E-2</c:v>
                </c:pt>
                <c:pt idx="28">
                  <c:v>2.623224032155691E-2</c:v>
                </c:pt>
                <c:pt idx="29">
                  <c:v>5.9781696960696795E-3</c:v>
                </c:pt>
                <c:pt idx="30">
                  <c:v>4.2008177090331555E-2</c:v>
                </c:pt>
                <c:pt idx="31">
                  <c:v>2.6745350117811206E-2</c:v>
                </c:pt>
                <c:pt idx="32">
                  <c:v>6.6653898997393046E-2</c:v>
                </c:pt>
                <c:pt idx="33">
                  <c:v>2.9448788462000053E-2</c:v>
                </c:pt>
                <c:pt idx="34">
                  <c:v>-4.2560664833048434E-2</c:v>
                </c:pt>
                <c:pt idx="35">
                  <c:v>-1.7853871704388347E-2</c:v>
                </c:pt>
                <c:pt idx="36">
                  <c:v>6.3068076423669073E-3</c:v>
                </c:pt>
                <c:pt idx="37">
                  <c:v>-2.3041474654377891E-2</c:v>
                </c:pt>
                <c:pt idx="38">
                  <c:v>4.7547169811320789E-2</c:v>
                </c:pt>
                <c:pt idx="39">
                  <c:v>1.0446649855907708E-2</c:v>
                </c:pt>
                <c:pt idx="40">
                  <c:v>3.2442068892765352E-2</c:v>
                </c:pt>
                <c:pt idx="41">
                  <c:v>7.2514159962506763E-3</c:v>
                </c:pt>
                <c:pt idx="42">
                  <c:v>-3.428196777511161E-3</c:v>
                </c:pt>
                <c:pt idx="43">
                  <c:v>-1.2211885314961979E-2</c:v>
                </c:pt>
                <c:pt idx="44">
                  <c:v>-1.9676144872018075E-2</c:v>
                </c:pt>
                <c:pt idx="45">
                  <c:v>2.1314405351943178E-2</c:v>
                </c:pt>
                <c:pt idx="46">
                  <c:v>2.5217408695652255E-2</c:v>
                </c:pt>
                <c:pt idx="47">
                  <c:v>3.9524986606870316E-2</c:v>
                </c:pt>
                <c:pt idx="48">
                  <c:v>-6.0378427878238217E-3</c:v>
                </c:pt>
                <c:pt idx="49">
                  <c:v>2.7910359546872154E-3</c:v>
                </c:pt>
                <c:pt idx="50">
                  <c:v>2.3411852540541789E-2</c:v>
                </c:pt>
                <c:pt idx="51">
                  <c:v>1.1038282228068574E-2</c:v>
                </c:pt>
                <c:pt idx="52">
                  <c:v>-3.8449382303016089E-2</c:v>
                </c:pt>
                <c:pt idx="53">
                  <c:v>4.1138719763040843E-3</c:v>
                </c:pt>
                <c:pt idx="54">
                  <c:v>-2.1304473942969526E-2</c:v>
                </c:pt>
                <c:pt idx="55">
                  <c:v>-5.1741459280953528E-2</c:v>
                </c:pt>
                <c:pt idx="56">
                  <c:v>-3.1432155545962348E-2</c:v>
                </c:pt>
                <c:pt idx="57">
                  <c:v>7.1103740058477971E-3</c:v>
                </c:pt>
                <c:pt idx="58">
                  <c:v>-1.086205608754276E-3</c:v>
                </c:pt>
                <c:pt idx="59">
                  <c:v>6.5241210583544262E-3</c:v>
                </c:pt>
                <c:pt idx="60">
                  <c:v>1.8005041087413742E-2</c:v>
                </c:pt>
                <c:pt idx="61">
                  <c:v>-1.3618694488526706E-2</c:v>
                </c:pt>
                <c:pt idx="62">
                  <c:v>2.6895822126591362E-3</c:v>
                </c:pt>
                <c:pt idx="63">
                  <c:v>3.2546567687645522E-2</c:v>
                </c:pt>
                <c:pt idx="64">
                  <c:v>-5.1962242744629794E-4</c:v>
                </c:pt>
                <c:pt idx="65">
                  <c:v>-2.2179847897762062E-2</c:v>
                </c:pt>
                <c:pt idx="66">
                  <c:v>0</c:v>
                </c:pt>
                <c:pt idx="67">
                  <c:v>1.772107035264936E-2</c:v>
                </c:pt>
                <c:pt idx="68">
                  <c:v>9.2286087410762274E-3</c:v>
                </c:pt>
                <c:pt idx="69">
                  <c:v>2.63975677432291E-2</c:v>
                </c:pt>
                <c:pt idx="70">
                  <c:v>-2.16843327724211E-2</c:v>
                </c:pt>
                <c:pt idx="71">
                  <c:v>-1.3230257504634801E-2</c:v>
                </c:pt>
                <c:pt idx="72">
                  <c:v>3.6740397005049497E-2</c:v>
                </c:pt>
                <c:pt idx="73">
                  <c:v>7.3899730031916633E-3</c:v>
                </c:pt>
                <c:pt idx="74">
                  <c:v>3.0843647882627501E-2</c:v>
                </c:pt>
                <c:pt idx="75">
                  <c:v>9.703541656040926E-4</c:v>
                </c:pt>
                <c:pt idx="76">
                  <c:v>-7.4325255684687397E-3</c:v>
                </c:pt>
                <c:pt idx="77">
                  <c:v>-3.0278365619404224E-2</c:v>
                </c:pt>
                <c:pt idx="78">
                  <c:v>2.9209350344132856E-2</c:v>
                </c:pt>
                <c:pt idx="79">
                  <c:v>-1.4516440800580011E-2</c:v>
                </c:pt>
                <c:pt idx="80">
                  <c:v>8.9374547811140737E-3</c:v>
                </c:pt>
                <c:pt idx="81">
                  <c:v>3.1168012322309702E-2</c:v>
                </c:pt>
                <c:pt idx="82">
                  <c:v>4.4543476860587461E-2</c:v>
                </c:pt>
                <c:pt idx="83">
                  <c:v>-1.6753060203895331E-2</c:v>
                </c:pt>
                <c:pt idx="84">
                  <c:v>-3.7794285557443685E-2</c:v>
                </c:pt>
                <c:pt idx="85">
                  <c:v>-7.0830490515623179E-3</c:v>
                </c:pt>
                <c:pt idx="86">
                  <c:v>-1.2483787289234827E-2</c:v>
                </c:pt>
                <c:pt idx="87">
                  <c:v>2.6760811032671139E-2</c:v>
                </c:pt>
                <c:pt idx="88">
                  <c:v>3.6936312169230767E-2</c:v>
                </c:pt>
                <c:pt idx="89">
                  <c:v>-2.374706318418085E-2</c:v>
                </c:pt>
                <c:pt idx="90">
                  <c:v>9.1612382062671305E-3</c:v>
                </c:pt>
                <c:pt idx="91">
                  <c:v>-1.0956174846707967E-3</c:v>
                </c:pt>
                <c:pt idx="92">
                  <c:v>9.7148542776559488E-3</c:v>
                </c:pt>
                <c:pt idx="93">
                  <c:v>-2.0329003093451314E-2</c:v>
                </c:pt>
                <c:pt idx="94">
                  <c:v>2.7403769564331215E-2</c:v>
                </c:pt>
                <c:pt idx="95">
                  <c:v>2.065982083472373E-2</c:v>
                </c:pt>
                <c:pt idx="96">
                  <c:v>1.2084894807473656E-3</c:v>
                </c:pt>
                <c:pt idx="97">
                  <c:v>-2.6704843492831087E-2</c:v>
                </c:pt>
                <c:pt idx="98">
                  <c:v>8.8358391308063222E-3</c:v>
                </c:pt>
                <c:pt idx="99">
                  <c:v>-1.1524277457766519E-2</c:v>
                </c:pt>
                <c:pt idx="100">
                  <c:v>1.0570495551982306E-2</c:v>
                </c:pt>
                <c:pt idx="101">
                  <c:v>2.9687739434310467E-2</c:v>
                </c:pt>
                <c:pt idx="102">
                  <c:v>-3.1968911503767239E-2</c:v>
                </c:pt>
                <c:pt idx="103">
                  <c:v>-2.7314875278632411E-2</c:v>
                </c:pt>
                <c:pt idx="104">
                  <c:v>-1.2692353049220229E-2</c:v>
                </c:pt>
                <c:pt idx="105">
                  <c:v>-1.269485778563384E-2</c:v>
                </c:pt>
                <c:pt idx="106">
                  <c:v>-8.1380209657880842E-3</c:v>
                </c:pt>
                <c:pt idx="107">
                  <c:v>1.5589104292568212E-2</c:v>
                </c:pt>
                <c:pt idx="108">
                  <c:v>2.3751850440327127E-2</c:v>
                </c:pt>
                <c:pt idx="109">
                  <c:v>-7.2600851126879418E-3</c:v>
                </c:pt>
                <c:pt idx="110">
                  <c:v>-7.790174633062863E-3</c:v>
                </c:pt>
                <c:pt idx="111">
                  <c:v>-2.6758500240346095E-2</c:v>
                </c:pt>
                <c:pt idx="112">
                  <c:v>-1.679290362881436E-2</c:v>
                </c:pt>
                <c:pt idx="113">
                  <c:v>-7.7026622956687385E-3</c:v>
                </c:pt>
                <c:pt idx="114">
                  <c:v>-1.6874452138861962E-3</c:v>
                </c:pt>
                <c:pt idx="115">
                  <c:v>3.0425963488844854E-3</c:v>
                </c:pt>
                <c:pt idx="116">
                  <c:v>-5.0554432086291623E-4</c:v>
                </c:pt>
                <c:pt idx="117">
                  <c:v>1.1465199604363541E-2</c:v>
                </c:pt>
                <c:pt idx="118">
                  <c:v>-1.3502283263801096E-2</c:v>
                </c:pt>
                <c:pt idx="119">
                  <c:v>2.0276951672861809E-3</c:v>
                </c:pt>
                <c:pt idx="120">
                  <c:v>-6.9139967439122429E-3</c:v>
                </c:pt>
                <c:pt idx="121">
                  <c:v>1.4943131515420705E-2</c:v>
                </c:pt>
                <c:pt idx="122">
                  <c:v>1.0373080140538837E-2</c:v>
                </c:pt>
                <c:pt idx="123">
                  <c:v>-3.8085610831026795E-3</c:v>
                </c:pt>
                <c:pt idx="124">
                  <c:v>-3.2247323803191397E-2</c:v>
                </c:pt>
                <c:pt idx="125">
                  <c:v>-2.7653726766511122E-2</c:v>
                </c:pt>
                <c:pt idx="126">
                  <c:v>2.7556915252483494E-2</c:v>
                </c:pt>
                <c:pt idx="127">
                  <c:v>-1.0830273709137916E-2</c:v>
                </c:pt>
                <c:pt idx="128">
                  <c:v>-2.1897844596839633E-2</c:v>
                </c:pt>
                <c:pt idx="129">
                  <c:v>1.5991471499494647E-3</c:v>
                </c:pt>
                <c:pt idx="130">
                  <c:v>2.8738744522596171E-2</c:v>
                </c:pt>
                <c:pt idx="131">
                  <c:v>2.9315053308671679E-3</c:v>
                </c:pt>
                <c:pt idx="132">
                  <c:v>-9.4566540577716296E-3</c:v>
                </c:pt>
                <c:pt idx="133">
                  <c:v>-1.4407255434694455E-2</c:v>
                </c:pt>
                <c:pt idx="134">
                  <c:v>5.6357697364524117E-3</c:v>
                </c:pt>
                <c:pt idx="135">
                  <c:v>1.7513660858621272E-3</c:v>
                </c:pt>
                <c:pt idx="136">
                  <c:v>-2.3601450636338339E-2</c:v>
                </c:pt>
                <c:pt idx="137">
                  <c:v>-1.1817350467944521E-2</c:v>
                </c:pt>
                <c:pt idx="138">
                  <c:v>-4.167421709864394E-3</c:v>
                </c:pt>
                <c:pt idx="139">
                  <c:v>9.8253458847405994E-3</c:v>
                </c:pt>
                <c:pt idx="140">
                  <c:v>2.6846882882882728E-2</c:v>
                </c:pt>
                <c:pt idx="141">
                  <c:v>-8.9489731900693759E-3</c:v>
                </c:pt>
                <c:pt idx="142">
                  <c:v>-1.5934808781869592E-2</c:v>
                </c:pt>
                <c:pt idx="143">
                  <c:v>8.2763401124021918E-3</c:v>
                </c:pt>
                <c:pt idx="144">
                  <c:v>-8.2084045644467141E-3</c:v>
                </c:pt>
                <c:pt idx="145">
                  <c:v>-1.7995681252402917E-4</c:v>
                </c:pt>
                <c:pt idx="146">
                  <c:v>-3.5990822386179344E-3</c:v>
                </c:pt>
                <c:pt idx="147">
                  <c:v>-4.6956475473297621E-3</c:v>
                </c:pt>
                <c:pt idx="148">
                  <c:v>-2.1230302645067978E-2</c:v>
                </c:pt>
                <c:pt idx="149">
                  <c:v>-1.0752651293152615E-2</c:v>
                </c:pt>
                <c:pt idx="150">
                  <c:v>2.2488567794443082E-3</c:v>
                </c:pt>
                <c:pt idx="151">
                  <c:v>-3.365762902019398E-3</c:v>
                </c:pt>
                <c:pt idx="152">
                  <c:v>1.2570394232090054E-2</c:v>
                </c:pt>
                <c:pt idx="153">
                  <c:v>2.4086899683399832E-3</c:v>
                </c:pt>
                <c:pt idx="154">
                  <c:v>-2.4029021221034785E-3</c:v>
                </c:pt>
                <c:pt idx="155">
                  <c:v>-7.0409670735415153E-3</c:v>
                </c:pt>
                <c:pt idx="156">
                  <c:v>-1.4928531442433002E-3</c:v>
                </c:pt>
                <c:pt idx="157">
                  <c:v>-2.0183106715870203E-2</c:v>
                </c:pt>
                <c:pt idx="158">
                  <c:v>-2.1934026320808764E-2</c:v>
                </c:pt>
                <c:pt idx="159">
                  <c:v>-9.7503902057408665E-3</c:v>
                </c:pt>
                <c:pt idx="160">
                  <c:v>4.9035073828969766E-2</c:v>
                </c:pt>
                <c:pt idx="161">
                  <c:v>-2.2902215130467529E-2</c:v>
                </c:pt>
                <c:pt idx="162">
                  <c:v>-5.5715851214520606E-3</c:v>
                </c:pt>
                <c:pt idx="163">
                  <c:v>1.4683192221143448E-2</c:v>
                </c:pt>
                <c:pt idx="164">
                  <c:v>1.4851466108149136E-2</c:v>
                </c:pt>
                <c:pt idx="165">
                  <c:v>1.6885553787722163E-3</c:v>
                </c:pt>
                <c:pt idx="166">
                  <c:v>-1.5358662958581459E-2</c:v>
                </c:pt>
                <c:pt idx="167">
                  <c:v>-1.1603595206391426E-2</c:v>
                </c:pt>
                <c:pt idx="168">
                  <c:v>-2.809851863161128E-2</c:v>
                </c:pt>
                <c:pt idx="169">
                  <c:v>1.1683168316831694E-2</c:v>
                </c:pt>
                <c:pt idx="170">
                  <c:v>-4.6976316304561117E-3</c:v>
                </c:pt>
                <c:pt idx="171">
                  <c:v>5.899783909529388E-3</c:v>
                </c:pt>
                <c:pt idx="172">
                  <c:v>-9.9707327479673369E-3</c:v>
                </c:pt>
                <c:pt idx="173">
                  <c:v>-1.9746840832285395E-3</c:v>
                </c:pt>
                <c:pt idx="174">
                  <c:v>-5.3423228068395501E-3</c:v>
                </c:pt>
                <c:pt idx="175">
                  <c:v>6.1667396061269031E-3</c:v>
                </c:pt>
                <c:pt idx="176">
                  <c:v>-1.3048714391114546E-2</c:v>
                </c:pt>
                <c:pt idx="177">
                  <c:v>-2.0028045674203021E-4</c:v>
                </c:pt>
                <c:pt idx="178">
                  <c:v>3.0054297735926383E-3</c:v>
                </c:pt>
                <c:pt idx="179">
                  <c:v>-1.7778725174216414E-2</c:v>
                </c:pt>
                <c:pt idx="180">
                  <c:v>2.0947794221996885E-2</c:v>
                </c:pt>
                <c:pt idx="181">
                  <c:v>-1.2549820467135042E-2</c:v>
                </c:pt>
                <c:pt idx="182">
                  <c:v>-1.1297195884607536E-2</c:v>
                </c:pt>
                <c:pt idx="183">
                  <c:v>-5.917098792781017E-3</c:v>
                </c:pt>
                <c:pt idx="184">
                  <c:v>-1.0673234592092906E-2</c:v>
                </c:pt>
                <c:pt idx="185">
                  <c:v>2.2821576290008583E-3</c:v>
                </c:pt>
                <c:pt idx="186">
                  <c:v>4.9678740433063417E-3</c:v>
                </c:pt>
                <c:pt idx="187">
                  <c:v>1.4418146537963805E-2</c:v>
                </c:pt>
                <c:pt idx="188">
                  <c:v>1.9695451776649886E-2</c:v>
                </c:pt>
                <c:pt idx="189">
                  <c:v>-1.0553603931628852E-2</c:v>
                </c:pt>
                <c:pt idx="190">
                  <c:v>2.7772208246573005E-2</c:v>
                </c:pt>
                <c:pt idx="191">
                  <c:v>2.9371450949676969E-2</c:v>
                </c:pt>
                <c:pt idx="192">
                  <c:v>4.5653604717519336E-3</c:v>
                </c:pt>
                <c:pt idx="193">
                  <c:v>3.5977844423824568E-3</c:v>
                </c:pt>
                <c:pt idx="194">
                  <c:v>7.5473584905649815E-4</c:v>
                </c:pt>
                <c:pt idx="195">
                  <c:v>8.8611800742615099E-3</c:v>
                </c:pt>
                <c:pt idx="196">
                  <c:v>2.0557092900657103E-3</c:v>
                </c:pt>
                <c:pt idx="197">
                  <c:v>7.4600896579646303E-4</c:v>
                </c:pt>
                <c:pt idx="198">
                  <c:v>1.1926928811032411E-2</c:v>
                </c:pt>
                <c:pt idx="199">
                  <c:v>1.2707237803079918E-2</c:v>
                </c:pt>
                <c:pt idx="200">
                  <c:v>1.2365811516064307E-2</c:v>
                </c:pt>
                <c:pt idx="201">
                  <c:v>6.6463627320410001E-3</c:v>
                </c:pt>
                <c:pt idx="202">
                  <c:v>-1.7844753428893911E-3</c:v>
                </c:pt>
                <c:pt idx="203">
                  <c:v>-3.5752056413158595E-3</c:v>
                </c:pt>
                <c:pt idx="204">
                  <c:v>-6.0997486150071722E-3</c:v>
                </c:pt>
                <c:pt idx="205">
                  <c:v>-1.2635378605221348E-3</c:v>
                </c:pt>
                <c:pt idx="206">
                  <c:v>5.4219951049341297E-3</c:v>
                </c:pt>
                <c:pt idx="207">
                  <c:v>3.0559068298416925E-2</c:v>
                </c:pt>
                <c:pt idx="208">
                  <c:v>1.9536001411616821E-2</c:v>
                </c:pt>
                <c:pt idx="209">
                  <c:v>-5.3037124841109895E-3</c:v>
                </c:pt>
                <c:pt idx="210">
                  <c:v>1.7205022655741864E-4</c:v>
                </c:pt>
                <c:pt idx="211">
                  <c:v>-2.7515046345141236E-3</c:v>
                </c:pt>
                <c:pt idx="212">
                  <c:v>2.9315053308671679E-3</c:v>
                </c:pt>
                <c:pt idx="213">
                  <c:v>2.0632565337002085E-3</c:v>
                </c:pt>
                <c:pt idx="214">
                  <c:v>2.7453672399686546E-3</c:v>
                </c:pt>
                <c:pt idx="215">
                  <c:v>1.0267111743105239E-3</c:v>
                </c:pt>
                <c:pt idx="216">
                  <c:v>-2.2222393162393272E-3</c:v>
                </c:pt>
                <c:pt idx="217">
                  <c:v>-1.5418879825577214E-3</c:v>
                </c:pt>
                <c:pt idx="218">
                  <c:v>-3.431880635411666E-4</c:v>
                </c:pt>
                <c:pt idx="219">
                  <c:v>-2.8664573589583742E-2</c:v>
                </c:pt>
                <c:pt idx="220">
                  <c:v>-1.8377822936914701E-2</c:v>
                </c:pt>
                <c:pt idx="221">
                  <c:v>2.7362754768006425E-2</c:v>
                </c:pt>
                <c:pt idx="222">
                  <c:v>-6.6585070965481385E-3</c:v>
                </c:pt>
                <c:pt idx="223">
                  <c:v>1.8169024839813419E-2</c:v>
                </c:pt>
                <c:pt idx="224">
                  <c:v>-7.6230421409730909E-3</c:v>
                </c:pt>
                <c:pt idx="225">
                  <c:v>6.4595496937771557E-3</c:v>
                </c:pt>
                <c:pt idx="226">
                  <c:v>8.3260881760247596E-3</c:v>
                </c:pt>
                <c:pt idx="227">
                  <c:v>1.8234955819113052E-2</c:v>
                </c:pt>
                <c:pt idx="228">
                  <c:v>-5.2373374765557479E-3</c:v>
                </c:pt>
                <c:pt idx="229">
                  <c:v>1.2737771522796093E-2</c:v>
                </c:pt>
                <c:pt idx="230">
                  <c:v>3.3541840792516986E-4</c:v>
                </c:pt>
                <c:pt idx="231">
                  <c:v>5.364610046450613E-3</c:v>
                </c:pt>
                <c:pt idx="232">
                  <c:v>-7.8372685036307566E-3</c:v>
                </c:pt>
                <c:pt idx="233">
                  <c:v>-1.0084201680672367E-3</c:v>
                </c:pt>
                <c:pt idx="234">
                  <c:v>-8.411844017695902E-3</c:v>
                </c:pt>
                <c:pt idx="235">
                  <c:v>4.0719545991170225E-3</c:v>
                </c:pt>
                <c:pt idx="236">
                  <c:v>3.8864481243663374E-3</c:v>
                </c:pt>
                <c:pt idx="237">
                  <c:v>-3.0297929641474042E-3</c:v>
                </c:pt>
                <c:pt idx="238">
                  <c:v>-4.8961843660306759E-3</c:v>
                </c:pt>
                <c:pt idx="239">
                  <c:v>5.5989312113833289E-3</c:v>
                </c:pt>
                <c:pt idx="240">
                  <c:v>-2.0246330352623687E-2</c:v>
                </c:pt>
                <c:pt idx="241">
                  <c:v>2.583106595488216E-3</c:v>
                </c:pt>
                <c:pt idx="242">
                  <c:v>-1.3741325768785728E-3</c:v>
                </c:pt>
                <c:pt idx="243">
                  <c:v>-2.9411748011898053E-2</c:v>
                </c:pt>
                <c:pt idx="244">
                  <c:v>-9.9238171185539459E-3</c:v>
                </c:pt>
                <c:pt idx="245">
                  <c:v>-1.0918221065298384E-2</c:v>
                </c:pt>
                <c:pt idx="246">
                  <c:v>-1.2667210013290742E-3</c:v>
                </c:pt>
                <c:pt idx="247">
                  <c:v>3.4426889552943152E-3</c:v>
                </c:pt>
                <c:pt idx="248">
                  <c:v>1.8053448572530328E-4</c:v>
                </c:pt>
                <c:pt idx="249">
                  <c:v>-8.8463081575430591E-3</c:v>
                </c:pt>
                <c:pt idx="250">
                  <c:v>-3.8251911174793651E-3</c:v>
                </c:pt>
                <c:pt idx="251">
                  <c:v>-1.2068019968331067E-2</c:v>
                </c:pt>
                <c:pt idx="252">
                  <c:v>8.1436610798384379E-3</c:v>
                </c:pt>
                <c:pt idx="253">
                  <c:v>8.9957406095879655E-3</c:v>
                </c:pt>
                <c:pt idx="254">
                  <c:v>1.8922871523341822E-2</c:v>
                </c:pt>
                <c:pt idx="255">
                  <c:v>-5.535732142857186E-3</c:v>
                </c:pt>
                <c:pt idx="256">
                  <c:v>-9.157820239860337E-3</c:v>
                </c:pt>
                <c:pt idx="257">
                  <c:v>1.4135538238492229E-2</c:v>
                </c:pt>
                <c:pt idx="258">
                  <c:v>5.5396891626104949E-3</c:v>
                </c:pt>
                <c:pt idx="259">
                  <c:v>2.9145192820330346E-2</c:v>
                </c:pt>
                <c:pt idx="260">
                  <c:v>6.9074425833193231E-4</c:v>
                </c:pt>
                <c:pt idx="261">
                  <c:v>2.9335288536060933E-3</c:v>
                </c:pt>
                <c:pt idx="262">
                  <c:v>7.398486018556083E-3</c:v>
                </c:pt>
                <c:pt idx="263">
                  <c:v>5.9778480952663582E-3</c:v>
                </c:pt>
                <c:pt idx="264">
                  <c:v>-5.4329369971838348E-3</c:v>
                </c:pt>
                <c:pt idx="265">
                  <c:v>1.3485779669314413E-2</c:v>
                </c:pt>
                <c:pt idx="266">
                  <c:v>3.5708321302144519E-2</c:v>
                </c:pt>
                <c:pt idx="267">
                  <c:v>4.7161650767224561E-3</c:v>
                </c:pt>
                <c:pt idx="268">
                  <c:v>-9.7115572954276086E-4</c:v>
                </c:pt>
                <c:pt idx="269">
                  <c:v>-6.9669473919808933E-3</c:v>
                </c:pt>
                <c:pt idx="270">
                  <c:v>-2.055803523318589E-2</c:v>
                </c:pt>
                <c:pt idx="271">
                  <c:v>1.9990505080635934E-3</c:v>
                </c:pt>
                <c:pt idx="272">
                  <c:v>2.8096391418241495E-2</c:v>
                </c:pt>
                <c:pt idx="273">
                  <c:v>1.9566607373868061E-2</c:v>
                </c:pt>
                <c:pt idx="274">
                  <c:v>6.9786361138561848E-3</c:v>
                </c:pt>
                <c:pt idx="275">
                  <c:v>-3.4651440080281093E-3</c:v>
                </c:pt>
                <c:pt idx="276">
                  <c:v>-1.4382788051209183E-2</c:v>
                </c:pt>
                <c:pt idx="277">
                  <c:v>-3.2073444001379237E-4</c:v>
                </c:pt>
                <c:pt idx="278">
                  <c:v>1.6037856913686532E-4</c:v>
                </c:pt>
                <c:pt idx="279">
                  <c:v>1.0264699607528405E-2</c:v>
                </c:pt>
                <c:pt idx="280">
                  <c:v>5.2388948963679738E-3</c:v>
                </c:pt>
                <c:pt idx="281">
                  <c:v>7.7384870499053182E-3</c:v>
                </c:pt>
                <c:pt idx="282">
                  <c:v>-1.5674658898690019E-4</c:v>
                </c:pt>
                <c:pt idx="283">
                  <c:v>-2.1159843591847083E-2</c:v>
                </c:pt>
                <c:pt idx="284">
                  <c:v>-1.7934331177993146E-2</c:v>
                </c:pt>
                <c:pt idx="285">
                  <c:v>-1.6142213724369303E-2</c:v>
                </c:pt>
                <c:pt idx="286">
                  <c:v>-1.4584040437520707E-2</c:v>
                </c:pt>
                <c:pt idx="287">
                  <c:v>-2.1358897096516949E-2</c:v>
                </c:pt>
                <c:pt idx="288">
                  <c:v>3.6089191202770543E-3</c:v>
                </c:pt>
                <c:pt idx="289">
                  <c:v>8.3903593017000677E-3</c:v>
                </c:pt>
                <c:pt idx="290">
                  <c:v>1.6301562511488621E-2</c:v>
                </c:pt>
                <c:pt idx="291">
                  <c:v>2.7903125410296603E-2</c:v>
                </c:pt>
                <c:pt idx="292">
                  <c:v>-2.0806209362808969E-2</c:v>
                </c:pt>
                <c:pt idx="293">
                  <c:v>5.3120682167309141E-3</c:v>
                </c:pt>
                <c:pt idx="294">
                  <c:v>-9.7424040663406375E-3</c:v>
                </c:pt>
                <c:pt idx="295">
                  <c:v>1.3840219879269311E-2</c:v>
                </c:pt>
                <c:pt idx="296">
                  <c:v>-1.8092105560725269E-3</c:v>
                </c:pt>
                <c:pt idx="297">
                  <c:v>-3.8886093901566832E-2</c:v>
                </c:pt>
                <c:pt idx="298">
                  <c:v>-1.3715411839004821E-3</c:v>
                </c:pt>
                <c:pt idx="299">
                  <c:v>-3.9484978540772486E-3</c:v>
                </c:pt>
                <c:pt idx="300">
                  <c:v>8.6177180282653865E-4</c:v>
                </c:pt>
                <c:pt idx="301">
                  <c:v>-1.8426037540898887E-2</c:v>
                </c:pt>
                <c:pt idx="302">
                  <c:v>3.2456105263157786E-2</c:v>
                </c:pt>
                <c:pt idx="303">
                  <c:v>1.5293288540128014E-3</c:v>
                </c:pt>
                <c:pt idx="304">
                  <c:v>0</c:v>
                </c:pt>
                <c:pt idx="305">
                  <c:v>2.9691211905178427E-2</c:v>
                </c:pt>
                <c:pt idx="306">
                  <c:v>-1.2028340946257043E-2</c:v>
                </c:pt>
                <c:pt idx="307">
                  <c:v>-5.0031688626284154E-4</c:v>
                </c:pt>
                <c:pt idx="308">
                  <c:v>1.4516919739696377E-2</c:v>
                </c:pt>
                <c:pt idx="309">
                  <c:v>4.1118421728920662E-3</c:v>
                </c:pt>
                <c:pt idx="310">
                  <c:v>-4.7502212080298145E-3</c:v>
                </c:pt>
                <c:pt idx="311">
                  <c:v>1.2508262426210059E-2</c:v>
                </c:pt>
                <c:pt idx="312">
                  <c:v>1.2191157347204218E-2</c:v>
                </c:pt>
                <c:pt idx="313">
                  <c:v>-6.4236550505861745E-3</c:v>
                </c:pt>
                <c:pt idx="314">
                  <c:v>8.7279943224178869E-3</c:v>
                </c:pt>
                <c:pt idx="315">
                  <c:v>9.1331517385033756E-3</c:v>
                </c:pt>
                <c:pt idx="316">
                  <c:v>3.0644712607176938E-2</c:v>
                </c:pt>
                <c:pt idx="317">
                  <c:v>1.6638328970061345E-2</c:v>
                </c:pt>
                <c:pt idx="318">
                  <c:v>3.1822852911738142E-3</c:v>
                </c:pt>
                <c:pt idx="319">
                  <c:v>-1.6163142726426272E-2</c:v>
                </c:pt>
                <c:pt idx="320">
                  <c:v>8.2911258233284713E-3</c:v>
                </c:pt>
                <c:pt idx="321">
                  <c:v>-5.0251562364903579E-3</c:v>
                </c:pt>
                <c:pt idx="322">
                  <c:v>4.8975821792214269E-3</c:v>
                </c:pt>
                <c:pt idx="323">
                  <c:v>-3.9598230910860011E-3</c:v>
                </c:pt>
                <c:pt idx="324">
                  <c:v>1.0091681648572326E-2</c:v>
                </c:pt>
                <c:pt idx="325">
                  <c:v>1.9679685730540353E-3</c:v>
                </c:pt>
                <c:pt idx="326">
                  <c:v>1.3596766472374622E-3</c:v>
                </c:pt>
                <c:pt idx="327">
                  <c:v>-1.1315630828540035E-2</c:v>
                </c:pt>
                <c:pt idx="328">
                  <c:v>6.7145125395162708E-3</c:v>
                </c:pt>
                <c:pt idx="329">
                  <c:v>-1.0762452466841599E-2</c:v>
                </c:pt>
                <c:pt idx="330">
                  <c:v>-1.0113453566857111E-2</c:v>
                </c:pt>
                <c:pt idx="331">
                  <c:v>-8.0494739334203702E-3</c:v>
                </c:pt>
                <c:pt idx="332">
                  <c:v>-3.1211141347965432E-3</c:v>
                </c:pt>
                <c:pt idx="333">
                  <c:v>2.6142798588872918E-2</c:v>
                </c:pt>
                <c:pt idx="334">
                  <c:v>1.3119770566600852E-2</c:v>
                </c:pt>
                <c:pt idx="335">
                  <c:v>2.4544449658518319E-2</c:v>
                </c:pt>
                <c:pt idx="336">
                  <c:v>-1.4256334299583728E-2</c:v>
                </c:pt>
                <c:pt idx="337">
                  <c:v>-2.3408379305203453E-2</c:v>
                </c:pt>
                <c:pt idx="338">
                  <c:v>7.3282900763358416E-3</c:v>
                </c:pt>
                <c:pt idx="339">
                  <c:v>3.4858440367151466E-3</c:v>
                </c:pt>
                <c:pt idx="340">
                  <c:v>-1.8879323650193736E-2</c:v>
                </c:pt>
                <c:pt idx="341">
                  <c:v>-8.6206436056133207E-3</c:v>
                </c:pt>
                <c:pt idx="342">
                  <c:v>-2.8260868687550622E-2</c:v>
                </c:pt>
                <c:pt idx="343">
                  <c:v>-1.8855863890832048E-2</c:v>
                </c:pt>
                <c:pt idx="344">
                  <c:v>1.5146579311186237E-2</c:v>
                </c:pt>
                <c:pt idx="345">
                  <c:v>1.4439242276937492E-2</c:v>
                </c:pt>
                <c:pt idx="346">
                  <c:v>1.2177763719753321E-2</c:v>
                </c:pt>
                <c:pt idx="347">
                  <c:v>2.0156265625000058E-2</c:v>
                </c:pt>
                <c:pt idx="348">
                  <c:v>9.0365445085534013E-3</c:v>
                </c:pt>
                <c:pt idx="349">
                  <c:v>3.3394203099310626E-3</c:v>
                </c:pt>
                <c:pt idx="350">
                  <c:v>-1.8608094360305416E-2</c:v>
                </c:pt>
                <c:pt idx="351">
                  <c:v>1.0790765648646561E-2</c:v>
                </c:pt>
                <c:pt idx="352">
                  <c:v>-9.3030501753850192E-3</c:v>
                </c:pt>
                <c:pt idx="353">
                  <c:v>1.5855896180047679E-2</c:v>
                </c:pt>
                <c:pt idx="354">
                  <c:v>4.5459919547208294E-4</c:v>
                </c:pt>
                <c:pt idx="355">
                  <c:v>-3.4837323606664583E-3</c:v>
                </c:pt>
                <c:pt idx="356">
                  <c:v>-3.7999695424840718E-3</c:v>
                </c:pt>
                <c:pt idx="357">
                  <c:v>-1.8156896274688861E-2</c:v>
                </c:pt>
                <c:pt idx="358">
                  <c:v>-3.4498788951011328E-2</c:v>
                </c:pt>
                <c:pt idx="359">
                  <c:v>-7.8867212636934969E-3</c:v>
                </c:pt>
                <c:pt idx="360">
                  <c:v>3.7151217345087861E-2</c:v>
                </c:pt>
                <c:pt idx="361">
                  <c:v>1.8301235726575937E-2</c:v>
                </c:pt>
                <c:pt idx="362">
                  <c:v>-2.7649770434707843E-3</c:v>
                </c:pt>
                <c:pt idx="363">
                  <c:v>-3.5427604295367177E-3</c:v>
                </c:pt>
                <c:pt idx="364">
                  <c:v>-8.9658522502443772E-3</c:v>
                </c:pt>
                <c:pt idx="365">
                  <c:v>1.2010544189509531E-2</c:v>
                </c:pt>
                <c:pt idx="366">
                  <c:v>1.0789149697401079E-3</c:v>
                </c:pt>
                <c:pt idx="367">
                  <c:v>-2.4788253646878422E-2</c:v>
                </c:pt>
                <c:pt idx="368">
                  <c:v>-1.120933059677931E-2</c:v>
                </c:pt>
                <c:pt idx="369">
                  <c:v>-1.1815455663173213E-2</c:v>
                </c:pt>
                <c:pt idx="370">
                  <c:v>2.2297641336203711E-2</c:v>
                </c:pt>
                <c:pt idx="371">
                  <c:v>1.5331088983720598E-2</c:v>
                </c:pt>
                <c:pt idx="372">
                  <c:v>-1.5566563373803355E-2</c:v>
                </c:pt>
                <c:pt idx="373">
                  <c:v>-3.6843800226318835E-2</c:v>
                </c:pt>
                <c:pt idx="374">
                  <c:v>1.4775915284846564E-2</c:v>
                </c:pt>
                <c:pt idx="375">
                  <c:v>-3.2357223226708864E-4</c:v>
                </c:pt>
                <c:pt idx="376">
                  <c:v>-2.0068004206699963E-2</c:v>
                </c:pt>
                <c:pt idx="377">
                  <c:v>-7.7621305988790912E-3</c:v>
                </c:pt>
                <c:pt idx="378">
                  <c:v>3.1790944347837913E-2</c:v>
                </c:pt>
                <c:pt idx="379">
                  <c:v>-1.613485994079733E-4</c:v>
                </c:pt>
                <c:pt idx="380">
                  <c:v>7.9057921910294926E-3</c:v>
                </c:pt>
                <c:pt idx="381">
                  <c:v>-1.07251799147563E-2</c:v>
                </c:pt>
                <c:pt idx="382">
                  <c:v>-1.4563107031765332E-3</c:v>
                </c:pt>
                <c:pt idx="383">
                  <c:v>3.4192206031311123E-2</c:v>
                </c:pt>
                <c:pt idx="384">
                  <c:v>1.4102178000626742E-2</c:v>
                </c:pt>
                <c:pt idx="385">
                  <c:v>1.0043294035177786E-2</c:v>
                </c:pt>
                <c:pt idx="386">
                  <c:v>-6.1191675331584428E-4</c:v>
                </c:pt>
                <c:pt idx="387">
                  <c:v>-2.9542322683535072E-2</c:v>
                </c:pt>
                <c:pt idx="388">
                  <c:v>6.3086748798535375E-4</c:v>
                </c:pt>
                <c:pt idx="389">
                  <c:v>2.6166441143859354E-2</c:v>
                </c:pt>
                <c:pt idx="390">
                  <c:v>-1.9662028253825792E-2</c:v>
                </c:pt>
                <c:pt idx="391">
                  <c:v>-1.3788796615481047E-2</c:v>
                </c:pt>
                <c:pt idx="392">
                  <c:v>1.6047060947681269E-2</c:v>
                </c:pt>
                <c:pt idx="393">
                  <c:v>-1.0476966216153794E-2</c:v>
                </c:pt>
                <c:pt idx="394">
                  <c:v>4.4248104365489649E-3</c:v>
                </c:pt>
                <c:pt idx="395">
                  <c:v>-1.4159848738831693E-3</c:v>
                </c:pt>
                <c:pt idx="396">
                  <c:v>-1.7331053768220417E-2</c:v>
                </c:pt>
                <c:pt idx="397">
                  <c:v>-3.2066859580998086E-3</c:v>
                </c:pt>
                <c:pt idx="398">
                  <c:v>-3.5225962207687478E-2</c:v>
                </c:pt>
                <c:pt idx="399">
                  <c:v>-2.3341080360119948E-2</c:v>
                </c:pt>
                <c:pt idx="400">
                  <c:v>-1.2632331422590237E-2</c:v>
                </c:pt>
                <c:pt idx="401">
                  <c:v>-4.5470280082987591E-2</c:v>
                </c:pt>
                <c:pt idx="402">
                  <c:v>1.3403405422992343E-2</c:v>
                </c:pt>
                <c:pt idx="403">
                  <c:v>-1.9481679723294398E-2</c:v>
                </c:pt>
                <c:pt idx="404">
                  <c:v>2.0962394805643658E-2</c:v>
                </c:pt>
                <c:pt idx="405">
                  <c:v>5.3567222052031127E-4</c:v>
                </c:pt>
                <c:pt idx="406">
                  <c:v>1.4810813440206738E-2</c:v>
                </c:pt>
                <c:pt idx="407">
                  <c:v>-3.1123633394120498E-2</c:v>
                </c:pt>
                <c:pt idx="408">
                  <c:v>2.8493648947137906E-2</c:v>
                </c:pt>
                <c:pt idx="409">
                  <c:v>1.3763949665217989E-2</c:v>
                </c:pt>
                <c:pt idx="410">
                  <c:v>-2.0713715914469688E-2</c:v>
                </c:pt>
                <c:pt idx="411">
                  <c:v>3.5549414701365745E-3</c:v>
                </c:pt>
                <c:pt idx="412">
                  <c:v>9.9185442776930088E-3</c:v>
                </c:pt>
                <c:pt idx="413">
                  <c:v>-3.2795475271834462E-2</c:v>
                </c:pt>
                <c:pt idx="414">
                  <c:v>-2.1396209559520929E-2</c:v>
                </c:pt>
                <c:pt idx="415">
                  <c:v>-1.5008356216261842E-2</c:v>
                </c:pt>
                <c:pt idx="416">
                  <c:v>-4.3265613243039791E-3</c:v>
                </c:pt>
                <c:pt idx="417">
                  <c:v>-3.381826941243149E-2</c:v>
                </c:pt>
                <c:pt idx="418">
                  <c:v>-9.1904773013390395E-3</c:v>
                </c:pt>
                <c:pt idx="419">
                  <c:v>-2.2695836696105531E-2</c:v>
                </c:pt>
                <c:pt idx="420">
                  <c:v>7.6130876413570192E-2</c:v>
                </c:pt>
                <c:pt idx="421">
                  <c:v>4.8414298209527251E-2</c:v>
                </c:pt>
                <c:pt idx="422">
                  <c:v>7.1594953849918319E-3</c:v>
                </c:pt>
                <c:pt idx="423">
                  <c:v>2.772351164030562E-2</c:v>
                </c:pt>
                <c:pt idx="424">
                  <c:v>-1.5044146116405033E-2</c:v>
                </c:pt>
                <c:pt idx="425">
                  <c:v>3.5463501324850766E-2</c:v>
                </c:pt>
                <c:pt idx="426">
                  <c:v>-8.9860800271277519E-3</c:v>
                </c:pt>
                <c:pt idx="427">
                  <c:v>6.8434045022514045E-3</c:v>
                </c:pt>
                <c:pt idx="428">
                  <c:v>1.3254087111438828E-2</c:v>
                </c:pt>
                <c:pt idx="429">
                  <c:v>-8.7204425839269017E-3</c:v>
                </c:pt>
                <c:pt idx="430">
                  <c:v>-6.2594991328117633E-3</c:v>
                </c:pt>
                <c:pt idx="431">
                  <c:v>-4.7668197219331576E-3</c:v>
                </c:pt>
                <c:pt idx="432">
                  <c:v>-1.915838212723886E-2</c:v>
                </c:pt>
                <c:pt idx="433">
                  <c:v>7.6735088943145069E-3</c:v>
                </c:pt>
                <c:pt idx="434">
                  <c:v>-6.2305470098744653E-3</c:v>
                </c:pt>
                <c:pt idx="435">
                  <c:v>-4.528004337443603E-3</c:v>
                </c:pt>
                <c:pt idx="436">
                  <c:v>-4.1987753673897732E-3</c:v>
                </c:pt>
                <c:pt idx="437">
                  <c:v>-1.2649280135252239E-2</c:v>
                </c:pt>
                <c:pt idx="438">
                  <c:v>-6.9395016558807532E-3</c:v>
                </c:pt>
                <c:pt idx="439">
                  <c:v>8.9589677663681755E-4</c:v>
                </c:pt>
                <c:pt idx="440">
                  <c:v>9.4879697549594688E-3</c:v>
                </c:pt>
                <c:pt idx="441">
                  <c:v>-1.0285476330652243E-2</c:v>
                </c:pt>
                <c:pt idx="442">
                  <c:v>-7.3463356504867017E-3</c:v>
                </c:pt>
                <c:pt idx="443">
                  <c:v>-7.7617506223194299E-3</c:v>
                </c:pt>
                <c:pt idx="444">
                  <c:v>1.9101309457862259E-2</c:v>
                </c:pt>
                <c:pt idx="445">
                  <c:v>-3.7486433416638043E-3</c:v>
                </c:pt>
                <c:pt idx="446">
                  <c:v>2.9564557793145374E-2</c:v>
                </c:pt>
                <c:pt idx="447">
                  <c:v>-1.5489018717177561E-2</c:v>
                </c:pt>
                <c:pt idx="448">
                  <c:v>-2.7576489305285445E-2</c:v>
                </c:pt>
                <c:pt idx="449">
                  <c:v>-1.2361316573761827E-2</c:v>
                </c:pt>
                <c:pt idx="450">
                  <c:v>-1.6933590394493381E-2</c:v>
                </c:pt>
                <c:pt idx="451">
                  <c:v>-1.8719340947381813E-4</c:v>
                </c:pt>
                <c:pt idx="452">
                  <c:v>3.127336961522964E-2</c:v>
                </c:pt>
                <c:pt idx="453">
                  <c:v>8.5346104957326752E-3</c:v>
                </c:pt>
                <c:pt idx="454">
                  <c:v>-2.1966168131685726E-2</c:v>
                </c:pt>
                <c:pt idx="455">
                  <c:v>1.6568483063328365E-3</c:v>
                </c:pt>
                <c:pt idx="456">
                  <c:v>4.043392758684039E-3</c:v>
                </c:pt>
                <c:pt idx="457">
                  <c:v>2.5626907823047551E-2</c:v>
                </c:pt>
                <c:pt idx="458">
                  <c:v>2.3380350229883273E-2</c:v>
                </c:pt>
                <c:pt idx="459">
                  <c:v>1.7439658179281281E-3</c:v>
                </c:pt>
                <c:pt idx="460">
                  <c:v>6.6156164104389514E-3</c:v>
                </c:pt>
                <c:pt idx="461">
                  <c:v>4.6696644759598449E-3</c:v>
                </c:pt>
                <c:pt idx="462">
                  <c:v>8.7794456877259286E-3</c:v>
                </c:pt>
                <c:pt idx="463">
                  <c:v>-2.3890734603779329E-2</c:v>
                </c:pt>
                <c:pt idx="464">
                  <c:v>-1.8181835346471442E-2</c:v>
                </c:pt>
                <c:pt idx="465">
                  <c:v>2.4928792735042782E-2</c:v>
                </c:pt>
                <c:pt idx="466">
                  <c:v>-2.2585301900880372E-3</c:v>
                </c:pt>
                <c:pt idx="467">
                  <c:v>-8.7060769632596458E-4</c:v>
                </c:pt>
                <c:pt idx="468">
                  <c:v>-1.0456639761996622E-2</c:v>
                </c:pt>
                <c:pt idx="469">
                  <c:v>7.0449103037151239E-4</c:v>
                </c:pt>
                <c:pt idx="470">
                  <c:v>-2.3407215769095435E-2</c:v>
                </c:pt>
                <c:pt idx="471">
                  <c:v>7.5688950236476593E-3</c:v>
                </c:pt>
                <c:pt idx="472">
                  <c:v>1.4309068145232917E-3</c:v>
                </c:pt>
                <c:pt idx="473">
                  <c:v>-3.3934665692635479E-2</c:v>
                </c:pt>
                <c:pt idx="474">
                  <c:v>-3.8824144943612637E-2</c:v>
                </c:pt>
                <c:pt idx="475">
                  <c:v>1.0578937850396652E-2</c:v>
                </c:pt>
                <c:pt idx="476">
                  <c:v>2.4172058923257467E-2</c:v>
                </c:pt>
                <c:pt idx="477">
                  <c:v>-3.3451030785150992E-3</c:v>
                </c:pt>
                <c:pt idx="478">
                  <c:v>2.1070240144131391E-2</c:v>
                </c:pt>
                <c:pt idx="479">
                  <c:v>-7.1219688503276757E-3</c:v>
                </c:pt>
                <c:pt idx="480">
                  <c:v>1.1587290998478883E-2</c:v>
                </c:pt>
                <c:pt idx="481">
                  <c:v>2.7272727272727337E-2</c:v>
                </c:pt>
                <c:pt idx="482">
                  <c:v>-1.2743380530973458E-2</c:v>
                </c:pt>
                <c:pt idx="483">
                  <c:v>7.3503049005074761E-3</c:v>
                </c:pt>
                <c:pt idx="484">
                  <c:v>-7.2966721355521846E-3</c:v>
                </c:pt>
                <c:pt idx="485">
                  <c:v>4.3026354303090653E-3</c:v>
                </c:pt>
                <c:pt idx="486">
                  <c:v>-1.231699393073904E-2</c:v>
                </c:pt>
                <c:pt idx="487">
                  <c:v>-1.4639471728195463E-2</c:v>
                </c:pt>
                <c:pt idx="488">
                  <c:v>-1.0271478356566388E-2</c:v>
                </c:pt>
                <c:pt idx="489">
                  <c:v>7.413083903133888E-4</c:v>
                </c:pt>
                <c:pt idx="490">
                  <c:v>4.0740925925926152E-3</c:v>
                </c:pt>
                <c:pt idx="491">
                  <c:v>-5.1641828630730746E-3</c:v>
                </c:pt>
                <c:pt idx="492">
                  <c:v>-2.0393011130756533E-2</c:v>
                </c:pt>
                <c:pt idx="493">
                  <c:v>3.9742429977289717E-3</c:v>
                </c:pt>
                <c:pt idx="494">
                  <c:v>4.5240717158165911E-3</c:v>
                </c:pt>
                <c:pt idx="495">
                  <c:v>-4.3160066744978298E-3</c:v>
                </c:pt>
                <c:pt idx="496">
                  <c:v>-4.7116471030598239E-3</c:v>
                </c:pt>
                <c:pt idx="497">
                  <c:v>1.3065688069197279E-2</c:v>
                </c:pt>
                <c:pt idx="498">
                  <c:v>-2.0560934579438861E-3</c:v>
                </c:pt>
                <c:pt idx="499">
                  <c:v>-1.3485690456746413E-2</c:v>
                </c:pt>
                <c:pt idx="500">
                  <c:v>4.8034993280235083E-2</c:v>
                </c:pt>
                <c:pt idx="501">
                  <c:v>8.3333150664253175E-3</c:v>
                </c:pt>
                <c:pt idx="502">
                  <c:v>8.9831117499101776E-3</c:v>
                </c:pt>
                <c:pt idx="503">
                  <c:v>-5.3418625356125293E-3</c:v>
                </c:pt>
                <c:pt idx="504">
                  <c:v>-2.0408162899961169E-2</c:v>
                </c:pt>
                <c:pt idx="505">
                  <c:v>-1.4071637169743578E-2</c:v>
                </c:pt>
                <c:pt idx="506">
                  <c:v>9.0824465415673128E-3</c:v>
                </c:pt>
                <c:pt idx="507">
                  <c:v>4.77593689889666E-3</c:v>
                </c:pt>
                <c:pt idx="508">
                  <c:v>-2.4314478531727968E-2</c:v>
                </c:pt>
                <c:pt idx="509">
                  <c:v>2.6231778644028036E-3</c:v>
                </c:pt>
                <c:pt idx="510">
                  <c:v>-2.3733807652170036E-2</c:v>
                </c:pt>
                <c:pt idx="511">
                  <c:v>-2.7565140598578064E-2</c:v>
                </c:pt>
                <c:pt idx="512">
                  <c:v>1.8110275947052834E-2</c:v>
                </c:pt>
                <c:pt idx="513">
                  <c:v>-1.4887857407427374E-2</c:v>
                </c:pt>
                <c:pt idx="514">
                  <c:v>7.4583119242725981E-3</c:v>
                </c:pt>
                <c:pt idx="515">
                  <c:v>5.0652248172522452E-3</c:v>
                </c:pt>
                <c:pt idx="516">
                  <c:v>-1.1630354719908143E-3</c:v>
                </c:pt>
                <c:pt idx="517">
                  <c:v>7.7624880217832537E-3</c:v>
                </c:pt>
                <c:pt idx="518">
                  <c:v>-2.6574253803196557E-2</c:v>
                </c:pt>
                <c:pt idx="519">
                  <c:v>-3.2838774141221938E-2</c:v>
                </c:pt>
                <c:pt idx="520">
                  <c:v>-1.2681509770536059E-2</c:v>
                </c:pt>
                <c:pt idx="521">
                  <c:v>-1.5123244251087797E-2</c:v>
                </c:pt>
                <c:pt idx="522">
                  <c:v>-1.1148569391069119E-2</c:v>
                </c:pt>
                <c:pt idx="523">
                  <c:v>4.4671986584641221E-3</c:v>
                </c:pt>
                <c:pt idx="524">
                  <c:v>6.5649723302629859E-3</c:v>
                </c:pt>
                <c:pt idx="525">
                  <c:v>7.1533769651457302E-3</c:v>
                </c:pt>
                <c:pt idx="526">
                  <c:v>-3.6975162669211636E-2</c:v>
                </c:pt>
                <c:pt idx="527">
                  <c:v>-2.7765684501765087E-2</c:v>
                </c:pt>
                <c:pt idx="528">
                  <c:v>4.5738487282463103E-2</c:v>
                </c:pt>
                <c:pt idx="529">
                  <c:v>2.5389418079569293E-2</c:v>
                </c:pt>
                <c:pt idx="530">
                  <c:v>3.2251351805007156E-2</c:v>
                </c:pt>
                <c:pt idx="531">
                  <c:v>-2.0761922580892489E-2</c:v>
                </c:pt>
                <c:pt idx="532">
                  <c:v>2.5524865149243903E-2</c:v>
                </c:pt>
                <c:pt idx="533">
                  <c:v>-3.633083099156964E-2</c:v>
                </c:pt>
                <c:pt idx="534">
                  <c:v>-2.2287003636200953E-2</c:v>
                </c:pt>
                <c:pt idx="535">
                  <c:v>-7.2433107635984095E-3</c:v>
                </c:pt>
                <c:pt idx="536">
                  <c:v>-1.9957082401591553E-2</c:v>
                </c:pt>
                <c:pt idx="537">
                  <c:v>-2.2334049587652727E-2</c:v>
                </c:pt>
                <c:pt idx="538">
                  <c:v>-2.7099730029127467E-2</c:v>
                </c:pt>
                <c:pt idx="539">
                  <c:v>1.3351772867213896E-2</c:v>
                </c:pt>
                <c:pt idx="540">
                  <c:v>-5.4066356201726506E-2</c:v>
                </c:pt>
                <c:pt idx="541">
                  <c:v>-2.065321855555291E-2</c:v>
                </c:pt>
                <c:pt idx="542">
                  <c:v>-4.7081855004459383E-2</c:v>
                </c:pt>
                <c:pt idx="543">
                  <c:v>1.260928943362627E-2</c:v>
                </c:pt>
                <c:pt idx="544">
                  <c:v>-4.0152428978522337E-2</c:v>
                </c:pt>
                <c:pt idx="545">
                  <c:v>3.2565528196981663E-2</c:v>
                </c:pt>
                <c:pt idx="546">
                  <c:v>2.4871820512820664E-2</c:v>
                </c:pt>
                <c:pt idx="547">
                  <c:v>5.2789615892178565E-2</c:v>
                </c:pt>
                <c:pt idx="548">
                  <c:v>-2.3764732710802594E-3</c:v>
                </c:pt>
                <c:pt idx="549">
                  <c:v>2.382563125298276E-4</c:v>
                </c:pt>
                <c:pt idx="550">
                  <c:v>-1.8337722394011657E-2</c:v>
                </c:pt>
                <c:pt idx="551">
                  <c:v>8.4909993088062574E-3</c:v>
                </c:pt>
                <c:pt idx="552">
                  <c:v>-7.216502285303239E-4</c:v>
                </c:pt>
                <c:pt idx="553">
                  <c:v>2.2869546873626634E-2</c:v>
                </c:pt>
                <c:pt idx="554">
                  <c:v>-6.5898561266246602E-3</c:v>
                </c:pt>
                <c:pt idx="555">
                  <c:v>-2.6770836928946662E-2</c:v>
                </c:pt>
                <c:pt idx="556">
                  <c:v>-7.3028964312125133E-3</c:v>
                </c:pt>
                <c:pt idx="557">
                  <c:v>0</c:v>
                </c:pt>
                <c:pt idx="558">
                  <c:v>-2.4767018753482417E-2</c:v>
                </c:pt>
                <c:pt idx="559">
                  <c:v>-2.4641664571285027E-2</c:v>
                </c:pt>
                <c:pt idx="560">
                  <c:v>-1.5983577829760787E-2</c:v>
                </c:pt>
                <c:pt idx="561">
                  <c:v>2.5936653179808866E-2</c:v>
                </c:pt>
                <c:pt idx="562">
                  <c:v>3.1920326864147031E-2</c:v>
                </c:pt>
                <c:pt idx="563">
                  <c:v>-4.2068299925760444E-3</c:v>
                </c:pt>
                <c:pt idx="564">
                  <c:v>1.1182827476002632E-2</c:v>
                </c:pt>
                <c:pt idx="565">
                  <c:v>1.7202998702459116E-3</c:v>
                </c:pt>
                <c:pt idx="566">
                  <c:v>-9.8134695688651963E-3</c:v>
                </c:pt>
                <c:pt idx="567">
                  <c:v>1.9821109518802782E-3</c:v>
                </c:pt>
                <c:pt idx="568">
                  <c:v>1.4094931110161468E-2</c:v>
                </c:pt>
                <c:pt idx="569">
                  <c:v>-4.8767863875536221E-3</c:v>
                </c:pt>
                <c:pt idx="570">
                  <c:v>5.9054151946725142E-2</c:v>
                </c:pt>
                <c:pt idx="571">
                  <c:v>6.9412076135768608E-3</c:v>
                </c:pt>
                <c:pt idx="572">
                  <c:v>9.8805376838233538E-3</c:v>
                </c:pt>
                <c:pt idx="573">
                  <c:v>7.5084867461094884E-3</c:v>
                </c:pt>
                <c:pt idx="574">
                  <c:v>1.1065966826241391E-2</c:v>
                </c:pt>
                <c:pt idx="575">
                  <c:v>-1.1167969622515317E-3</c:v>
                </c:pt>
                <c:pt idx="576">
                  <c:v>7.6028620840147276E-3</c:v>
                </c:pt>
                <c:pt idx="577">
                  <c:v>-1.8641810505064083E-2</c:v>
                </c:pt>
                <c:pt idx="578">
                  <c:v>1.6056060242965575E-2</c:v>
                </c:pt>
                <c:pt idx="579">
                  <c:v>-5.1190518584464106E-3</c:v>
                </c:pt>
                <c:pt idx="580">
                  <c:v>9.3959282014333123E-3</c:v>
                </c:pt>
                <c:pt idx="581">
                  <c:v>-1.6400665257106928E-2</c:v>
                </c:pt>
                <c:pt idx="582">
                  <c:v>-7.6611084348556791E-3</c:v>
                </c:pt>
                <c:pt idx="583">
                  <c:v>8.4014303269430712E-3</c:v>
                </c:pt>
                <c:pt idx="584">
                  <c:v>1.9590159873902335E-2</c:v>
                </c:pt>
                <c:pt idx="585">
                  <c:v>-1.3250441988744699E-3</c:v>
                </c:pt>
                <c:pt idx="586">
                  <c:v>1.0614771989942984E-2</c:v>
                </c:pt>
                <c:pt idx="587">
                  <c:v>6.5643324602993047E-4</c:v>
                </c:pt>
                <c:pt idx="588">
                  <c:v>1.6181959326481588E-2</c:v>
                </c:pt>
                <c:pt idx="589">
                  <c:v>-1.4633096306582938E-2</c:v>
                </c:pt>
                <c:pt idx="590">
                  <c:v>-5.459707240451861E-3</c:v>
                </c:pt>
                <c:pt idx="591">
                  <c:v>1.3614382661080837E-2</c:v>
                </c:pt>
                <c:pt idx="592">
                  <c:v>-1.71144064124783E-2</c:v>
                </c:pt>
                <c:pt idx="593">
                  <c:v>3.7470135275956551E-3</c:v>
                </c:pt>
                <c:pt idx="594">
                  <c:v>-3.1181422240197043E-2</c:v>
                </c:pt>
                <c:pt idx="595">
                  <c:v>-1.4052561515243922E-2</c:v>
                </c:pt>
                <c:pt idx="596">
                  <c:v>-5.7471264367816577E-3</c:v>
                </c:pt>
                <c:pt idx="597">
                  <c:v>9.0173179190751185E-3</c:v>
                </c:pt>
                <c:pt idx="598">
                  <c:v>4.1475757137391156E-2</c:v>
                </c:pt>
                <c:pt idx="599">
                  <c:v>-4.620439942344623E-3</c:v>
                </c:pt>
                <c:pt idx="600">
                  <c:v>-1.1273253259361016E-2</c:v>
                </c:pt>
                <c:pt idx="601">
                  <c:v>4.8960384529398659E-2</c:v>
                </c:pt>
                <c:pt idx="602">
                  <c:v>2.3017946420202273E-2</c:v>
                </c:pt>
                <c:pt idx="603">
                  <c:v>4.1666874999999326E-3</c:v>
                </c:pt>
                <c:pt idx="604">
                  <c:v>3.6514480570239094E-2</c:v>
                </c:pt>
                <c:pt idx="605">
                  <c:v>1.5412350188397594E-2</c:v>
                </c:pt>
                <c:pt idx="606">
                  <c:v>-2.9567908535382825E-3</c:v>
                </c:pt>
                <c:pt idx="607">
                  <c:v>-3.7564846280551123E-3</c:v>
                </c:pt>
                <c:pt idx="608">
                  <c:v>-4.1674896639708359E-2</c:v>
                </c:pt>
                <c:pt idx="609">
                  <c:v>-5.5912403066629146E-3</c:v>
                </c:pt>
                <c:pt idx="610">
                  <c:v>-1.2078321532694725E-2</c:v>
                </c:pt>
                <c:pt idx="611">
                  <c:v>6.3241991215057247E-4</c:v>
                </c:pt>
                <c:pt idx="612">
                  <c:v>2.7385084740148002E-3</c:v>
                </c:pt>
                <c:pt idx="613">
                  <c:v>-2.5209664924776831E-3</c:v>
                </c:pt>
                <c:pt idx="614">
                  <c:v>4.0016427969671309E-3</c:v>
                </c:pt>
                <c:pt idx="615">
                  <c:v>6.2933294018598929E-3</c:v>
                </c:pt>
                <c:pt idx="616">
                  <c:v>2.4807149785133209E-2</c:v>
                </c:pt>
                <c:pt idx="617">
                  <c:v>2.2375915378358702E-3</c:v>
                </c:pt>
                <c:pt idx="618">
                  <c:v>2.2326161964683067E-3</c:v>
                </c:pt>
                <c:pt idx="619">
                  <c:v>2.5718934270576366E-2</c:v>
                </c:pt>
                <c:pt idx="620">
                  <c:v>-4.7384400893015766E-3</c:v>
                </c:pt>
                <c:pt idx="621">
                  <c:v>1.8051973814719346E-2</c:v>
                </c:pt>
                <c:pt idx="622">
                  <c:v>1.5783339828526977E-2</c:v>
                </c:pt>
                <c:pt idx="623">
                  <c:v>-2.5513178102567036E-2</c:v>
                </c:pt>
                <c:pt idx="624">
                  <c:v>2.559074853525134E-3</c:v>
                </c:pt>
                <c:pt idx="625">
                  <c:v>1.9438405654820246E-2</c:v>
                </c:pt>
                <c:pt idx="626">
                  <c:v>4.8151003395646708E-3</c:v>
                </c:pt>
                <c:pt idx="627">
                  <c:v>6.325512989285631E-3</c:v>
                </c:pt>
                <c:pt idx="628">
                  <c:v>1.6380971428571423E-2</c:v>
                </c:pt>
                <c:pt idx="629">
                  <c:v>2.4737611980179652E-2</c:v>
                </c:pt>
                <c:pt idx="630">
                  <c:v>-4.2062728602779709E-3</c:v>
                </c:pt>
                <c:pt idx="631">
                  <c:v>-3.0854012289182497E-2</c:v>
                </c:pt>
                <c:pt idx="632">
                  <c:v>3.5057779041121728E-2</c:v>
                </c:pt>
                <c:pt idx="633">
                  <c:v>1.5562102079130558E-2</c:v>
                </c:pt>
                <c:pt idx="634">
                  <c:v>2.1453019263511397E-2</c:v>
                </c:pt>
                <c:pt idx="635">
                  <c:v>-1.18248852806212E-2</c:v>
                </c:pt>
                <c:pt idx="636">
                  <c:v>-7.6799604329358395E-3</c:v>
                </c:pt>
                <c:pt idx="637">
                  <c:v>-6.4794815248473414E-3</c:v>
                </c:pt>
                <c:pt idx="638">
                  <c:v>2.2101394527148654E-2</c:v>
                </c:pt>
                <c:pt idx="639">
                  <c:v>-1.4179351796503092E-2</c:v>
                </c:pt>
                <c:pt idx="640">
                  <c:v>1.6001420640083142E-2</c:v>
                </c:pt>
                <c:pt idx="641">
                  <c:v>3.9639038741427601E-2</c:v>
                </c:pt>
                <c:pt idx="642">
                  <c:v>-1.7020936170212275E-3</c:v>
                </c:pt>
                <c:pt idx="643">
                  <c:v>-2.2165728144390995E-3</c:v>
                </c:pt>
                <c:pt idx="644">
                  <c:v>-2.7511961722488154E-2</c:v>
                </c:pt>
                <c:pt idx="645">
                  <c:v>-4.2172201722017189E-3</c:v>
                </c:pt>
                <c:pt idx="646">
                  <c:v>-1.7642492240788066E-4</c:v>
                </c:pt>
                <c:pt idx="647">
                  <c:v>-1.9943540416519578E-2</c:v>
                </c:pt>
                <c:pt idx="648">
                  <c:v>1.0805150563752974E-3</c:v>
                </c:pt>
                <c:pt idx="649">
                  <c:v>-4.5151969778737255E-2</c:v>
                </c:pt>
                <c:pt idx="650">
                  <c:v>-4.8983042615560191E-3</c:v>
                </c:pt>
                <c:pt idx="651">
                  <c:v>4.9224157516092326E-3</c:v>
                </c:pt>
                <c:pt idx="652">
                  <c:v>-1.5825168959112013E-2</c:v>
                </c:pt>
                <c:pt idx="653">
                  <c:v>-2.1630952464358644E-2</c:v>
                </c:pt>
                <c:pt idx="654">
                  <c:v>2.3478575161834936E-3</c:v>
                </c:pt>
                <c:pt idx="655">
                  <c:v>1.9523716572322769E-4</c:v>
                </c:pt>
                <c:pt idx="656">
                  <c:v>2.3419007672951242E-3</c:v>
                </c:pt>
                <c:pt idx="657">
                  <c:v>-1.3239894602026903E-2</c:v>
                </c:pt>
                <c:pt idx="658">
                  <c:v>-7.300690607734861E-3</c:v>
                </c:pt>
                <c:pt idx="659">
                  <c:v>3.5778373369541594E-3</c:v>
                </c:pt>
                <c:pt idx="660">
                  <c:v>-2.37676758261951E-3</c:v>
                </c:pt>
                <c:pt idx="661">
                  <c:v>-1.8860453024825308E-2</c:v>
                </c:pt>
                <c:pt idx="662">
                  <c:v>-1.3759531111272039E-2</c:v>
                </c:pt>
                <c:pt idx="663">
                  <c:v>-2.2363560838589924E-2</c:v>
                </c:pt>
                <c:pt idx="664">
                  <c:v>-1.3850996270682314E-2</c:v>
                </c:pt>
                <c:pt idx="665">
                  <c:v>9.5764413885319755E-3</c:v>
                </c:pt>
                <c:pt idx="666">
                  <c:v>-7.3777193798001406E-3</c:v>
                </c:pt>
                <c:pt idx="667">
                  <c:v>-2.0386472711828474E-2</c:v>
                </c:pt>
                <c:pt idx="668">
                  <c:v>2.5146325056442098E-2</c:v>
                </c:pt>
                <c:pt idx="669">
                  <c:v>2.9604524643592312E-2</c:v>
                </c:pt>
                <c:pt idx="670">
                  <c:v>4.5184022287614312E-3</c:v>
                </c:pt>
                <c:pt idx="671">
                  <c:v>2.4534655489674151E-3</c:v>
                </c:pt>
                <c:pt idx="672">
                  <c:v>2.0399755667943609E-4</c:v>
                </c:pt>
                <c:pt idx="673">
                  <c:v>1.4274082090659057E-2</c:v>
                </c:pt>
                <c:pt idx="674">
                  <c:v>1.1660594625629628E-2</c:v>
                </c:pt>
                <c:pt idx="675">
                  <c:v>5.56434817170115E-3</c:v>
                </c:pt>
                <c:pt idx="676">
                  <c:v>-3.1620356981041375E-3</c:v>
                </c:pt>
                <c:pt idx="677">
                  <c:v>1.8041217645543561E-2</c:v>
                </c:pt>
                <c:pt idx="678">
                  <c:v>2.6874431426462619E-2</c:v>
                </c:pt>
                <c:pt idx="679">
                  <c:v>-4.5514507870282328E-3</c:v>
                </c:pt>
                <c:pt idx="680">
                  <c:v>-2.9910534200398686E-2</c:v>
                </c:pt>
                <c:pt idx="681">
                  <c:v>-9.0337591922136085E-3</c:v>
                </c:pt>
                <c:pt idx="682">
                  <c:v>1.7043222692097126E-2</c:v>
                </c:pt>
                <c:pt idx="683">
                  <c:v>-7.7942712392828906E-3</c:v>
                </c:pt>
                <c:pt idx="684">
                  <c:v>8.641064754165928E-3</c:v>
                </c:pt>
                <c:pt idx="685">
                  <c:v>-1.2266374371760591E-2</c:v>
                </c:pt>
                <c:pt idx="686">
                  <c:v>1.0053262369406735E-2</c:v>
                </c:pt>
                <c:pt idx="687">
                  <c:v>8.782142514358382E-3</c:v>
                </c:pt>
                <c:pt idx="688">
                  <c:v>-5.8036371794090158E-4</c:v>
                </c:pt>
                <c:pt idx="689">
                  <c:v>-2.6519531552458342E-2</c:v>
                </c:pt>
                <c:pt idx="690">
                  <c:v>1.3521574596906616E-2</c:v>
                </c:pt>
                <c:pt idx="691">
                  <c:v>5.2972531823178848E-3</c:v>
                </c:pt>
                <c:pt idx="692">
                  <c:v>1.5612411568601825E-3</c:v>
                </c:pt>
                <c:pt idx="693">
                  <c:v>-4.8713951675759537E-3</c:v>
                </c:pt>
                <c:pt idx="694">
                  <c:v>-5.6785000979049371E-3</c:v>
                </c:pt>
                <c:pt idx="695">
                  <c:v>-2.4812899267682043E-2</c:v>
                </c:pt>
                <c:pt idx="696">
                  <c:v>3.2108259289175933E-2</c:v>
                </c:pt>
                <c:pt idx="697">
                  <c:v>-3.5218156227388775E-2</c:v>
                </c:pt>
                <c:pt idx="698">
                  <c:v>-1.4195700381348653E-3</c:v>
                </c:pt>
                <c:pt idx="699">
                  <c:v>-2.0714885429939489E-2</c:v>
                </c:pt>
                <c:pt idx="700">
                  <c:v>-7.2584403306006351E-3</c:v>
                </c:pt>
                <c:pt idx="701">
                  <c:v>-1.6711907597909081E-2</c:v>
                </c:pt>
                <c:pt idx="702">
                  <c:v>-6.3732738474620021E-4</c:v>
                </c:pt>
                <c:pt idx="703">
                  <c:v>-4.2304463386384605E-2</c:v>
                </c:pt>
                <c:pt idx="704">
                  <c:v>-4.5504973263151505E-2</c:v>
                </c:pt>
                <c:pt idx="705">
                  <c:v>1.2558162790697658E-2</c:v>
                </c:pt>
                <c:pt idx="706">
                  <c:v>2.2962792306779889E-4</c:v>
                </c:pt>
                <c:pt idx="707">
                  <c:v>1.1481056520805E-2</c:v>
                </c:pt>
                <c:pt idx="708">
                  <c:v>2.8376845139088447E-2</c:v>
                </c:pt>
                <c:pt idx="709">
                  <c:v>3.0242804199620332E-2</c:v>
                </c:pt>
                <c:pt idx="710">
                  <c:v>-3.2140134224989403E-3</c:v>
                </c:pt>
                <c:pt idx="711">
                  <c:v>8.59840928632849E-3</c:v>
                </c:pt>
                <c:pt idx="712">
                  <c:v>-1.8542178965992306E-2</c:v>
                </c:pt>
                <c:pt idx="713">
                  <c:v>1.8241042741390823E-2</c:v>
                </c:pt>
                <c:pt idx="714">
                  <c:v>-3.3695842049388913E-2</c:v>
                </c:pt>
                <c:pt idx="715">
                  <c:v>-2.8249877990512595E-2</c:v>
                </c:pt>
                <c:pt idx="716">
                  <c:v>-2.8162571613957965E-2</c:v>
                </c:pt>
                <c:pt idx="717">
                  <c:v>-2.7342883212365332E-2</c:v>
                </c:pt>
                <c:pt idx="718">
                  <c:v>4.084577224521313E-2</c:v>
                </c:pt>
                <c:pt idx="719">
                  <c:v>7.1560710987996767E-3</c:v>
                </c:pt>
                <c:pt idx="720">
                  <c:v>1.3751546785434332E-3</c:v>
                </c:pt>
                <c:pt idx="721">
                  <c:v>-4.3717098734655568E-2</c:v>
                </c:pt>
                <c:pt idx="722">
                  <c:v>-8.13786520195936E-3</c:v>
                </c:pt>
                <c:pt idx="723">
                  <c:v>-3.1129271986710227E-2</c:v>
                </c:pt>
                <c:pt idx="724">
                  <c:v>1.0211680686840197E-2</c:v>
                </c:pt>
                <c:pt idx="725">
                  <c:v>-9.8619573505435154E-3</c:v>
                </c:pt>
                <c:pt idx="726">
                  <c:v>9.4621762948208232E-3</c:v>
                </c:pt>
                <c:pt idx="727">
                  <c:v>3.3300393850508536E-2</c:v>
                </c:pt>
                <c:pt idx="728">
                  <c:v>3.6762975334518222E-2</c:v>
                </c:pt>
                <c:pt idx="729">
                  <c:v>-1.0131199631591148E-2</c:v>
                </c:pt>
                <c:pt idx="730">
                  <c:v>-3.7217955933102065E-3</c:v>
                </c:pt>
                <c:pt idx="731">
                  <c:v>2.568223088105448E-3</c:v>
                </c:pt>
                <c:pt idx="732">
                  <c:v>2.6315813374844232E-2</c:v>
                </c:pt>
                <c:pt idx="733">
                  <c:v>3.4944429316995596E-2</c:v>
                </c:pt>
                <c:pt idx="734">
                  <c:v>5.4812539907640456E-3</c:v>
                </c:pt>
                <c:pt idx="735">
                  <c:v>6.5416265472824087E-3</c:v>
                </c:pt>
                <c:pt idx="736">
                  <c:v>-1.5597941941074445E-2</c:v>
                </c:pt>
                <c:pt idx="737">
                  <c:v>-3.0809859832963138E-3</c:v>
                </c:pt>
                <c:pt idx="738">
                  <c:v>2.8697793127987481E-3</c:v>
                </c:pt>
                <c:pt idx="739">
                  <c:v>5.0627338762931906E-3</c:v>
                </c:pt>
                <c:pt idx="740">
                  <c:v>-1.4673631187034575E-2</c:v>
                </c:pt>
                <c:pt idx="741">
                  <c:v>-1.5336807497807969E-2</c:v>
                </c:pt>
                <c:pt idx="742">
                  <c:v>1.5575688839180257E-2</c:v>
                </c:pt>
                <c:pt idx="743">
                  <c:v>1.3780817346929597E-2</c:v>
                </c:pt>
                <c:pt idx="744">
                  <c:v>1.8855513728228246E-2</c:v>
                </c:pt>
                <c:pt idx="745">
                  <c:v>-1.7645771085737727E-2</c:v>
                </c:pt>
                <c:pt idx="746">
                  <c:v>3.6363612864682926E-2</c:v>
                </c:pt>
                <c:pt idx="747">
                  <c:v>-1.6064298962919055E-2</c:v>
                </c:pt>
                <c:pt idx="748">
                  <c:v>-1.6756155032355613E-2</c:v>
                </c:pt>
                <c:pt idx="749">
                  <c:v>5.243565654358795E-3</c:v>
                </c:pt>
                <c:pt idx="750">
                  <c:v>2.4994610953906093E-2</c:v>
                </c:pt>
                <c:pt idx="751">
                  <c:v>-2.0356212892281511E-2</c:v>
                </c:pt>
                <c:pt idx="752">
                  <c:v>2.207792160004507E-2</c:v>
                </c:pt>
                <c:pt idx="753">
                  <c:v>-2.0542163902114385E-2</c:v>
                </c:pt>
                <c:pt idx="754">
                  <c:v>5.1892324324323003E-3</c:v>
                </c:pt>
                <c:pt idx="755">
                  <c:v>-7.5285649589774684E-3</c:v>
                </c:pt>
                <c:pt idx="756">
                  <c:v>-5.8517556534841697E-3</c:v>
                </c:pt>
                <c:pt idx="757">
                  <c:v>-5.995203967630347E-2</c:v>
                </c:pt>
                <c:pt idx="758">
                  <c:v>-2.5510436584192941E-3</c:v>
                </c:pt>
                <c:pt idx="759">
                  <c:v>5.2545968497836215E-2</c:v>
                </c:pt>
                <c:pt idx="760">
                  <c:v>-9.4985641705324086E-3</c:v>
                </c:pt>
                <c:pt idx="761">
                  <c:v>-2.0071387154326548E-2</c:v>
                </c:pt>
                <c:pt idx="762">
                  <c:v>1.3655211963021774E-3</c:v>
                </c:pt>
                <c:pt idx="763">
                  <c:v>4.1136386363636257E-2</c:v>
                </c:pt>
                <c:pt idx="764">
                  <c:v>2.4885395658472031E-2</c:v>
                </c:pt>
                <c:pt idx="765">
                  <c:v>-4.8988284366595636E-3</c:v>
                </c:pt>
                <c:pt idx="766">
                  <c:v>8.1334972574165221E-3</c:v>
                </c:pt>
                <c:pt idx="767">
                  <c:v>1.6985223651177161E-2</c:v>
                </c:pt>
                <c:pt idx="768">
                  <c:v>-1.3778705061431973E-2</c:v>
                </c:pt>
                <c:pt idx="769">
                  <c:v>6.9855627863859571E-3</c:v>
                </c:pt>
                <c:pt idx="770">
                  <c:v>2.8589447130544343E-2</c:v>
                </c:pt>
                <c:pt idx="771">
                  <c:v>-1.6963049254036355E-2</c:v>
                </c:pt>
                <c:pt idx="772">
                  <c:v>8.5239088783330974E-3</c:v>
                </c:pt>
                <c:pt idx="773">
                  <c:v>-2.0610184317060298E-4</c:v>
                </c:pt>
                <c:pt idx="774">
                  <c:v>2.7835010309278374E-2</c:v>
                </c:pt>
                <c:pt idx="775">
                  <c:v>6.0181346446592787E-3</c:v>
                </c:pt>
                <c:pt idx="776">
                  <c:v>2.3728772732651171E-2</c:v>
                </c:pt>
                <c:pt idx="777">
                  <c:v>-1.5582781456954242E-3</c:v>
                </c:pt>
                <c:pt idx="778">
                  <c:v>-1.1509949727270818E-2</c:v>
                </c:pt>
                <c:pt idx="779">
                  <c:v>6.1180582639848158E-3</c:v>
                </c:pt>
                <c:pt idx="780">
                  <c:v>3.0600255001961507E-2</c:v>
                </c:pt>
                <c:pt idx="781">
                  <c:v>5.7099161456051206E-3</c:v>
                </c:pt>
                <c:pt idx="782">
                  <c:v>-3.5957229371688104E-3</c:v>
                </c:pt>
                <c:pt idx="783">
                  <c:v>9.6865713319440605E-3</c:v>
                </c:pt>
                <c:pt idx="784">
                  <c:v>-6.3957863054927566E-3</c:v>
                </c:pt>
                <c:pt idx="785">
                  <c:v>-4.5436955698598958E-3</c:v>
                </c:pt>
                <c:pt idx="786">
                  <c:v>5.7054010762480623E-4</c:v>
                </c:pt>
                <c:pt idx="787">
                  <c:v>-1.7107203628449197E-3</c:v>
                </c:pt>
                <c:pt idx="788">
                  <c:v>-2.665632140137153E-3</c:v>
                </c:pt>
                <c:pt idx="789">
                  <c:v>1.3172947438469862E-2</c:v>
                </c:pt>
                <c:pt idx="790">
                  <c:v>8.6677784058790674E-3</c:v>
                </c:pt>
                <c:pt idx="791">
                  <c:v>-1.2516308845811897E-2</c:v>
                </c:pt>
                <c:pt idx="792">
                  <c:v>-1.4566798816367688E-2</c:v>
                </c:pt>
                <c:pt idx="793">
                  <c:v>4.0314647725090413E-3</c:v>
                </c:pt>
                <c:pt idx="794">
                  <c:v>-1.3957916136862591E-2</c:v>
                </c:pt>
                <c:pt idx="795">
                  <c:v>1.0083381811130554E-2</c:v>
                </c:pt>
                <c:pt idx="796">
                  <c:v>-8.4468803993089647E-3</c:v>
                </c:pt>
                <c:pt idx="797">
                  <c:v>3.4849950247823891E-3</c:v>
                </c:pt>
                <c:pt idx="798">
                  <c:v>-1.4470383389142083E-2</c:v>
                </c:pt>
                <c:pt idx="799">
                  <c:v>2.2122101718007103E-2</c:v>
                </c:pt>
                <c:pt idx="800">
                  <c:v>-2.7389389530538155E-2</c:v>
                </c:pt>
                <c:pt idx="801">
                  <c:v>-2.4615991032217233E-2</c:v>
                </c:pt>
                <c:pt idx="802">
                  <c:v>2.2410660658402248E-2</c:v>
                </c:pt>
                <c:pt idx="803">
                  <c:v>-1.5007859696047787E-2</c:v>
                </c:pt>
                <c:pt idx="804">
                  <c:v>-8.6206894823438462E-3</c:v>
                </c:pt>
                <c:pt idx="805">
                  <c:v>1.8402426321487697E-2</c:v>
                </c:pt>
                <c:pt idx="806">
                  <c:v>1.9459868557190951E-2</c:v>
                </c:pt>
                <c:pt idx="807">
                  <c:v>5.3369731203739779E-2</c:v>
                </c:pt>
                <c:pt idx="808">
                  <c:v>1.2758838285545915E-2</c:v>
                </c:pt>
                <c:pt idx="809">
                  <c:v>0</c:v>
                </c:pt>
                <c:pt idx="810">
                  <c:v>4.1993792222019266E-2</c:v>
                </c:pt>
                <c:pt idx="811">
                  <c:v>-1.0863833888207441E-2</c:v>
                </c:pt>
                <c:pt idx="812">
                  <c:v>-9.0345791136478004E-3</c:v>
                </c:pt>
                <c:pt idx="813">
                  <c:v>-2.9317126015679817E-2</c:v>
                </c:pt>
                <c:pt idx="814">
                  <c:v>-1.6574530691980338E-2</c:v>
                </c:pt>
                <c:pt idx="815">
                  <c:v>1.5168482577959441E-2</c:v>
                </c:pt>
                <c:pt idx="816">
                  <c:v>-7.9321159921070805E-3</c:v>
                </c:pt>
                <c:pt idx="817">
                  <c:v>-3.5143176555283984E-2</c:v>
                </c:pt>
                <c:pt idx="818">
                  <c:v>0</c:v>
                </c:pt>
                <c:pt idx="819">
                  <c:v>4.0084834073710329E-2</c:v>
                </c:pt>
                <c:pt idx="820">
                  <c:v>2.4086899683399832E-3</c:v>
                </c:pt>
                <c:pt idx="821">
                  <c:v>-2.3567413070884058E-2</c:v>
                </c:pt>
                <c:pt idx="822">
                  <c:v>2.1769616246671841E-3</c:v>
                </c:pt>
                <c:pt idx="823">
                  <c:v>2.6822856570133169E-2</c:v>
                </c:pt>
                <c:pt idx="824">
                  <c:v>-1.1037895308353418E-3</c:v>
                </c:pt>
                <c:pt idx="825">
                  <c:v>2.0810331874960175E-2</c:v>
                </c:pt>
                <c:pt idx="826">
                  <c:v>2.6880714414576845E-2</c:v>
                </c:pt>
                <c:pt idx="827">
                  <c:v>-1.4054462897205022E-3</c:v>
                </c:pt>
                <c:pt idx="828">
                  <c:v>-3.2899349049964832E-2</c:v>
                </c:pt>
                <c:pt idx="829">
                  <c:v>3.1835546082671584E-2</c:v>
                </c:pt>
                <c:pt idx="830">
                  <c:v>3.4908320964239792E-2</c:v>
                </c:pt>
                <c:pt idx="831">
                  <c:v>-1.1584343925309271E-2</c:v>
                </c:pt>
                <c:pt idx="832">
                  <c:v>-1.3788331609789761E-2</c:v>
                </c:pt>
                <c:pt idx="833">
                  <c:v>-4.8934287855045833E-3</c:v>
                </c:pt>
                <c:pt idx="834">
                  <c:v>-5.3740745587297911E-2</c:v>
                </c:pt>
                <c:pt idx="835">
                  <c:v>-2.2086154007309733E-2</c:v>
                </c:pt>
                <c:pt idx="836">
                  <c:v>-2.7898994646023745E-2</c:v>
                </c:pt>
                <c:pt idx="837">
                  <c:v>1.4252244938456782E-2</c:v>
                </c:pt>
                <c:pt idx="838">
                  <c:v>2.5024041866717139E-2</c:v>
                </c:pt>
                <c:pt idx="839">
                  <c:v>-2.7042234741784021E-2</c:v>
                </c:pt>
                <c:pt idx="840">
                  <c:v>-3.0785581339787926E-2</c:v>
                </c:pt>
                <c:pt idx="841">
                  <c:v>7.6969072986159404E-2</c:v>
                </c:pt>
                <c:pt idx="842">
                  <c:v>-1.3868342682383794E-2</c:v>
                </c:pt>
                <c:pt idx="843">
                  <c:v>-1.7438589257881554E-2</c:v>
                </c:pt>
                <c:pt idx="844">
                  <c:v>-1.0687060660799164E-2</c:v>
                </c:pt>
                <c:pt idx="845">
                  <c:v>4.5331983024690103E-3</c:v>
                </c:pt>
                <c:pt idx="846">
                  <c:v>8.3532787642193185E-3</c:v>
                </c:pt>
                <c:pt idx="847">
                  <c:v>-2.1329252383517461E-2</c:v>
                </c:pt>
                <c:pt idx="848">
                  <c:v>1.9459622873312377E-3</c:v>
                </c:pt>
                <c:pt idx="849">
                  <c:v>1.242957807614764E-2</c:v>
                </c:pt>
                <c:pt idx="850">
                  <c:v>3.4529061298118613E-3</c:v>
                </c:pt>
                <c:pt idx="851">
                  <c:v>1.5293060307914885E-3</c:v>
                </c:pt>
                <c:pt idx="852">
                  <c:v>-2.3477744292379255E-2</c:v>
                </c:pt>
                <c:pt idx="853">
                  <c:v>-1.6810027365128932E-2</c:v>
                </c:pt>
                <c:pt idx="854">
                  <c:v>-7.1570577963629978E-3</c:v>
                </c:pt>
                <c:pt idx="855">
                  <c:v>-1.6419703973161837E-2</c:v>
                </c:pt>
                <c:pt idx="856">
                  <c:v>-3.0741002254499272E-2</c:v>
                </c:pt>
                <c:pt idx="857">
                  <c:v>-3.9487522800094044E-2</c:v>
                </c:pt>
                <c:pt idx="858">
                  <c:v>-2.0118062541001458E-2</c:v>
                </c:pt>
                <c:pt idx="859">
                  <c:v>3.5929412275621297E-2</c:v>
                </c:pt>
                <c:pt idx="860">
                  <c:v>1.9172835810979505E-2</c:v>
                </c:pt>
                <c:pt idx="861">
                  <c:v>4.3753962296470883E-2</c:v>
                </c:pt>
                <c:pt idx="862">
                  <c:v>3.6452004122073944E-3</c:v>
                </c:pt>
                <c:pt idx="863">
                  <c:v>-1.2106577641110117E-2</c:v>
                </c:pt>
                <c:pt idx="864">
                  <c:v>-1.7565380260730845E-2</c:v>
                </c:pt>
                <c:pt idx="865">
                  <c:v>-8.607066885948722E-2</c:v>
                </c:pt>
                <c:pt idx="866">
                  <c:v>3.5259304714724937E-2</c:v>
                </c:pt>
                <c:pt idx="867">
                  <c:v>-1.1425972815907515E-2</c:v>
                </c:pt>
                <c:pt idx="868">
                  <c:v>-2.0671281588295898E-2</c:v>
                </c:pt>
                <c:pt idx="869">
                  <c:v>-1.9518837505246522E-2</c:v>
                </c:pt>
                <c:pt idx="870">
                  <c:v>-2.5694466997813192E-2</c:v>
                </c:pt>
                <c:pt idx="871">
                  <c:v>-2.8510358755048704E-2</c:v>
                </c:pt>
                <c:pt idx="872">
                  <c:v>3.7417437941243303E-2</c:v>
                </c:pt>
                <c:pt idx="873">
                  <c:v>-5.6577041799954708E-2</c:v>
                </c:pt>
                <c:pt idx="874">
                  <c:v>-6.2718690654672615E-2</c:v>
                </c:pt>
                <c:pt idx="875">
                  <c:v>5.7051562626049712E-2</c:v>
                </c:pt>
                <c:pt idx="876">
                  <c:v>9.205540519266564E-2</c:v>
                </c:pt>
                <c:pt idx="877">
                  <c:v>2.2863788056900258E-2</c:v>
                </c:pt>
                <c:pt idx="878">
                  <c:v>-8.2185570508341077E-2</c:v>
                </c:pt>
                <c:pt idx="879">
                  <c:v>2.2140220312902859E-3</c:v>
                </c:pt>
                <c:pt idx="880">
                  <c:v>7.3637698888674663E-2</c:v>
                </c:pt>
                <c:pt idx="881">
                  <c:v>-6.3328780826301556E-2</c:v>
                </c:pt>
                <c:pt idx="882">
                  <c:v>-1.8062020550109525E-2</c:v>
                </c:pt>
                <c:pt idx="883">
                  <c:v>2.63485210042258E-2</c:v>
                </c:pt>
                <c:pt idx="884">
                  <c:v>4.31096865316134E-2</c:v>
                </c:pt>
                <c:pt idx="885">
                  <c:v>4.6436034362666856E-3</c:v>
                </c:pt>
                <c:pt idx="886">
                  <c:v>-2.010626299976892E-2</c:v>
                </c:pt>
                <c:pt idx="887">
                  <c:v>5.3537638984073599E-2</c:v>
                </c:pt>
                <c:pt idx="888">
                  <c:v>3.4698971779671961E-2</c:v>
                </c:pt>
                <c:pt idx="889">
                  <c:v>-4.8247489220089035E-2</c:v>
                </c:pt>
                <c:pt idx="890">
                  <c:v>2.2727891669571676E-4</c:v>
                </c:pt>
                <c:pt idx="891">
                  <c:v>1.4999999999999902E-2</c:v>
                </c:pt>
                <c:pt idx="892">
                  <c:v>7.3892073443797557E-3</c:v>
                </c:pt>
                <c:pt idx="893">
                  <c:v>-4.4454543478349429E-3</c:v>
                </c:pt>
                <c:pt idx="894">
                  <c:v>1.6968028198972362E-2</c:v>
                </c:pt>
                <c:pt idx="895">
                  <c:v>5.1372119678861017E-2</c:v>
                </c:pt>
                <c:pt idx="896">
                  <c:v>-1.3990353184179405E-2</c:v>
                </c:pt>
                <c:pt idx="897">
                  <c:v>3.0919080243136721E-2</c:v>
                </c:pt>
                <c:pt idx="898">
                  <c:v>2.6910476581758269E-2</c:v>
                </c:pt>
                <c:pt idx="899">
                  <c:v>3.8807719991689638E-2</c:v>
                </c:pt>
                <c:pt idx="900">
                  <c:v>-1.020600808781047E-2</c:v>
                </c:pt>
                <c:pt idx="901">
                  <c:v>-8.5603693167171091E-3</c:v>
                </c:pt>
                <c:pt idx="902">
                  <c:v>1.5698979899900767E-3</c:v>
                </c:pt>
                <c:pt idx="903">
                  <c:v>1.8612871892381033E-2</c:v>
                </c:pt>
                <c:pt idx="904">
                  <c:v>1.923062053355018E-4</c:v>
                </c:pt>
                <c:pt idx="905">
                  <c:v>1.7499999999999849E-2</c:v>
                </c:pt>
                <c:pt idx="906">
                  <c:v>-1.3797013797013702E-2</c:v>
                </c:pt>
                <c:pt idx="907">
                  <c:v>-7.6657914909927793E-3</c:v>
                </c:pt>
                <c:pt idx="908">
                  <c:v>-5.4268019588026517E-2</c:v>
                </c:pt>
                <c:pt idx="909">
                  <c:v>-9.1893198041796964E-3</c:v>
                </c:pt>
                <c:pt idx="910">
                  <c:v>-2.8853874690849546E-3</c:v>
                </c:pt>
                <c:pt idx="911">
                  <c:v>4.175281021594035E-2</c:v>
                </c:pt>
                <c:pt idx="912">
                  <c:v>-1.3293689948663201E-2</c:v>
                </c:pt>
                <c:pt idx="913">
                  <c:v>1.8499939674240906E-2</c:v>
                </c:pt>
                <c:pt idx="914">
                  <c:v>5.9226058865702313E-4</c:v>
                </c:pt>
                <c:pt idx="915">
                  <c:v>-3.3544198895026911E-3</c:v>
                </c:pt>
                <c:pt idx="916">
                  <c:v>-1.4254544219146625E-2</c:v>
                </c:pt>
                <c:pt idx="917">
                  <c:v>-1.5866659653210213E-2</c:v>
                </c:pt>
                <c:pt idx="918">
                  <c:v>1.0204081632652962E-2</c:v>
                </c:pt>
                <c:pt idx="919">
                  <c:v>-7.474727272727244E-3</c:v>
                </c:pt>
                <c:pt idx="920">
                  <c:v>-3.3584387673837091E-2</c:v>
                </c:pt>
                <c:pt idx="921">
                  <c:v>4.9705139005897347E-2</c:v>
                </c:pt>
                <c:pt idx="922">
                  <c:v>2.7487941412519978E-2</c:v>
                </c:pt>
                <c:pt idx="923">
                  <c:v>-8.2014842452937664E-3</c:v>
                </c:pt>
                <c:pt idx="924">
                  <c:v>-5.1191572136413122E-3</c:v>
                </c:pt>
                <c:pt idx="925">
                  <c:v>4.2746883885748765E-2</c:v>
                </c:pt>
                <c:pt idx="926">
                  <c:v>1.4803606278299686E-2</c:v>
                </c:pt>
                <c:pt idx="927">
                  <c:v>-1.1221282752547634E-2</c:v>
                </c:pt>
                <c:pt idx="928">
                  <c:v>-7.5651599690784721E-4</c:v>
                </c:pt>
                <c:pt idx="929">
                  <c:v>-1.3060817222759091E-2</c:v>
                </c:pt>
                <c:pt idx="930">
                  <c:v>2.0521672813994529E-2</c:v>
                </c:pt>
                <c:pt idx="931">
                  <c:v>-5.0366473414141688E-2</c:v>
                </c:pt>
                <c:pt idx="932">
                  <c:v>3.2851771875158864E-2</c:v>
                </c:pt>
                <c:pt idx="933">
                  <c:v>-1.4370569349886342E-2</c:v>
                </c:pt>
                <c:pt idx="934">
                  <c:v>-2.3328091433283293E-2</c:v>
                </c:pt>
                <c:pt idx="935">
                  <c:v>5.9514289032074563E-2</c:v>
                </c:pt>
                <c:pt idx="936">
                  <c:v>-9.2052977644185852E-3</c:v>
                </c:pt>
                <c:pt idx="937">
                  <c:v>3.0337503589781267E-3</c:v>
                </c:pt>
                <c:pt idx="938">
                  <c:v>-5.4820602842321486E-3</c:v>
                </c:pt>
                <c:pt idx="939">
                  <c:v>-7.603307211493382E-4</c:v>
                </c:pt>
                <c:pt idx="940">
                  <c:v>-2.2826517024918669E-3</c:v>
                </c:pt>
                <c:pt idx="941">
                  <c:v>7.2450141612008245E-3</c:v>
                </c:pt>
                <c:pt idx="942">
                  <c:v>1.1357145131283497E-2</c:v>
                </c:pt>
                <c:pt idx="943">
                  <c:v>-5.2404641587122658E-3</c:v>
                </c:pt>
                <c:pt idx="944">
                  <c:v>2.784569979884477E-2</c:v>
                </c:pt>
                <c:pt idx="945">
                  <c:v>-8.6033496503139517E-3</c:v>
                </c:pt>
                <c:pt idx="946">
                  <c:v>9.7858013293945501E-3</c:v>
                </c:pt>
                <c:pt idx="947">
                  <c:v>6.7654417035187819E-3</c:v>
                </c:pt>
                <c:pt idx="948">
                  <c:v>6.3566835024211343E-3</c:v>
                </c:pt>
                <c:pt idx="949">
                  <c:v>2.8875654214042257E-3</c:v>
                </c:pt>
                <c:pt idx="950">
                  <c:v>-1.6375742307000229E-2</c:v>
                </c:pt>
                <c:pt idx="951">
                  <c:v>4.500547017929013E-2</c:v>
                </c:pt>
                <c:pt idx="952">
                  <c:v>-2.1708648839437128E-2</c:v>
                </c:pt>
                <c:pt idx="953">
                  <c:v>3.5792769581366457E-4</c:v>
                </c:pt>
                <c:pt idx="954">
                  <c:v>-1.4490196261531363E-2</c:v>
                </c:pt>
                <c:pt idx="955">
                  <c:v>-9.9836449446362163E-3</c:v>
                </c:pt>
                <c:pt idx="956">
                  <c:v>3.6670516379344598E-3</c:v>
                </c:pt>
                <c:pt idx="957">
                  <c:v>-7.6726705271219497E-3</c:v>
                </c:pt>
                <c:pt idx="958">
                  <c:v>5.0810051546391843E-2</c:v>
                </c:pt>
                <c:pt idx="959">
                  <c:v>1.6468079310859141E-2</c:v>
                </c:pt>
                <c:pt idx="960">
                  <c:v>1.6546018614270741E-2</c:v>
                </c:pt>
                <c:pt idx="961">
                  <c:v>8.3079179382843371E-3</c:v>
                </c:pt>
                <c:pt idx="962">
                  <c:v>3.3798536509188848E-2</c:v>
                </c:pt>
                <c:pt idx="963">
                  <c:v>-2.8139232270657066E-2</c:v>
                </c:pt>
                <c:pt idx="964">
                  <c:v>-5.0711280334727937E-2</c:v>
                </c:pt>
                <c:pt idx="965">
                  <c:v>-8.9915724789920715E-3</c:v>
                </c:pt>
                <c:pt idx="966">
                  <c:v>1.4232325462236739E-2</c:v>
                </c:pt>
                <c:pt idx="967">
                  <c:v>1.7014594527787752E-2</c:v>
                </c:pt>
                <c:pt idx="968">
                  <c:v>6.2780251810969467E-2</c:v>
                </c:pt>
                <c:pt idx="969">
                  <c:v>2.5965596007231362E-3</c:v>
                </c:pt>
                <c:pt idx="970">
                  <c:v>-3.9171221093739383E-2</c:v>
                </c:pt>
                <c:pt idx="971">
                  <c:v>-4.8854615079941821E-3</c:v>
                </c:pt>
                <c:pt idx="972">
                  <c:v>-8.4645336041984098E-3</c:v>
                </c:pt>
                <c:pt idx="973">
                  <c:v>-4.6098856069660687E-3</c:v>
                </c:pt>
                <c:pt idx="974">
                  <c:v>8.9193998099381666E-3</c:v>
                </c:pt>
                <c:pt idx="975">
                  <c:v>7.3104386263176391E-3</c:v>
                </c:pt>
                <c:pt idx="976">
                  <c:v>-8.1012658227848089E-3</c:v>
                </c:pt>
                <c:pt idx="977">
                  <c:v>3.9135613408201042E-3</c:v>
                </c:pt>
                <c:pt idx="978">
                  <c:v>3.7288152542372943E-2</c:v>
                </c:pt>
                <c:pt idx="979">
                  <c:v>-2.2549035579264132E-2</c:v>
                </c:pt>
                <c:pt idx="980">
                  <c:v>-2.3403577398863229E-2</c:v>
                </c:pt>
                <c:pt idx="981">
                  <c:v>6.8470046849369304E-3</c:v>
                </c:pt>
                <c:pt idx="982">
                  <c:v>-4.7602686161170027E-3</c:v>
                </c:pt>
                <c:pt idx="983">
                  <c:v>7.8578577407266703E-3</c:v>
                </c:pt>
                <c:pt idx="984">
                  <c:v>-2.5084745762711802E-2</c:v>
                </c:pt>
                <c:pt idx="985">
                  <c:v>2.1383866481223812E-2</c:v>
                </c:pt>
                <c:pt idx="986">
                  <c:v>-5.9574127659574039E-3</c:v>
                </c:pt>
                <c:pt idx="987">
                  <c:v>3.0821899629386973E-2</c:v>
                </c:pt>
                <c:pt idx="988">
                  <c:v>3.6544351552418863E-3</c:v>
                </c:pt>
                <c:pt idx="989">
                  <c:v>-2.3336644268011963E-2</c:v>
                </c:pt>
                <c:pt idx="990">
                  <c:v>7.9647858995011145E-3</c:v>
                </c:pt>
                <c:pt idx="991">
                  <c:v>-1.5131304640214616E-3</c:v>
                </c:pt>
                <c:pt idx="992">
                  <c:v>-2.9634585445943551E-2</c:v>
                </c:pt>
                <c:pt idx="993">
                  <c:v>1.5790386677244639E-2</c:v>
                </c:pt>
                <c:pt idx="994">
                  <c:v>1.3665527610771111E-3</c:v>
                </c:pt>
                <c:pt idx="995">
                  <c:v>1.3647202552835358E-2</c:v>
                </c:pt>
                <c:pt idx="996">
                  <c:v>-1.2285409366725286E-2</c:v>
                </c:pt>
                <c:pt idx="997">
                  <c:v>-6.8154371582116458E-3</c:v>
                </c:pt>
                <c:pt idx="998">
                  <c:v>-2.2302452868374623E-3</c:v>
                </c:pt>
                <c:pt idx="999">
                  <c:v>-3.2152665061898178E-2</c:v>
                </c:pt>
                <c:pt idx="1000">
                  <c:v>-2.0429951671167901E-2</c:v>
                </c:pt>
                <c:pt idx="1001">
                  <c:v>1.4145792784653333E-2</c:v>
                </c:pt>
                <c:pt idx="1002">
                  <c:v>-2.7718151921250045E-2</c:v>
                </c:pt>
                <c:pt idx="1003">
                  <c:v>1.1955140922478291E-2</c:v>
                </c:pt>
                <c:pt idx="1004">
                  <c:v>3.6352235550696221E-4</c:v>
                </c:pt>
                <c:pt idx="1005">
                  <c:v>1.8164970600209607E-4</c:v>
                </c:pt>
                <c:pt idx="1006">
                  <c:v>-1.2715531566132032E-3</c:v>
                </c:pt>
                <c:pt idx="1007">
                  <c:v>2.3099308839578114E-2</c:v>
                </c:pt>
                <c:pt idx="1008">
                  <c:v>-3.6266684444444364E-2</c:v>
                </c:pt>
                <c:pt idx="1009">
                  <c:v>2.3981000257904395E-3</c:v>
                </c:pt>
                <c:pt idx="1010">
                  <c:v>4.4166728008832035E-3</c:v>
                </c:pt>
                <c:pt idx="1011">
                  <c:v>8.9776105174932397E-3</c:v>
                </c:pt>
                <c:pt idx="1012">
                  <c:v>3.9585981478118759E-2</c:v>
                </c:pt>
                <c:pt idx="1013">
                  <c:v>2.986897816593892E-2</c:v>
                </c:pt>
                <c:pt idx="1014">
                  <c:v>0</c:v>
                </c:pt>
                <c:pt idx="1015">
                  <c:v>-1.6282208552954702E-2</c:v>
                </c:pt>
                <c:pt idx="1016">
                  <c:v>1.5517275862068969E-2</c:v>
                </c:pt>
                <c:pt idx="1017">
                  <c:v>-5.6027502342019808E-3</c:v>
                </c:pt>
                <c:pt idx="1018">
                  <c:v>0</c:v>
                </c:pt>
                <c:pt idx="1019">
                  <c:v>2.2195834044733687E-3</c:v>
                </c:pt>
                <c:pt idx="1020">
                  <c:v>0</c:v>
                </c:pt>
                <c:pt idx="1021">
                  <c:v>2.3679709988420727E-2</c:v>
                </c:pt>
                <c:pt idx="1022">
                  <c:v>2.8290913629555492E-2</c:v>
                </c:pt>
                <c:pt idx="1023">
                  <c:v>1.4565463431535086E-3</c:v>
                </c:pt>
                <c:pt idx="1024">
                  <c:v>1.7453102497525963E-2</c:v>
                </c:pt>
                <c:pt idx="1025">
                  <c:v>-2.7160086200128442E-2</c:v>
                </c:pt>
                <c:pt idx="1026">
                  <c:v>2.3510187755102052E-2</c:v>
                </c:pt>
                <c:pt idx="1027">
                  <c:v>-2.3767714528117989E-2</c:v>
                </c:pt>
                <c:pt idx="1028">
                  <c:v>-9.9673364384421648E-3</c:v>
                </c:pt>
                <c:pt idx="1029">
                  <c:v>-5.6114870440667763E-3</c:v>
                </c:pt>
                <c:pt idx="1030">
                  <c:v>2.3734439834024901E-2</c:v>
                </c:pt>
                <c:pt idx="1031">
                  <c:v>-9.2412289234760081E-3</c:v>
                </c:pt>
                <c:pt idx="1032">
                  <c:v>1.5218458268393631E-2</c:v>
                </c:pt>
                <c:pt idx="1033">
                  <c:v>6.1250321385390993E-3</c:v>
                </c:pt>
                <c:pt idx="1034">
                  <c:v>1.6180743869937286E-2</c:v>
                </c:pt>
                <c:pt idx="1035">
                  <c:v>1.4819533343843672E-2</c:v>
                </c:pt>
                <c:pt idx="1036">
                  <c:v>-5.903386395678778E-3</c:v>
                </c:pt>
                <c:pt idx="1037">
                  <c:v>4.6874510177397077E-4</c:v>
                </c:pt>
                <c:pt idx="1038">
                  <c:v>1.8275617851091219E-2</c:v>
                </c:pt>
                <c:pt idx="1039">
                  <c:v>3.0526122702067005E-2</c:v>
                </c:pt>
                <c:pt idx="1040">
                  <c:v>-2.9764810955645871E-4</c:v>
                </c:pt>
                <c:pt idx="1041">
                  <c:v>-1.9654674231407099E-2</c:v>
                </c:pt>
                <c:pt idx="1042">
                  <c:v>8.5055594474823248E-3</c:v>
                </c:pt>
                <c:pt idx="1043">
                  <c:v>2.2289080653943305E-2</c:v>
                </c:pt>
                <c:pt idx="1044">
                  <c:v>2.7254067203332344E-2</c:v>
                </c:pt>
                <c:pt idx="1045">
                  <c:v>1.9790591433073601E-2</c:v>
                </c:pt>
                <c:pt idx="1046">
                  <c:v>3.5437996970355989E-2</c:v>
                </c:pt>
                <c:pt idx="1047">
                  <c:v>-3.1373042158347686E-2</c:v>
                </c:pt>
                <c:pt idx="1048">
                  <c:v>2.8322994952327596E-2</c:v>
                </c:pt>
                <c:pt idx="1049">
                  <c:v>2.2770740265652512E-2</c:v>
                </c:pt>
                <c:pt idx="1050">
                  <c:v>5.0259924003201562E-2</c:v>
                </c:pt>
                <c:pt idx="1051">
                  <c:v>2.9829881059023622E-2</c:v>
                </c:pt>
                <c:pt idx="1052">
                  <c:v>-1.047698793825913E-2</c:v>
                </c:pt>
                <c:pt idx="1053">
                  <c:v>-2.1051358010106602E-2</c:v>
                </c:pt>
                <c:pt idx="1054">
                  <c:v>-2.9265175175731128E-3</c:v>
                </c:pt>
                <c:pt idx="1055">
                  <c:v>-1.9652896635363848E-2</c:v>
                </c:pt>
                <c:pt idx="1056">
                  <c:v>1.7703722988805071E-2</c:v>
                </c:pt>
                <c:pt idx="1057">
                  <c:v>3.7094013814273907E-3</c:v>
                </c:pt>
                <c:pt idx="1058">
                  <c:v>-8.92065746246129E-3</c:v>
                </c:pt>
                <c:pt idx="1059">
                  <c:v>4.2561464931006654E-2</c:v>
                </c:pt>
                <c:pt idx="1060">
                  <c:v>-8.8801305160303157E-3</c:v>
                </c:pt>
                <c:pt idx="1061">
                  <c:v>2.6256843874354896E-2</c:v>
                </c:pt>
                <c:pt idx="1062">
                  <c:v>1.1640584313804103E-2</c:v>
                </c:pt>
                <c:pt idx="1063">
                  <c:v>5.0341364017738588E-3</c:v>
                </c:pt>
                <c:pt idx="1064">
                  <c:v>-4.1502624722781767E-2</c:v>
                </c:pt>
                <c:pt idx="1065">
                  <c:v>3.7949420009353529E-2</c:v>
                </c:pt>
                <c:pt idx="1066">
                  <c:v>-1.3905490623483452E-2</c:v>
                </c:pt>
                <c:pt idx="1067">
                  <c:v>3.5010903598081677E-2</c:v>
                </c:pt>
                <c:pt idx="1068">
                  <c:v>1.761804108078513E-2</c:v>
                </c:pt>
                <c:pt idx="1069">
                  <c:v>-3.9242382724403724E-3</c:v>
                </c:pt>
                <c:pt idx="1070">
                  <c:v>-2.5260717545977474E-2</c:v>
                </c:pt>
                <c:pt idx="1071">
                  <c:v>5.4564857778238496E-2</c:v>
                </c:pt>
                <c:pt idx="1072">
                  <c:v>2.4236298323033534E-2</c:v>
                </c:pt>
                <c:pt idx="1073">
                  <c:v>7.4840412999777062E-3</c:v>
                </c:pt>
                <c:pt idx="1074">
                  <c:v>1.168887905080962E-2</c:v>
                </c:pt>
                <c:pt idx="1075">
                  <c:v>4.9886642372458212E-2</c:v>
                </c:pt>
                <c:pt idx="1076">
                  <c:v>-4.0831028257810487E-2</c:v>
                </c:pt>
                <c:pt idx="1077">
                  <c:v>-8.2565299537522563E-3</c:v>
                </c:pt>
                <c:pt idx="1078">
                  <c:v>-1.5893621275675618E-2</c:v>
                </c:pt>
                <c:pt idx="1079">
                  <c:v>-1.0981103416207727E-4</c:v>
                </c:pt>
                <c:pt idx="1080">
                  <c:v>-3.08757822024881E-2</c:v>
                </c:pt>
                <c:pt idx="1081">
                  <c:v>3.6167824359449874E-2</c:v>
                </c:pt>
                <c:pt idx="1082">
                  <c:v>-2.4729204778741742E-2</c:v>
                </c:pt>
                <c:pt idx="1083">
                  <c:v>5.2732078516730674E-3</c:v>
                </c:pt>
                <c:pt idx="1084">
                  <c:v>7.7009265111813718E-3</c:v>
                </c:pt>
                <c:pt idx="1085">
                  <c:v>-8.8605603183022907E-4</c:v>
                </c:pt>
                <c:pt idx="1086">
                  <c:v>2.2835583891315681E-2</c:v>
                </c:pt>
                <c:pt idx="1087">
                  <c:v>-1.5281196985407974E-2</c:v>
                </c:pt>
                <c:pt idx="1088">
                  <c:v>-1.2106647456453512E-3</c:v>
                </c:pt>
                <c:pt idx="1089">
                  <c:v>1.4324738292010863E-3</c:v>
                </c:pt>
                <c:pt idx="1090">
                  <c:v>-3.3450716333100261E-2</c:v>
                </c:pt>
                <c:pt idx="1091">
                  <c:v>4.0983676729675622E-2</c:v>
                </c:pt>
                <c:pt idx="1092">
                  <c:v>-3.1714784958120079E-3</c:v>
                </c:pt>
                <c:pt idx="1093">
                  <c:v>-3.5655512108491272E-2</c:v>
                </c:pt>
                <c:pt idx="1094">
                  <c:v>-4.8919339046203936E-3</c:v>
                </c:pt>
                <c:pt idx="1095">
                  <c:v>2.8809843045503047E-2</c:v>
                </c:pt>
                <c:pt idx="1096">
                  <c:v>3.5226203694326053E-2</c:v>
                </c:pt>
                <c:pt idx="1097">
                  <c:v>-1.2988481623508741E-2</c:v>
                </c:pt>
                <c:pt idx="1098">
                  <c:v>-2.153339928874598E-2</c:v>
                </c:pt>
                <c:pt idx="1099">
                  <c:v>-1.9784361233918246E-2</c:v>
                </c:pt>
                <c:pt idx="1100">
                  <c:v>1.417394230243918E-2</c:v>
                </c:pt>
                <c:pt idx="1101">
                  <c:v>3.53309026088795E-2</c:v>
                </c:pt>
                <c:pt idx="1102">
                  <c:v>3.9848845353106954E-2</c:v>
                </c:pt>
                <c:pt idx="1103">
                  <c:v>1.7551168163348452E-2</c:v>
                </c:pt>
                <c:pt idx="1104">
                  <c:v>4.0314318014462724E-2</c:v>
                </c:pt>
                <c:pt idx="1105">
                  <c:v>7.8877670950652234E-2</c:v>
                </c:pt>
                <c:pt idx="1106">
                  <c:v>-1.527689355936257E-2</c:v>
                </c:pt>
                <c:pt idx="1107">
                  <c:v>-3.703021482103408E-2</c:v>
                </c:pt>
                <c:pt idx="1108">
                  <c:v>-4.3440727305722349E-2</c:v>
                </c:pt>
                <c:pt idx="1109">
                  <c:v>-4.2105062656642156E-3</c:v>
                </c:pt>
                <c:pt idx="1110">
                  <c:v>6.0401690115741147E-4</c:v>
                </c:pt>
                <c:pt idx="1111">
                  <c:v>6.4191549091372924E-2</c:v>
                </c:pt>
                <c:pt idx="1112">
                  <c:v>-1.7112584393852326E-2</c:v>
                </c:pt>
                <c:pt idx="1113">
                  <c:v>-3.2801039176616364E-2</c:v>
                </c:pt>
                <c:pt idx="1114">
                  <c:v>-3.480914863821627E-3</c:v>
                </c:pt>
                <c:pt idx="1115">
                  <c:v>4.7604831764615829E-2</c:v>
                </c:pt>
                <c:pt idx="1116">
                  <c:v>6.0016861388807463E-3</c:v>
                </c:pt>
                <c:pt idx="1117">
                  <c:v>3.9772633329027141E-3</c:v>
                </c:pt>
                <c:pt idx="1118">
                  <c:v>6.130928300252636E-3</c:v>
                </c:pt>
                <c:pt idx="1119">
                  <c:v>1.0124702542883668E-2</c:v>
                </c:pt>
                <c:pt idx="1120">
                  <c:v>-3.0255238979118304E-2</c:v>
                </c:pt>
                <c:pt idx="1121">
                  <c:v>-2.2011293368002782E-3</c:v>
                </c:pt>
                <c:pt idx="1122">
                  <c:v>-4.9875694420186134E-3</c:v>
                </c:pt>
                <c:pt idx="1123">
                  <c:v>-1.5519578089831843E-2</c:v>
                </c:pt>
                <c:pt idx="1124">
                  <c:v>-3.1332518300182244E-3</c:v>
                </c:pt>
                <c:pt idx="1125">
                  <c:v>-1.0804538076898407E-3</c:v>
                </c:pt>
                <c:pt idx="1126">
                  <c:v>-1.6519174528589198E-2</c:v>
                </c:pt>
                <c:pt idx="1127">
                  <c:v>5.5989303818915204E-3</c:v>
                </c:pt>
                <c:pt idx="1128">
                  <c:v>1.8095048357624988E-2</c:v>
                </c:pt>
                <c:pt idx="1129">
                  <c:v>1.4062441131592829E-2</c:v>
                </c:pt>
                <c:pt idx="1130">
                  <c:v>1.4445493622707861E-3</c:v>
                </c:pt>
                <c:pt idx="1131">
                  <c:v>3.3368603392029961E-2</c:v>
                </c:pt>
                <c:pt idx="1132">
                  <c:v>-7.4445841005451596E-3</c:v>
                </c:pt>
                <c:pt idx="1133">
                  <c:v>-9.1881114124090502E-3</c:v>
                </c:pt>
                <c:pt idx="1134">
                  <c:v>-3.6903766086298084E-3</c:v>
                </c:pt>
                <c:pt idx="1135">
                  <c:v>-2.0039899135341432E-2</c:v>
                </c:pt>
                <c:pt idx="1136">
                  <c:v>-1.5603799185888834E-2</c:v>
                </c:pt>
                <c:pt idx="1137">
                  <c:v>-5.8087722752780957E-3</c:v>
                </c:pt>
                <c:pt idx="1138">
                  <c:v>8.9123586181716341E-4</c:v>
                </c:pt>
                <c:pt idx="1139">
                  <c:v>1.058671217967766E-2</c:v>
                </c:pt>
                <c:pt idx="1140">
                  <c:v>2.9763080377551265E-2</c:v>
                </c:pt>
                <c:pt idx="1141">
                  <c:v>-1.4356360524814593E-2</c:v>
                </c:pt>
                <c:pt idx="1142">
                  <c:v>-1.2443339682518428E-2</c:v>
                </c:pt>
                <c:pt idx="1143">
                  <c:v>-8.7903890053830924E-4</c:v>
                </c:pt>
                <c:pt idx="1144">
                  <c:v>2.0138791473860662E-2</c:v>
                </c:pt>
                <c:pt idx="1145">
                  <c:v>-1.9645376514525581E-2</c:v>
                </c:pt>
                <c:pt idx="1146">
                  <c:v>-4.789882557481584E-3</c:v>
                </c:pt>
                <c:pt idx="1147">
                  <c:v>2.9466948815772831E-3</c:v>
                </c:pt>
                <c:pt idx="1148">
                  <c:v>-1.3808676781816853E-2</c:v>
                </c:pt>
                <c:pt idx="1149">
                  <c:v>-3.1280974119591964E-2</c:v>
                </c:pt>
                <c:pt idx="1150">
                  <c:v>-2.8498266678679607E-2</c:v>
                </c:pt>
                <c:pt idx="1151">
                  <c:v>-3.3765929105178838E-2</c:v>
                </c:pt>
                <c:pt idx="1152">
                  <c:v>-6.9891885988859759E-3</c:v>
                </c:pt>
                <c:pt idx="1153">
                  <c:v>-1.2977015286484206E-2</c:v>
                </c:pt>
                <c:pt idx="1154">
                  <c:v>4.20055376044568E-2</c:v>
                </c:pt>
                <c:pt idx="1155">
                  <c:v>3.3148054955562056E-2</c:v>
                </c:pt>
                <c:pt idx="1156">
                  <c:v>3.7155825797273057E-2</c:v>
                </c:pt>
                <c:pt idx="1157">
                  <c:v>8.7017274593526484E-2</c:v>
                </c:pt>
                <c:pt idx="1158">
                  <c:v>7.9868080418616927E-3</c:v>
                </c:pt>
                <c:pt idx="1159">
                  <c:v>-4.7632084308777412E-2</c:v>
                </c:pt>
                <c:pt idx="1160">
                  <c:v>-9.1804437219087376E-3</c:v>
                </c:pt>
                <c:pt idx="1161">
                  <c:v>-2.9244271506184027E-2</c:v>
                </c:pt>
                <c:pt idx="1162">
                  <c:v>-2.4855835656077963E-3</c:v>
                </c:pt>
                <c:pt idx="1163">
                  <c:v>1.206019112807355E-2</c:v>
                </c:pt>
                <c:pt idx="1164">
                  <c:v>-3.5355563961438241E-2</c:v>
                </c:pt>
                <c:pt idx="1165">
                  <c:v>-3.2261317986564064E-2</c:v>
                </c:pt>
                <c:pt idx="1166">
                  <c:v>1.0444118467727304E-2</c:v>
                </c:pt>
                <c:pt idx="1167">
                  <c:v>-1.8062184360640887E-2</c:v>
                </c:pt>
                <c:pt idx="1168">
                  <c:v>-3.2429589608838238E-2</c:v>
                </c:pt>
                <c:pt idx="1169">
                  <c:v>7.1428791208791864E-3</c:v>
                </c:pt>
                <c:pt idx="1170">
                  <c:v>1.3093245759012717E-2</c:v>
                </c:pt>
                <c:pt idx="1171">
                  <c:v>2.9509941400321926E-2</c:v>
                </c:pt>
                <c:pt idx="1172">
                  <c:v>1.6215117322528227E-2</c:v>
                </c:pt>
                <c:pt idx="1173">
                  <c:v>-2.8824171595884795E-3</c:v>
                </c:pt>
                <c:pt idx="1174">
                  <c:v>1.1872816313516221E-2</c:v>
                </c:pt>
                <c:pt idx="1175">
                  <c:v>-3.3670237043765816E-3</c:v>
                </c:pt>
                <c:pt idx="1176">
                  <c:v>2.0577416052416142E-2</c:v>
                </c:pt>
                <c:pt idx="1177">
                  <c:v>-6.8311815261073106E-2</c:v>
                </c:pt>
                <c:pt idx="1178">
                  <c:v>-2.0887113077749042E-2</c:v>
                </c:pt>
                <c:pt idx="1179">
                  <c:v>1.3525357081034528E-2</c:v>
                </c:pt>
                <c:pt idx="1180">
                  <c:v>-5.5331887931689971E-3</c:v>
                </c:pt>
                <c:pt idx="1181">
                  <c:v>1.8437638296415537E-2</c:v>
                </c:pt>
                <c:pt idx="1182">
                  <c:v>-4.4991752436887023E-3</c:v>
                </c:pt>
                <c:pt idx="1183">
                  <c:v>-1.6356354245130822E-2</c:v>
                </c:pt>
                <c:pt idx="1184">
                  <c:v>-3.358503299048099E-2</c:v>
                </c:pt>
                <c:pt idx="1185">
                  <c:v>-1.9243797565940524E-2</c:v>
                </c:pt>
                <c:pt idx="1186">
                  <c:v>3.7049850381461802E-2</c:v>
                </c:pt>
                <c:pt idx="1187">
                  <c:v>-2.1146366636535796E-2</c:v>
                </c:pt>
                <c:pt idx="1188">
                  <c:v>3.3769199560063745E-2</c:v>
                </c:pt>
                <c:pt idx="1189">
                  <c:v>8.359019101606302E-3</c:v>
                </c:pt>
                <c:pt idx="1190">
                  <c:v>2.0724585514833027E-3</c:v>
                </c:pt>
                <c:pt idx="1191">
                  <c:v>1.8504190100006035E-3</c:v>
                </c:pt>
                <c:pt idx="1192">
                  <c:v>2.9334745443994059E-3</c:v>
                </c:pt>
                <c:pt idx="1193">
                  <c:v>1.6574564328340813E-2</c:v>
                </c:pt>
                <c:pt idx="1194">
                  <c:v>-8.5245101672848378E-4</c:v>
                </c:pt>
                <c:pt idx="1195">
                  <c:v>2.0263971410749981E-3</c:v>
                </c:pt>
                <c:pt idx="1196">
                  <c:v>9.0474297726694797E-3</c:v>
                </c:pt>
                <c:pt idx="1197">
                  <c:v>2.953575855899393E-3</c:v>
                </c:pt>
                <c:pt idx="1198">
                  <c:v>-1.2936516345466553E-2</c:v>
                </c:pt>
                <c:pt idx="1199">
                  <c:v>-1.278582872212719E-3</c:v>
                </c:pt>
                <c:pt idx="1200">
                  <c:v>-1.6216835072543456E-2</c:v>
                </c:pt>
                <c:pt idx="1201">
                  <c:v>-5.205465841074397E-3</c:v>
                </c:pt>
                <c:pt idx="1202">
                  <c:v>-9.8118387720969036E-4</c:v>
                </c:pt>
                <c:pt idx="1203">
                  <c:v>-1.1457911517436914E-2</c:v>
                </c:pt>
                <c:pt idx="1204">
                  <c:v>-2.3181345542834575E-2</c:v>
                </c:pt>
                <c:pt idx="1205">
                  <c:v>7.1420501105672995E-2</c:v>
                </c:pt>
                <c:pt idx="1206">
                  <c:v>-2.2676870006895222E-2</c:v>
                </c:pt>
                <c:pt idx="1207">
                  <c:v>-2.3311071732740274E-2</c:v>
                </c:pt>
                <c:pt idx="1208">
                  <c:v>-8.8399999999988488E-4</c:v>
                </c:pt>
                <c:pt idx="1209">
                  <c:v>2.5658040824110495E-2</c:v>
                </c:pt>
                <c:pt idx="1210">
                  <c:v>1.5850776705861103E-2</c:v>
                </c:pt>
                <c:pt idx="1211">
                  <c:v>7.0056682624526356E-3</c:v>
                </c:pt>
                <c:pt idx="1212">
                  <c:v>2.0765183279271238E-2</c:v>
                </c:pt>
                <c:pt idx="1213">
                  <c:v>1.5799329442351517E-2</c:v>
                </c:pt>
                <c:pt idx="1214">
                  <c:v>-2.0433078567660523E-2</c:v>
                </c:pt>
                <c:pt idx="1215">
                  <c:v>7.1606682527951548E-3</c:v>
                </c:pt>
                <c:pt idx="1216">
                  <c:v>-6.0175206795202385E-2</c:v>
                </c:pt>
                <c:pt idx="1217">
                  <c:v>5.4821840311602976E-4</c:v>
                </c:pt>
                <c:pt idx="1218">
                  <c:v>2.0162129735653567E-2</c:v>
                </c:pt>
                <c:pt idx="1219">
                  <c:v>1.2674554515027969E-2</c:v>
                </c:pt>
                <c:pt idx="1220">
                  <c:v>7.9550276618054472E-3</c:v>
                </c:pt>
                <c:pt idx="1221">
                  <c:v>-2.420246263498349E-3</c:v>
                </c:pt>
                <c:pt idx="1222">
                  <c:v>-1.107598066215254E-2</c:v>
                </c:pt>
                <c:pt idx="1223">
                  <c:v>5.333653333334798E-4</c:v>
                </c:pt>
                <c:pt idx="1224">
                  <c:v>1.8869903447657599E-2</c:v>
                </c:pt>
                <c:pt idx="1225">
                  <c:v>-3.2123051166684014E-2</c:v>
                </c:pt>
                <c:pt idx="1226">
                  <c:v>7.9999783783784029E-3</c:v>
                </c:pt>
                <c:pt idx="1227">
                  <c:v>-1.1904772885130255E-2</c:v>
                </c:pt>
                <c:pt idx="1228">
                  <c:v>-1.6823999245327292E-2</c:v>
                </c:pt>
                <c:pt idx="1229">
                  <c:v>4.3055750870926168E-3</c:v>
                </c:pt>
                <c:pt idx="1230">
                  <c:v>-5.0126381772821915E-2</c:v>
                </c:pt>
                <c:pt idx="1231">
                  <c:v>1.5044496468256119E-2</c:v>
                </c:pt>
                <c:pt idx="1232">
                  <c:v>9.6910159581691246E-3</c:v>
                </c:pt>
                <c:pt idx="1233">
                  <c:v>-3.9521116520350175E-3</c:v>
                </c:pt>
                <c:pt idx="1234">
                  <c:v>2.4827151398108649E-2</c:v>
                </c:pt>
                <c:pt idx="1235">
                  <c:v>-1.4491216493557224E-2</c:v>
                </c:pt>
                <c:pt idx="1236">
                  <c:v>1.3469581927021412E-2</c:v>
                </c:pt>
                <c:pt idx="1237">
                  <c:v>2.7134754378837611E-2</c:v>
                </c:pt>
                <c:pt idx="1238">
                  <c:v>8.7341494227766159E-3</c:v>
                </c:pt>
                <c:pt idx="1239">
                  <c:v>-3.1747738158811267E-2</c:v>
                </c:pt>
                <c:pt idx="1240">
                  <c:v>-3.643210341284786E-3</c:v>
                </c:pt>
                <c:pt idx="1241">
                  <c:v>1.0193883656509861E-2</c:v>
                </c:pt>
                <c:pt idx="1242">
                  <c:v>-3.619633730824523E-3</c:v>
                </c:pt>
                <c:pt idx="1243">
                  <c:v>-2.9942680754851625E-2</c:v>
                </c:pt>
                <c:pt idx="1244">
                  <c:v>-1.2029107624973667E-2</c:v>
                </c:pt>
                <c:pt idx="1245">
                  <c:v>-1.3438996403376757E-2</c:v>
                </c:pt>
                <c:pt idx="1246">
                  <c:v>2.1422796849724035E-2</c:v>
                </c:pt>
                <c:pt idx="1247">
                  <c:v>-1.6869975486037525E-2</c:v>
                </c:pt>
                <c:pt idx="1248">
                  <c:v>1.3217379710144916E-2</c:v>
                </c:pt>
                <c:pt idx="1249">
                  <c:v>1.7393351841095583E-2</c:v>
                </c:pt>
                <c:pt idx="1250">
                  <c:v>-4.1840083597341815E-2</c:v>
                </c:pt>
                <c:pt idx="1251">
                  <c:v>-3.5332808185636666E-2</c:v>
                </c:pt>
                <c:pt idx="1252">
                  <c:v>1.0343137016305626E-2</c:v>
                </c:pt>
                <c:pt idx="1253">
                  <c:v>-1.2046248489050448E-4</c:v>
                </c:pt>
                <c:pt idx="1254">
                  <c:v>5.661298686869376E-3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F1-40F4-939C-5B08E9AF9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50079"/>
        <c:axId val="951544799"/>
      </c:lineChart>
      <c:catAx>
        <c:axId val="9515500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51544799"/>
        <c:crosses val="autoZero"/>
        <c:auto val="1"/>
        <c:lblAlgn val="ctr"/>
        <c:lblOffset val="100"/>
        <c:noMultiLvlLbl val="0"/>
      </c:catAx>
      <c:valAx>
        <c:axId val="95154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5155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Precios Bimbo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Precios Bimbo</a:t>
          </a:r>
        </a:p>
      </cx:txPr>
    </cx:title>
    <cx:plotArea>
      <cx:plotAreaRegion>
        <cx:series layoutId="clusteredColumn" uniqueId="{B3E7C9DD-7BBC-45D5-B85E-102E6EDA609E}" formatIdx="0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P&amp;L Bimbo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P&amp;L Bimbo</a:t>
          </a:r>
        </a:p>
      </cx:txPr>
    </cx:title>
    <cx:plotArea>
      <cx:plotAreaRegion>
        <cx:series layoutId="clusteredColumn" uniqueId="{8952FE9F-3258-4232-974A-E0F2C97B855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/>
    <cx:plotArea>
      <cx:plotAreaRegion>
        <cx:series layoutId="clusteredColumn" uniqueId="{6FFF0EF4-B4C7-46A6-9445-9D53FF00BA4B}" formatIdx="0">
          <cx:spPr>
            <a:solidFill>
              <a:srgbClr val="C0000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Rendimiento Bimbo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Rendimiento Bimbo</a:t>
          </a:r>
        </a:p>
      </cx:txPr>
    </cx:title>
    <cx:plotArea>
      <cx:plotAreaRegion>
        <cx:series layoutId="clusteredColumn" uniqueId="{01B2FA7F-AC9B-46AA-B5E0-F1526C3DFE86}" formatIdx="0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Rendimiento GMEXICO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Rendimiento GMEXICO</a:t>
          </a:r>
        </a:p>
      </cx:txPr>
    </cx:title>
    <cx:plotArea>
      <cx:plotAreaRegion>
        <cx:series layoutId="clusteredColumn" uniqueId="{55F7777F-CDB1-423E-894E-35399D8C3572}" formatIdx="0">
          <cx:spPr>
            <a:solidFill>
              <a:srgbClr val="C0000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P&amp;L GMEXICO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P&amp;L GMEXICO</a:t>
          </a:r>
        </a:p>
      </cx:txPr>
    </cx:title>
    <cx:plotArea>
      <cx:plotAreaRegion>
        <cx:series layoutId="clusteredColumn" uniqueId="{FEBDA161-54F0-42B8-BECC-11C88B4689A2}">
          <cx:spPr>
            <a:solidFill>
              <a:srgbClr val="C0000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P&amp;L Total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P&amp;L Total</a:t>
          </a:r>
        </a:p>
      </cx:txPr>
    </cx:title>
    <cx:plotArea>
      <cx:plotAreaRegion>
        <cx:series layoutId="clusteredColumn" uniqueId="{24DAFA35-0756-49E1-94CF-2113509D76D7}">
          <cx:spPr>
            <a:solidFill>
              <a:srgbClr val="7030A0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3.xml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3.xml"/><Relationship Id="rId11" Type="http://schemas.microsoft.com/office/2014/relationships/chartEx" Target="../charts/chartEx7.xml"/><Relationship Id="rId5" Type="http://schemas.microsoft.com/office/2014/relationships/chartEx" Target="../charts/chartEx2.xml"/><Relationship Id="rId10" Type="http://schemas.microsoft.com/office/2014/relationships/chartEx" Target="../charts/chartEx6.xml"/><Relationship Id="rId4" Type="http://schemas.microsoft.com/office/2014/relationships/chartEx" Target="../charts/chartEx1.xml"/><Relationship Id="rId9" Type="http://schemas.microsoft.com/office/2014/relationships/chartEx" Target="../charts/chartEx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20</xdr:row>
      <xdr:rowOff>90014</xdr:rowOff>
    </xdr:from>
    <xdr:to>
      <xdr:col>12</xdr:col>
      <xdr:colOff>0</xdr:colOff>
      <xdr:row>27</xdr:row>
      <xdr:rowOff>190556</xdr:rowOff>
    </xdr:to>
    <xdr:pic>
      <xdr:nvPicPr>
        <xdr:cNvPr id="5" name="4 Imagen" descr="Resultado de imagen para risk management consul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4264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19</xdr:row>
      <xdr:rowOff>0</xdr:rowOff>
    </xdr:from>
    <xdr:to>
      <xdr:col>19</xdr:col>
      <xdr:colOff>130629</xdr:colOff>
      <xdr:row>33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D56782F-6E92-4F0B-A3F2-645BB0E7A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838199</xdr:colOff>
      <xdr:row>18</xdr:row>
      <xdr:rowOff>141516</xdr:rowOff>
    </xdr:from>
    <xdr:to>
      <xdr:col>24</xdr:col>
      <xdr:colOff>1012370</xdr:colOff>
      <xdr:row>33</xdr:row>
      <xdr:rowOff>108858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25629C1-EA29-BF62-98DC-F8B0F4415F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678769</xdr:colOff>
      <xdr:row>55</xdr:row>
      <xdr:rowOff>132597</xdr:rowOff>
    </xdr:from>
    <xdr:to>
      <xdr:col>19</xdr:col>
      <xdr:colOff>36118</xdr:colOff>
      <xdr:row>70</xdr:row>
      <xdr:rowOff>121580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44A5317-A071-46AD-9C5A-5904A8049A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37</xdr:row>
      <xdr:rowOff>0</xdr:rowOff>
    </xdr:from>
    <xdr:to>
      <xdr:col>19</xdr:col>
      <xdr:colOff>114300</xdr:colOff>
      <xdr:row>52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7EE737D1-AFA1-45CB-AD9D-EB8CA5B665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32180" y="7063740"/>
              <a:ext cx="4770120" cy="2819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14</xdr:col>
      <xdr:colOff>100263</xdr:colOff>
      <xdr:row>92</xdr:row>
      <xdr:rowOff>1</xdr:rowOff>
    </xdr:from>
    <xdr:to>
      <xdr:col>19</xdr:col>
      <xdr:colOff>214563</xdr:colOff>
      <xdr:row>107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FE2F3BF-66FD-4E06-9C84-CCB23223EA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32443" y="17122141"/>
              <a:ext cx="4770120" cy="28193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19</xdr:col>
      <xdr:colOff>711200</xdr:colOff>
      <xdr:row>36</xdr:row>
      <xdr:rowOff>152400</xdr:rowOff>
    </xdr:from>
    <xdr:to>
      <xdr:col>24</xdr:col>
      <xdr:colOff>876300</xdr:colOff>
      <xdr:row>52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Gráfico 13">
              <a:extLst>
                <a:ext uri="{FF2B5EF4-FFF2-40B4-BE49-F238E27FC236}">
                  <a16:creationId xmlns:a16="http://schemas.microsoft.com/office/drawing/2014/main" id="{2D9B7CFB-26EA-4FF1-AB88-3705BF34D9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99200" y="7033260"/>
              <a:ext cx="4561840" cy="282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19</xdr:col>
      <xdr:colOff>699795</xdr:colOff>
      <xdr:row>55</xdr:row>
      <xdr:rowOff>155509</xdr:rowOff>
    </xdr:from>
    <xdr:to>
      <xdr:col>24</xdr:col>
      <xdr:colOff>901959</xdr:colOff>
      <xdr:row>70</xdr:row>
      <xdr:rowOff>99525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A6B4E2E0-A2C2-4732-8B6C-88C69CD0C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73</xdr:row>
      <xdr:rowOff>0</xdr:rowOff>
    </xdr:from>
    <xdr:to>
      <xdr:col>19</xdr:col>
      <xdr:colOff>115455</xdr:colOff>
      <xdr:row>87</xdr:row>
      <xdr:rowOff>157018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Gráfico 18">
              <a:extLst>
                <a:ext uri="{FF2B5EF4-FFF2-40B4-BE49-F238E27FC236}">
                  <a16:creationId xmlns:a16="http://schemas.microsoft.com/office/drawing/2014/main" id="{1521FC2B-FD46-44FD-AA77-5E62C75D35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32180" y="13647420"/>
              <a:ext cx="4771275" cy="27173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19</xdr:col>
      <xdr:colOff>727364</xdr:colOff>
      <xdr:row>73</xdr:row>
      <xdr:rowOff>0</xdr:rowOff>
    </xdr:from>
    <xdr:to>
      <xdr:col>24</xdr:col>
      <xdr:colOff>900546</xdr:colOff>
      <xdr:row>87</xdr:row>
      <xdr:rowOff>157018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Gráfico 20">
              <a:extLst>
                <a:ext uri="{FF2B5EF4-FFF2-40B4-BE49-F238E27FC236}">
                  <a16:creationId xmlns:a16="http://schemas.microsoft.com/office/drawing/2014/main" id="{B3B8DF86-C7C4-4729-8587-D8F2F0CF7E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15364" y="13647420"/>
              <a:ext cx="4569922" cy="27173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19</xdr:col>
      <xdr:colOff>784412</xdr:colOff>
      <xdr:row>91</xdr:row>
      <xdr:rowOff>156883</xdr:rowOff>
    </xdr:from>
    <xdr:to>
      <xdr:col>24</xdr:col>
      <xdr:colOff>963706</xdr:colOff>
      <xdr:row>107</xdr:row>
      <xdr:rowOff>31377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7D5FFE28-5007-4DBA-8B28-343C4B8CD7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2412" y="17096143"/>
              <a:ext cx="4576034" cy="2800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17</xdr:col>
      <xdr:colOff>53474</xdr:colOff>
      <xdr:row>110</xdr:row>
      <xdr:rowOff>147053</xdr:rowOff>
    </xdr:from>
    <xdr:to>
      <xdr:col>22</xdr:col>
      <xdr:colOff>213895</xdr:colOff>
      <xdr:row>125</xdr:row>
      <xdr:rowOff>82885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75B51154-728B-4730-9DF9-4185BFF146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71754" y="20561033"/>
              <a:ext cx="4557161" cy="26790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2%20RYSC\Diplomado%20Riesgos\Aplicaciones\Riesgo%20de%20Cr&#233;dito%20ok\AP6%20Estimaci&#243;n%20LGD%20(Curso)%2020160910%20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6"/>
      <sheetName val="Estimación LGD"/>
      <sheetName val="Base Recuperaciones"/>
      <sheetName val="Base Castigos"/>
    </sheetNames>
    <sheetDataSet>
      <sheetData sheetId="0"/>
      <sheetData sheetId="1">
        <row r="37">
          <cell r="C37">
            <v>0.35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2060"/>
  </sheetPr>
  <dimension ref="A1:L32"/>
  <sheetViews>
    <sheetView zoomScaleNormal="100" workbookViewId="0">
      <selection activeCell="E17" sqref="E17"/>
    </sheetView>
  </sheetViews>
  <sheetFormatPr baseColWidth="10" defaultColWidth="0" defaultRowHeight="15" customHeight="1" zeroHeight="1" x14ac:dyDescent="0.3"/>
  <cols>
    <col min="1" max="1" width="5.6640625" style="13" customWidth="1"/>
    <col min="2" max="2" width="14.44140625" style="13" customWidth="1"/>
    <col min="3" max="12" width="11.44140625" style="13" customWidth="1"/>
    <col min="13" max="13" width="11.44140625" style="13" hidden="1" customWidth="1"/>
    <col min="14" max="16384" width="11.44140625" style="13" hidden="1"/>
  </cols>
  <sheetData>
    <row r="1" spans="1:3" s="23" customFormat="1" ht="14.4" x14ac:dyDescent="0.3">
      <c r="A1" s="23" t="s">
        <v>22</v>
      </c>
    </row>
    <row r="2" spans="1:3" s="23" customFormat="1" ht="14.4" x14ac:dyDescent="0.3"/>
    <row r="3" spans="1:3" s="23" customFormat="1" ht="14.4" x14ac:dyDescent="0.3"/>
    <row r="4" spans="1:3" ht="14.4" x14ac:dyDescent="0.3"/>
    <row r="5" spans="1:3" ht="14.4" x14ac:dyDescent="0.3"/>
    <row r="6" spans="1:3" ht="25.8" x14ac:dyDescent="0.5">
      <c r="B6" s="24" t="s">
        <v>27</v>
      </c>
    </row>
    <row r="7" spans="1:3" ht="18" x14ac:dyDescent="0.35">
      <c r="B7" s="22"/>
    </row>
    <row r="8" spans="1:3" s="14" customFormat="1" ht="15.6" x14ac:dyDescent="0.3">
      <c r="B8" s="14" t="s">
        <v>22</v>
      </c>
    </row>
    <row r="9" spans="1:3" s="14" customFormat="1" ht="15.6" x14ac:dyDescent="0.3">
      <c r="B9" s="15" t="s">
        <v>14</v>
      </c>
      <c r="C9" s="14" t="s">
        <v>25</v>
      </c>
    </row>
    <row r="10" spans="1:3" s="14" customFormat="1" ht="15.6" x14ac:dyDescent="0.3"/>
    <row r="11" spans="1:3" s="14" customFormat="1" ht="15.6" x14ac:dyDescent="0.3">
      <c r="B11" s="15" t="s">
        <v>11</v>
      </c>
      <c r="C11" s="14" t="s">
        <v>26</v>
      </c>
    </row>
    <row r="12" spans="1:3" s="14" customFormat="1" ht="15.6" x14ac:dyDescent="0.3">
      <c r="B12" s="15"/>
    </row>
    <row r="13" spans="1:3" s="14" customFormat="1" ht="15.6" x14ac:dyDescent="0.3">
      <c r="B13" s="15" t="s">
        <v>12</v>
      </c>
      <c r="C13" s="14" t="s">
        <v>13</v>
      </c>
    </row>
    <row r="14" spans="1:3" s="14" customFormat="1" ht="15.6" x14ac:dyDescent="0.3">
      <c r="C14" s="16"/>
    </row>
    <row r="15" spans="1:3" s="14" customFormat="1" ht="15.6" x14ac:dyDescent="0.3">
      <c r="B15" s="15"/>
    </row>
    <row r="16" spans="1:3" s="14" customFormat="1" ht="15.6" x14ac:dyDescent="0.3">
      <c r="B16" s="15"/>
    </row>
    <row r="17" s="14" customFormat="1" ht="15.6" x14ac:dyDescent="0.3"/>
    <row r="18" s="14" customFormat="1" ht="15.6" x14ac:dyDescent="0.3"/>
    <row r="19" s="14" customFormat="1" ht="15.6" x14ac:dyDescent="0.3"/>
    <row r="20" s="14" customFormat="1" ht="15.6" x14ac:dyDescent="0.3"/>
    <row r="21" s="14" customFormat="1" ht="15.6" x14ac:dyDescent="0.3"/>
    <row r="22" s="14" customFormat="1" ht="15.6" x14ac:dyDescent="0.3"/>
    <row r="23" s="14" customFormat="1" ht="15.6" x14ac:dyDescent="0.3"/>
    <row r="24" s="14" customFormat="1" ht="15.6" x14ac:dyDescent="0.3"/>
    <row r="25" s="14" customFormat="1" ht="15.6" x14ac:dyDescent="0.3"/>
    <row r="26" s="14" customFormat="1" ht="15.6" x14ac:dyDescent="0.3"/>
    <row r="27" s="14" customFormat="1" ht="15.6" x14ac:dyDescent="0.3"/>
    <row r="28" s="14" customFormat="1" ht="15.6" x14ac:dyDescent="0.3"/>
    <row r="29" s="14" customFormat="1" ht="15.6" hidden="1" x14ac:dyDescent="0.3"/>
    <row r="30" s="14" customFormat="1" ht="15.6" hidden="1" x14ac:dyDescent="0.3"/>
    <row r="31" s="14" customFormat="1" ht="15.6" hidden="1" x14ac:dyDescent="0.3"/>
    <row r="32" s="14" customFormat="1" ht="15.6" hidden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F1BD-A570-4BD1-B76E-9D82FDCA4EE8}">
  <sheetPr codeName="Hoja2">
    <tabColor rgb="FFFFC000"/>
  </sheetPr>
  <dimension ref="B2:AG10020"/>
  <sheetViews>
    <sheetView tabSelected="1" topLeftCell="E38" zoomScale="37" zoomScaleNormal="55" workbookViewId="0">
      <selection activeCell="E111" sqref="E111"/>
    </sheetView>
  </sheetViews>
  <sheetFormatPr baseColWidth="10" defaultColWidth="11.44140625" defaultRowHeight="14.4" x14ac:dyDescent="0.3"/>
  <cols>
    <col min="1" max="1" width="5.6640625" style="1" customWidth="1"/>
    <col min="2" max="2" width="11.44140625" style="1"/>
    <col min="3" max="3" width="14.33203125" style="1" customWidth="1"/>
    <col min="4" max="5" width="17" style="1" customWidth="1"/>
    <col min="6" max="6" width="15.5546875" style="1" customWidth="1"/>
    <col min="7" max="8" width="14.6640625" style="1" customWidth="1"/>
    <col min="9" max="10" width="16.109375" style="1" customWidth="1"/>
    <col min="11" max="12" width="14.6640625" style="1" customWidth="1"/>
    <col min="13" max="13" width="15.44140625" style="1" customWidth="1"/>
    <col min="14" max="14" width="11.44140625" style="1"/>
    <col min="15" max="15" width="19.109375" style="1" customWidth="1"/>
    <col min="16" max="16" width="14.44140625" style="1" bestFit="1" customWidth="1"/>
    <col min="17" max="19" width="11.44140625" style="1"/>
    <col min="20" max="20" width="18.33203125" style="1" bestFit="1" customWidth="1"/>
    <col min="21" max="24" width="11.44140625" style="1"/>
    <col min="25" max="25" width="18.33203125" style="1" bestFit="1" customWidth="1"/>
    <col min="26" max="16384" width="11.44140625" style="1"/>
  </cols>
  <sheetData>
    <row r="2" spans="2:26" ht="23.4" x14ac:dyDescent="0.45">
      <c r="B2" s="20" t="s">
        <v>31</v>
      </c>
    </row>
    <row r="3" spans="2:26" x14ac:dyDescent="0.3">
      <c r="D3" s="30" t="s">
        <v>7</v>
      </c>
      <c r="E3" s="31">
        <f>AVERAGE(D7:D1261)</f>
        <v>2.5610274104370402E-4</v>
      </c>
      <c r="I3" s="30" t="s">
        <v>7</v>
      </c>
      <c r="J3" s="31">
        <f>AVERAGE(I7:I1261)</f>
        <v>6.916514843527164E-4</v>
      </c>
    </row>
    <row r="4" spans="2:26" x14ac:dyDescent="0.3">
      <c r="D4" s="30" t="s">
        <v>30</v>
      </c>
      <c r="E4" s="1">
        <f>STDEV(D7:D1261)</f>
        <v>1.8833549708597408E-2</v>
      </c>
      <c r="I4" s="30" t="s">
        <v>30</v>
      </c>
      <c r="J4" s="1">
        <f>STDEV(I7:I1261)</f>
        <v>2.1191647101391157E-2</v>
      </c>
    </row>
    <row r="5" spans="2:26" ht="26.4" x14ac:dyDescent="0.4">
      <c r="B5" s="17" t="s">
        <v>0</v>
      </c>
      <c r="C5" s="17" t="s">
        <v>28</v>
      </c>
      <c r="D5" s="17" t="s">
        <v>15</v>
      </c>
      <c r="E5" s="17" t="s">
        <v>23</v>
      </c>
      <c r="F5" s="17" t="s">
        <v>17</v>
      </c>
      <c r="G5" s="17" t="s">
        <v>19</v>
      </c>
      <c r="H5" s="17" t="s">
        <v>29</v>
      </c>
      <c r="I5" s="17" t="s">
        <v>16</v>
      </c>
      <c r="J5" s="17" t="s">
        <v>24</v>
      </c>
      <c r="K5" s="17" t="s">
        <v>18</v>
      </c>
      <c r="L5" s="17" t="s">
        <v>21</v>
      </c>
      <c r="M5" s="17" t="s">
        <v>20</v>
      </c>
      <c r="O5" s="2" t="s">
        <v>1</v>
      </c>
      <c r="R5" s="3"/>
    </row>
    <row r="6" spans="2:26" ht="15" thickBot="1" x14ac:dyDescent="0.35">
      <c r="B6" s="28">
        <v>42639</v>
      </c>
      <c r="C6" s="25">
        <v>52.75</v>
      </c>
      <c r="D6" s="18"/>
      <c r="E6" s="18"/>
      <c r="F6" s="18"/>
      <c r="G6" s="19"/>
      <c r="H6" s="27">
        <v>46.41</v>
      </c>
      <c r="I6" s="19"/>
      <c r="J6" s="19"/>
      <c r="K6" s="19"/>
      <c r="L6" s="19"/>
      <c r="M6" s="19"/>
      <c r="O6" s="1" t="s">
        <v>28</v>
      </c>
      <c r="T6" s="1" t="s">
        <v>34</v>
      </c>
      <c r="Y6" s="1" t="s">
        <v>35</v>
      </c>
    </row>
    <row r="7" spans="2:26" x14ac:dyDescent="0.3">
      <c r="B7" s="28">
        <v>42640</v>
      </c>
      <c r="C7" s="25">
        <v>54.48</v>
      </c>
      <c r="D7" s="18">
        <f>C7/C6-1</f>
        <v>3.279620853080556E-2</v>
      </c>
      <c r="E7" s="32">
        <f ca="1">NORMINV(RAND(),$E$3,$E$4)</f>
        <v>3.6597350988939847E-2</v>
      </c>
      <c r="F7" s="18">
        <f ca="1">$C$1261*(1+E7)</f>
        <v>60.44399257276244</v>
      </c>
      <c r="G7" s="19">
        <f ca="1">$C$1261-F7</f>
        <v>-2.1339915727624401</v>
      </c>
      <c r="H7" s="27">
        <v>47.049999</v>
      </c>
      <c r="I7" s="19">
        <f>H7/H6-1</f>
        <v>1.379010989010987E-2</v>
      </c>
      <c r="J7" s="19">
        <f ca="1">NORMINV(RAND(),$J$3,$J$4)</f>
        <v>5.1537193760235857E-3</v>
      </c>
      <c r="K7" s="19">
        <f ca="1">$H$1261*(1+J7)</f>
        <v>83.920282020396769</v>
      </c>
      <c r="L7" s="19">
        <f ca="1">$H$1261-K7</f>
        <v>-0.43028402039676905</v>
      </c>
      <c r="M7" s="19">
        <f ca="1">SUM(G7,L7)</f>
        <v>-2.5642755931592092</v>
      </c>
      <c r="O7" s="10" t="s">
        <v>2</v>
      </c>
      <c r="P7" s="4">
        <f ca="1">MIN(PL_Bimbo)</f>
        <v>-3.2918679225802379</v>
      </c>
      <c r="T7" s="10" t="s">
        <v>2</v>
      </c>
      <c r="U7" s="4">
        <f ca="1">MIN(PL_GMex)</f>
        <v>-5.3630475790945127</v>
      </c>
      <c r="Y7" s="10" t="s">
        <v>2</v>
      </c>
      <c r="Z7" s="4">
        <f ca="1">MIN(PL_Tot)</f>
        <v>-5.9500289794073709</v>
      </c>
    </row>
    <row r="8" spans="2:26" x14ac:dyDescent="0.3">
      <c r="B8" s="28">
        <v>42641</v>
      </c>
      <c r="C8" s="25">
        <v>53.279998999999997</v>
      </c>
      <c r="D8" s="18">
        <f t="shared" ref="D8:D71" si="0">C8/C7-1</f>
        <v>-2.2026450073421411E-2</v>
      </c>
      <c r="E8" s="32">
        <f t="shared" ref="E8:E71" ca="1" si="1">NORMINV(RAND(),$E$3,$E$4)</f>
        <v>3.1525835334254591E-2</v>
      </c>
      <c r="F8" s="18">
        <f t="shared" ref="F8:F71" ca="1" si="2">$C$1261*(1+E8)</f>
        <v>60.148272489866223</v>
      </c>
      <c r="G8" s="19">
        <f t="shared" ref="G8:G71" ca="1" si="3">$C$1261-F8</f>
        <v>-1.8382714898662229</v>
      </c>
      <c r="H8" s="27">
        <v>47.950001</v>
      </c>
      <c r="I8" s="19">
        <f t="shared" ref="I8:I71" si="4">H8/H7-1</f>
        <v>1.9128629524519214E-2</v>
      </c>
      <c r="J8" s="19">
        <f t="shared" ref="J8:J71" ca="1" si="5">NORMINV(RAND(),$J$3,$J$4)</f>
        <v>9.6394819764246548E-3</v>
      </c>
      <c r="K8" s="19">
        <f t="shared" ref="K8:K71" ca="1" si="6">$H$1261*(1+J8)</f>
        <v>84.294798330932736</v>
      </c>
      <c r="L8" s="19">
        <f t="shared" ref="L8:L71" ca="1" si="7">$H$1261-K8</f>
        <v>-0.80480033093273562</v>
      </c>
      <c r="M8" s="19">
        <f t="shared" ref="M8:M71" ca="1" si="8">SUM(G8,L8)</f>
        <v>-2.6430718207989585</v>
      </c>
      <c r="O8" s="11" t="s">
        <v>3</v>
      </c>
      <c r="P8" s="5">
        <f ca="1">MAX(PL_Bimbo)</f>
        <v>3.6481566036675019</v>
      </c>
      <c r="T8" s="11" t="s">
        <v>3</v>
      </c>
      <c r="U8" s="5">
        <f ca="1">MAX(PL_GMex)</f>
        <v>6.4358570273006137</v>
      </c>
      <c r="Y8" s="11" t="s">
        <v>3</v>
      </c>
      <c r="Z8" s="5">
        <f ca="1">MAX(PL_Tot)</f>
        <v>7.4533724926556388</v>
      </c>
    </row>
    <row r="9" spans="2:26" x14ac:dyDescent="0.3">
      <c r="B9" s="28">
        <v>42642</v>
      </c>
      <c r="C9" s="25">
        <v>52.900002000000001</v>
      </c>
      <c r="D9" s="18">
        <f t="shared" si="0"/>
        <v>-7.1320759596860128E-3</v>
      </c>
      <c r="E9" s="32">
        <f t="shared" ca="1" si="1"/>
        <v>-2.2852968442297315E-2</v>
      </c>
      <c r="F9" s="18">
        <f t="shared" ca="1" si="2"/>
        <v>56.977444387276677</v>
      </c>
      <c r="G9" s="19">
        <f t="shared" ca="1" si="3"/>
        <v>1.332556612723323</v>
      </c>
      <c r="H9" s="27">
        <v>46.93</v>
      </c>
      <c r="I9" s="19">
        <f t="shared" si="4"/>
        <v>-2.1272178909860773E-2</v>
      </c>
      <c r="J9" s="19">
        <f t="shared" ca="1" si="5"/>
        <v>3.0327873863980975E-2</v>
      </c>
      <c r="K9" s="19">
        <f t="shared" ca="1" si="6"/>
        <v>86.022072128248027</v>
      </c>
      <c r="L9" s="19">
        <f t="shared" ca="1" si="7"/>
        <v>-2.532074128248027</v>
      </c>
      <c r="M9" s="19">
        <f t="shared" ca="1" si="8"/>
        <v>-1.199517515524704</v>
      </c>
      <c r="O9" s="11" t="s">
        <v>4</v>
      </c>
      <c r="P9" s="5">
        <f ca="1">P8-P7</f>
        <v>6.9400245262477398</v>
      </c>
      <c r="T9" s="11" t="s">
        <v>4</v>
      </c>
      <c r="U9" s="5">
        <f ca="1">U8-U7</f>
        <v>11.798904606395126</v>
      </c>
      <c r="Y9" s="11" t="s">
        <v>4</v>
      </c>
      <c r="Z9" s="5">
        <f ca="1">Z8-Z7</f>
        <v>13.40340147206301</v>
      </c>
    </row>
    <row r="10" spans="2:26" x14ac:dyDescent="0.3">
      <c r="B10" s="28">
        <v>42643</v>
      </c>
      <c r="C10" s="25">
        <v>51.110000999999997</v>
      </c>
      <c r="D10" s="18">
        <f t="shared" si="0"/>
        <v>-3.3837446735824339E-2</v>
      </c>
      <c r="E10" s="32">
        <f t="shared" ca="1" si="1"/>
        <v>-8.0050605526676174E-4</v>
      </c>
      <c r="F10" s="18">
        <f t="shared" ca="1" si="2"/>
        <v>58.263323491116893</v>
      </c>
      <c r="G10" s="19">
        <f t="shared" ca="1" si="3"/>
        <v>4.6677508883107066E-2</v>
      </c>
      <c r="H10" s="27">
        <v>47.380001</v>
      </c>
      <c r="I10" s="19">
        <f t="shared" si="4"/>
        <v>9.5887705092692066E-3</v>
      </c>
      <c r="J10" s="19">
        <f t="shared" ca="1" si="5"/>
        <v>-3.1325273165361489E-2</v>
      </c>
      <c r="K10" s="19">
        <f t="shared" ca="1" si="6"/>
        <v>80.874651006074515</v>
      </c>
      <c r="L10" s="19">
        <f t="shared" ca="1" si="7"/>
        <v>2.6153469939254848</v>
      </c>
      <c r="M10" s="19">
        <f t="shared" ca="1" si="8"/>
        <v>2.6620245028085918</v>
      </c>
      <c r="O10" s="11" t="s">
        <v>5</v>
      </c>
      <c r="P10" s="6"/>
      <c r="T10" s="11" t="s">
        <v>5</v>
      </c>
      <c r="U10" s="6"/>
      <c r="Y10" s="11" t="s">
        <v>5</v>
      </c>
      <c r="Z10" s="6"/>
    </row>
    <row r="11" spans="2:26" ht="15" thickBot="1" x14ac:dyDescent="0.35">
      <c r="B11" s="28">
        <v>42646</v>
      </c>
      <c r="C11" s="25">
        <v>53.029998999999997</v>
      </c>
      <c r="D11" s="18">
        <f t="shared" si="0"/>
        <v>3.7565994177930051E-2</v>
      </c>
      <c r="E11" s="32">
        <f t="shared" ca="1" si="1"/>
        <v>1.8800756481119747E-2</v>
      </c>
      <c r="F11" s="18">
        <f t="shared" ca="1" si="2"/>
        <v>59.406273129214846</v>
      </c>
      <c r="G11" s="19">
        <f t="shared" ca="1" si="3"/>
        <v>-1.0962721292148458</v>
      </c>
      <c r="H11" s="27">
        <v>47.110000999999997</v>
      </c>
      <c r="I11" s="19">
        <f t="shared" si="4"/>
        <v>-5.6986068869016027E-3</v>
      </c>
      <c r="J11" s="19">
        <f t="shared" ca="1" si="5"/>
        <v>8.7909123249013538E-3</v>
      </c>
      <c r="K11" s="19">
        <f t="shared" ca="1" si="6"/>
        <v>84.223951252424186</v>
      </c>
      <c r="L11" s="19">
        <f t="shared" ca="1" si="7"/>
        <v>-0.73395325242418608</v>
      </c>
      <c r="M11" s="19">
        <f t="shared" ca="1" si="8"/>
        <v>-1.8302253816390319</v>
      </c>
      <c r="O11" s="12" t="s">
        <v>6</v>
      </c>
      <c r="P11" s="7"/>
      <c r="T11" s="12" t="s">
        <v>6</v>
      </c>
      <c r="U11" s="7"/>
      <c r="Y11" s="12" t="s">
        <v>6</v>
      </c>
      <c r="Z11" s="7"/>
    </row>
    <row r="12" spans="2:26" ht="15" thickBot="1" x14ac:dyDescent="0.35">
      <c r="B12" s="28">
        <v>42647</v>
      </c>
      <c r="C12" s="25">
        <v>53.41</v>
      </c>
      <c r="D12" s="18">
        <f t="shared" si="0"/>
        <v>7.1657742252644319E-3</v>
      </c>
      <c r="E12" s="32">
        <f t="shared" ca="1" si="1"/>
        <v>-5.1013212007608288E-3</v>
      </c>
      <c r="F12" s="18">
        <f t="shared" ca="1" si="2"/>
        <v>58.012542955682314</v>
      </c>
      <c r="G12" s="19">
        <f t="shared" ca="1" si="3"/>
        <v>0.29745804431768619</v>
      </c>
      <c r="H12" s="27">
        <v>47.740001999999997</v>
      </c>
      <c r="I12" s="19">
        <f t="shared" si="4"/>
        <v>1.3372977852409651E-2</v>
      </c>
      <c r="J12" s="19">
        <f t="shared" ca="1" si="5"/>
        <v>-2.7891157714491147E-4</v>
      </c>
      <c r="K12" s="19">
        <f t="shared" ca="1" si="6"/>
        <v>83.466711672982001</v>
      </c>
      <c r="L12" s="19">
        <f t="shared" ca="1" si="7"/>
        <v>2.3286327017999042E-2</v>
      </c>
      <c r="M12" s="19">
        <f t="shared" ca="1" si="8"/>
        <v>0.32074437133568523</v>
      </c>
      <c r="O12" s="2"/>
    </row>
    <row r="13" spans="2:26" x14ac:dyDescent="0.3">
      <c r="B13" s="28">
        <v>42648</v>
      </c>
      <c r="C13" s="25">
        <v>53.290000999999997</v>
      </c>
      <c r="D13" s="18">
        <f t="shared" si="0"/>
        <v>-2.2467515446545905E-3</v>
      </c>
      <c r="E13" s="32">
        <f t="shared" ca="1" si="1"/>
        <v>-1.5835783621755098E-2</v>
      </c>
      <c r="F13" s="18">
        <f t="shared" ca="1" si="2"/>
        <v>57.386616441179676</v>
      </c>
      <c r="G13" s="19">
        <f t="shared" ca="1" si="3"/>
        <v>0.92338455882032378</v>
      </c>
      <c r="H13" s="27">
        <v>47.970001000000003</v>
      </c>
      <c r="I13" s="19">
        <f t="shared" si="4"/>
        <v>4.8177417336514594E-3</v>
      </c>
      <c r="J13" s="19">
        <f t="shared" ca="1" si="5"/>
        <v>4.9613815143923767E-3</v>
      </c>
      <c r="K13" s="19">
        <f t="shared" ca="1" si="6"/>
        <v>83.904223732713845</v>
      </c>
      <c r="L13" s="19">
        <f t="shared" ca="1" si="7"/>
        <v>-0.41422573271384522</v>
      </c>
      <c r="M13" s="19">
        <f t="shared" ca="1" si="8"/>
        <v>0.50915882610647856</v>
      </c>
      <c r="O13" s="10" t="s">
        <v>7</v>
      </c>
      <c r="P13" s="4">
        <f ca="1">AVERAGE(PL_Bimbo)</f>
        <v>-1.2538573790026639E-2</v>
      </c>
      <c r="T13" s="10" t="s">
        <v>7</v>
      </c>
      <c r="U13" s="4">
        <f ca="1">AVERAGE(PL_GMex)</f>
        <v>-8.611323618439537E-2</v>
      </c>
      <c r="Y13" s="10" t="s">
        <v>7</v>
      </c>
      <c r="Z13" s="4">
        <f ca="1">AVERAGE(PL_Tot)</f>
        <v>-9.8651809974421842E-2</v>
      </c>
    </row>
    <row r="14" spans="2:26" x14ac:dyDescent="0.3">
      <c r="B14" s="28">
        <v>42649</v>
      </c>
      <c r="C14" s="25">
        <v>52.490001999999997</v>
      </c>
      <c r="D14" s="18">
        <f t="shared" si="0"/>
        <v>-1.501217836344193E-2</v>
      </c>
      <c r="E14" s="32">
        <f t="shared" ca="1" si="1"/>
        <v>7.9212368840837211E-3</v>
      </c>
      <c r="F14" s="18">
        <f t="shared" ca="1" si="2"/>
        <v>58.771888330632159</v>
      </c>
      <c r="G14" s="19">
        <f t="shared" ca="1" si="3"/>
        <v>-0.46188733063215892</v>
      </c>
      <c r="H14" s="27">
        <v>47.73</v>
      </c>
      <c r="I14" s="19">
        <f t="shared" si="4"/>
        <v>-5.0031476964115251E-3</v>
      </c>
      <c r="J14" s="19">
        <f t="shared" ca="1" si="5"/>
        <v>1.4188145253405778E-2</v>
      </c>
      <c r="K14" s="19">
        <f t="shared" ca="1" si="6"/>
        <v>84.674566218830563</v>
      </c>
      <c r="L14" s="19">
        <f t="shared" ca="1" si="7"/>
        <v>-1.1845682188305631</v>
      </c>
      <c r="M14" s="19">
        <f t="shared" ca="1" si="8"/>
        <v>-1.646455549462722</v>
      </c>
      <c r="O14" s="11" t="s">
        <v>8</v>
      </c>
      <c r="P14" s="5">
        <f ca="1">STDEV(PL_Bimbo)</f>
        <v>1.1264818204287192</v>
      </c>
      <c r="T14" s="11" t="s">
        <v>8</v>
      </c>
      <c r="U14" s="5">
        <f ca="1">STDEV(PL_GMex)</f>
        <v>1.779026321882478</v>
      </c>
      <c r="Y14" s="11" t="s">
        <v>8</v>
      </c>
      <c r="Z14" s="5">
        <f ca="1">STDEV(PL_Tot)</f>
        <v>2.0643506379707386</v>
      </c>
    </row>
    <row r="15" spans="2:26" x14ac:dyDescent="0.3">
      <c r="B15" s="28">
        <v>42650</v>
      </c>
      <c r="C15" s="25">
        <v>51.669998</v>
      </c>
      <c r="D15" s="18">
        <f t="shared" si="0"/>
        <v>-1.5622098852272837E-2</v>
      </c>
      <c r="E15" s="32">
        <f t="shared" ca="1" si="1"/>
        <v>1.1854477038864207E-2</v>
      </c>
      <c r="F15" s="18">
        <f t="shared" ca="1" si="2"/>
        <v>59.001235567990648</v>
      </c>
      <c r="G15" s="19">
        <f t="shared" ca="1" si="3"/>
        <v>-0.69123456799064797</v>
      </c>
      <c r="H15" s="27">
        <v>47.240001999999997</v>
      </c>
      <c r="I15" s="19">
        <f t="shared" si="4"/>
        <v>-1.0266038131154454E-2</v>
      </c>
      <c r="J15" s="19">
        <f t="shared" ca="1" si="5"/>
        <v>2.4670902739149937E-2</v>
      </c>
      <c r="K15" s="19">
        <f t="shared" ca="1" si="6"/>
        <v>85.549771620349816</v>
      </c>
      <c r="L15" s="19">
        <f t="shared" ca="1" si="7"/>
        <v>-2.0597736203498158</v>
      </c>
      <c r="M15" s="19">
        <f t="shared" ca="1" si="8"/>
        <v>-2.7510081883404638</v>
      </c>
      <c r="O15" s="11" t="s">
        <v>9</v>
      </c>
      <c r="P15" s="5">
        <v>0.95</v>
      </c>
      <c r="T15" s="11" t="s">
        <v>9</v>
      </c>
      <c r="U15" s="5">
        <v>0.95</v>
      </c>
      <c r="Y15" s="11" t="s">
        <v>9</v>
      </c>
      <c r="Z15" s="5">
        <v>0.95</v>
      </c>
    </row>
    <row r="16" spans="2:26" ht="15" thickBot="1" x14ac:dyDescent="0.35">
      <c r="B16" s="28">
        <v>42653</v>
      </c>
      <c r="C16" s="25">
        <v>52.209999000000003</v>
      </c>
      <c r="D16" s="18">
        <f t="shared" si="0"/>
        <v>1.0450958407236755E-2</v>
      </c>
      <c r="E16" s="32">
        <f t="shared" ca="1" si="1"/>
        <v>1.8703512031698663E-2</v>
      </c>
      <c r="F16" s="18">
        <f t="shared" ca="1" si="2"/>
        <v>59.400602805271866</v>
      </c>
      <c r="G16" s="19">
        <f t="shared" ca="1" si="3"/>
        <v>-1.0906018052718665</v>
      </c>
      <c r="H16" s="27">
        <v>47.459999000000003</v>
      </c>
      <c r="I16" s="19">
        <f t="shared" si="4"/>
        <v>4.6570065767568281E-3</v>
      </c>
      <c r="J16" s="19">
        <f t="shared" ca="1" si="5"/>
        <v>2.369279835562901E-2</v>
      </c>
      <c r="K16" s="19">
        <f t="shared" ca="1" si="6"/>
        <v>85.468109687325864</v>
      </c>
      <c r="L16" s="19">
        <f t="shared" ca="1" si="7"/>
        <v>-1.978111687325864</v>
      </c>
      <c r="M16" s="19">
        <f t="shared" ca="1" si="8"/>
        <v>-3.0687134925977304</v>
      </c>
      <c r="O16" s="12" t="s">
        <v>10</v>
      </c>
      <c r="P16" s="8">
        <f ca="1">PERCENTILE(PL_Bimbo,P15)</f>
        <v>1.8634542281418371</v>
      </c>
      <c r="T16" s="12" t="s">
        <v>10</v>
      </c>
      <c r="U16" s="8">
        <f ca="1">PERCENTILE(PL_GMex,U15)</f>
        <v>2.7367507305874939</v>
      </c>
      <c r="Y16" s="12" t="s">
        <v>10</v>
      </c>
      <c r="Z16" s="8">
        <f ca="1">PERCENTILE(PL_Tot,Z15)</f>
        <v>3.1985875082893127</v>
      </c>
    </row>
    <row r="17" spans="2:33" x14ac:dyDescent="0.3">
      <c r="B17" s="28">
        <v>42654</v>
      </c>
      <c r="C17" s="25">
        <v>52.18</v>
      </c>
      <c r="D17" s="18">
        <f t="shared" si="0"/>
        <v>-5.7458342414451469E-4</v>
      </c>
      <c r="E17" s="32">
        <f t="shared" ca="1" si="1"/>
        <v>7.8261960306684648E-3</v>
      </c>
      <c r="F17" s="18">
        <f t="shared" ca="1" si="2"/>
        <v>58.766346498374475</v>
      </c>
      <c r="G17" s="19">
        <f t="shared" ca="1" si="3"/>
        <v>-0.4563454983744748</v>
      </c>
      <c r="H17" s="27">
        <v>47.709999000000003</v>
      </c>
      <c r="I17" s="19">
        <f t="shared" si="4"/>
        <v>5.2675938741590933E-3</v>
      </c>
      <c r="J17" s="19">
        <f t="shared" ca="1" si="5"/>
        <v>-4.4474597470236008E-2</v>
      </c>
      <c r="K17" s="19">
        <f t="shared" ca="1" si="6"/>
        <v>79.776813946159194</v>
      </c>
      <c r="L17" s="19">
        <f t="shared" ca="1" si="7"/>
        <v>3.7131840538408056</v>
      </c>
      <c r="M17" s="19">
        <f t="shared" ca="1" si="8"/>
        <v>3.2568385554663308</v>
      </c>
    </row>
    <row r="18" spans="2:33" x14ac:dyDescent="0.3">
      <c r="B18" s="28">
        <v>42655</v>
      </c>
      <c r="C18" s="25">
        <v>51.490001999999997</v>
      </c>
      <c r="D18" s="18">
        <f t="shared" si="0"/>
        <v>-1.3223418934457665E-2</v>
      </c>
      <c r="E18" s="32">
        <f t="shared" ca="1" si="1"/>
        <v>1.2740891380078303E-2</v>
      </c>
      <c r="F18" s="18">
        <f t="shared" ca="1" si="2"/>
        <v>59.052922389113263</v>
      </c>
      <c r="G18" s="19">
        <f t="shared" ca="1" si="3"/>
        <v>-0.74292138911326333</v>
      </c>
      <c r="H18" s="27">
        <v>47.5</v>
      </c>
      <c r="I18" s="19">
        <f t="shared" si="4"/>
        <v>-4.4015720897416788E-3</v>
      </c>
      <c r="J18" s="19">
        <f t="shared" ca="1" si="5"/>
        <v>-2.5130084736362766E-2</v>
      </c>
      <c r="K18" s="19">
        <f t="shared" ca="1" si="6"/>
        <v>81.391887275621244</v>
      </c>
      <c r="L18" s="19">
        <f t="shared" ca="1" si="7"/>
        <v>2.0981107243787562</v>
      </c>
      <c r="M18" s="19">
        <f t="shared" ca="1" si="8"/>
        <v>1.3551893352654929</v>
      </c>
      <c r="Q18" s="9"/>
    </row>
    <row r="19" spans="2:33" x14ac:dyDescent="0.3">
      <c r="B19" s="28">
        <v>42656</v>
      </c>
      <c r="C19" s="25">
        <v>51.200001</v>
      </c>
      <c r="D19" s="18">
        <f t="shared" si="0"/>
        <v>-5.6321807872525831E-3</v>
      </c>
      <c r="E19" s="32">
        <f t="shared" ca="1" si="1"/>
        <v>8.3449555799743821E-3</v>
      </c>
      <c r="F19" s="18">
        <f t="shared" ca="1" si="2"/>
        <v>58.796595368213261</v>
      </c>
      <c r="G19" s="19">
        <f t="shared" ca="1" si="3"/>
        <v>-0.48659436821326096</v>
      </c>
      <c r="H19" s="27">
        <v>47.889999000000003</v>
      </c>
      <c r="I19" s="19">
        <f t="shared" si="4"/>
        <v>8.21050526315803E-3</v>
      </c>
      <c r="J19" s="19">
        <f t="shared" ca="1" si="5"/>
        <v>-3.3198551373821751E-3</v>
      </c>
      <c r="K19" s="19">
        <f t="shared" ca="1" si="6"/>
        <v>83.212823301219672</v>
      </c>
      <c r="L19" s="19">
        <f t="shared" ca="1" si="7"/>
        <v>0.2771746987803283</v>
      </c>
      <c r="M19" s="19">
        <f t="shared" ca="1" si="8"/>
        <v>-0.20941966943293266</v>
      </c>
      <c r="AB19" s="33" t="s">
        <v>40</v>
      </c>
      <c r="AC19" s="33" t="s">
        <v>41</v>
      </c>
      <c r="AD19" s="33" t="s">
        <v>42</v>
      </c>
    </row>
    <row r="20" spans="2:33" x14ac:dyDescent="0.3">
      <c r="B20" s="28">
        <v>42657</v>
      </c>
      <c r="C20" s="25">
        <v>51.799999</v>
      </c>
      <c r="D20" s="18">
        <f t="shared" si="0"/>
        <v>1.1718710708618962E-2</v>
      </c>
      <c r="E20" s="32">
        <f t="shared" ca="1" si="1"/>
        <v>2.5237665137747847E-2</v>
      </c>
      <c r="F20" s="18">
        <f t="shared" ca="1" si="2"/>
        <v>59.781609279419747</v>
      </c>
      <c r="G20" s="19">
        <f t="shared" ca="1" si="3"/>
        <v>-1.4716082794197476</v>
      </c>
      <c r="H20" s="27">
        <v>47.52</v>
      </c>
      <c r="I20" s="19">
        <f t="shared" si="4"/>
        <v>-7.7260181191484145E-3</v>
      </c>
      <c r="J20" s="19">
        <f t="shared" ca="1" si="5"/>
        <v>1.5486301894119744E-2</v>
      </c>
      <c r="K20" s="19">
        <f t="shared" ca="1" si="6"/>
        <v>84.782949314167453</v>
      </c>
      <c r="L20" s="19">
        <f t="shared" ca="1" si="7"/>
        <v>-1.2929513141674533</v>
      </c>
      <c r="M20" s="19">
        <f t="shared" ca="1" si="8"/>
        <v>-2.7645595935872009</v>
      </c>
      <c r="AA20" s="34" t="s">
        <v>36</v>
      </c>
      <c r="AB20" s="34" t="s">
        <v>37</v>
      </c>
      <c r="AC20" s="34" t="s">
        <v>38</v>
      </c>
      <c r="AD20" s="34" t="s">
        <v>39</v>
      </c>
      <c r="AF20" s="36" t="s">
        <v>46</v>
      </c>
      <c r="AG20" s="36"/>
    </row>
    <row r="21" spans="2:33" x14ac:dyDescent="0.3">
      <c r="B21" s="28">
        <v>42660</v>
      </c>
      <c r="C21" s="25">
        <v>51.139999000000003</v>
      </c>
      <c r="D21" s="18">
        <f t="shared" si="0"/>
        <v>-1.2741312987283981E-2</v>
      </c>
      <c r="E21" s="32">
        <f t="shared" ca="1" si="1"/>
        <v>1.700291355791498E-2</v>
      </c>
      <c r="F21" s="18">
        <f t="shared" ca="1" si="2"/>
        <v>59.301440906564942</v>
      </c>
      <c r="G21" s="19">
        <f t="shared" ca="1" si="3"/>
        <v>-0.99143990656494196</v>
      </c>
      <c r="H21" s="27">
        <v>47.560001</v>
      </c>
      <c r="I21" s="19">
        <f t="shared" si="4"/>
        <v>8.417718855218137E-4</v>
      </c>
      <c r="J21" s="19">
        <f t="shared" ca="1" si="5"/>
        <v>-2.7211031383989469E-2</v>
      </c>
      <c r="K21" s="19">
        <f t="shared" ca="1" si="6"/>
        <v>81.218149044172776</v>
      </c>
      <c r="L21" s="19">
        <f t="shared" ca="1" si="7"/>
        <v>2.2718489558272239</v>
      </c>
      <c r="M21" s="19">
        <f t="shared" ca="1" si="8"/>
        <v>1.2804090492622819</v>
      </c>
      <c r="AA21" s="37">
        <v>1</v>
      </c>
      <c r="AB21" s="37">
        <v>1.7322783154939119</v>
      </c>
      <c r="AC21" s="37">
        <v>2.9209625921798579</v>
      </c>
      <c r="AD21" s="37">
        <v>3.4458631410132035</v>
      </c>
      <c r="AF21" s="21" t="s">
        <v>43</v>
      </c>
      <c r="AG21" s="21">
        <f>AVERAGE(AB21:AB10020)</f>
        <v>1.7879826117049815</v>
      </c>
    </row>
    <row r="22" spans="2:33" x14ac:dyDescent="0.3">
      <c r="B22" s="28">
        <v>42661</v>
      </c>
      <c r="C22" s="25">
        <v>52</v>
      </c>
      <c r="D22" s="18">
        <f t="shared" si="0"/>
        <v>1.6816601814951149E-2</v>
      </c>
      <c r="E22" s="32">
        <f t="shared" ca="1" si="1"/>
        <v>1.448693864021135E-2</v>
      </c>
      <c r="F22" s="18">
        <f t="shared" ca="1" si="2"/>
        <v>59.154734406597662</v>
      </c>
      <c r="G22" s="19">
        <f t="shared" ca="1" si="3"/>
        <v>-0.84473340659766194</v>
      </c>
      <c r="H22" s="27">
        <v>47.799999</v>
      </c>
      <c r="I22" s="19">
        <f t="shared" si="4"/>
        <v>5.0462152008785566E-3</v>
      </c>
      <c r="J22" s="19">
        <f t="shared" ca="1" si="5"/>
        <v>-1.5029672615051438E-2</v>
      </c>
      <c r="K22" s="19">
        <f t="shared" ca="1" si="6"/>
        <v>82.235170663428704</v>
      </c>
      <c r="L22" s="19">
        <f t="shared" ca="1" si="7"/>
        <v>1.2548273365712959</v>
      </c>
      <c r="M22" s="19">
        <f t="shared" ca="1" si="8"/>
        <v>0.41009392997363392</v>
      </c>
      <c r="AA22" s="37">
        <v>2</v>
      </c>
      <c r="AB22" s="37">
        <v>1.739198649174893</v>
      </c>
      <c r="AC22" s="37">
        <v>2.8063888907266525</v>
      </c>
      <c r="AD22" s="37">
        <v>3.3066482394654075</v>
      </c>
      <c r="AF22" s="21" t="s">
        <v>44</v>
      </c>
      <c r="AG22" s="21">
        <f>AVERAGE(AC21:AC10020)</f>
        <v>2.8451793061340269</v>
      </c>
    </row>
    <row r="23" spans="2:33" x14ac:dyDescent="0.3">
      <c r="B23" s="28">
        <v>42662</v>
      </c>
      <c r="C23" s="25">
        <v>53.299999</v>
      </c>
      <c r="D23" s="18">
        <f t="shared" si="0"/>
        <v>2.4999980769230712E-2</v>
      </c>
      <c r="E23" s="32">
        <f t="shared" ca="1" si="1"/>
        <v>8.8590315317422044E-4</v>
      </c>
      <c r="F23" s="18">
        <f t="shared" ca="1" si="2"/>
        <v>58.361658013747494</v>
      </c>
      <c r="G23" s="19">
        <f t="shared" ca="1" si="3"/>
        <v>-5.1657013747494318E-2</v>
      </c>
      <c r="H23" s="27">
        <v>48</v>
      </c>
      <c r="I23" s="19">
        <f t="shared" si="4"/>
        <v>4.1841214264459747E-3</v>
      </c>
      <c r="J23" s="19">
        <f t="shared" ca="1" si="5"/>
        <v>-2.7495809039609884E-2</v>
      </c>
      <c r="K23" s="19">
        <f t="shared" ca="1" si="6"/>
        <v>81.194372958274585</v>
      </c>
      <c r="L23" s="19">
        <f t="shared" ca="1" si="7"/>
        <v>2.2956250417254154</v>
      </c>
      <c r="M23" s="19">
        <f t="shared" ca="1" si="8"/>
        <v>2.2439680279779211</v>
      </c>
      <c r="AA23" s="37">
        <v>3</v>
      </c>
      <c r="AB23" s="37">
        <v>1.8208158418936733</v>
      </c>
      <c r="AC23" s="37">
        <v>3.0097211357298388</v>
      </c>
      <c r="AD23" s="37">
        <v>3.5421776494778525</v>
      </c>
      <c r="AF23" s="21" t="s">
        <v>45</v>
      </c>
      <c r="AG23" s="21">
        <f>AVERAGE(AD21:AD10020)</f>
        <v>3.3444563690296061</v>
      </c>
    </row>
    <row r="24" spans="2:33" x14ac:dyDescent="0.3">
      <c r="B24" s="28">
        <v>42663</v>
      </c>
      <c r="C24" s="25">
        <v>51.91</v>
      </c>
      <c r="D24" s="18">
        <f t="shared" si="0"/>
        <v>-2.6078780977087934E-2</v>
      </c>
      <c r="E24" s="32">
        <f t="shared" ca="1" si="1"/>
        <v>9.9951942258887684E-3</v>
      </c>
      <c r="F24" s="18">
        <f t="shared" ca="1" si="2"/>
        <v>58.89282078530676</v>
      </c>
      <c r="G24" s="19">
        <f t="shared" ca="1" si="3"/>
        <v>-0.58281978530676071</v>
      </c>
      <c r="H24" s="27">
        <v>47.869999</v>
      </c>
      <c r="I24" s="19">
        <f t="shared" si="4"/>
        <v>-2.7083541666667044E-3</v>
      </c>
      <c r="J24" s="19">
        <f t="shared" ca="1" si="5"/>
        <v>-3.6869464453821547E-2</v>
      </c>
      <c r="K24" s="19">
        <f t="shared" ca="1" si="6"/>
        <v>80.41176648648937</v>
      </c>
      <c r="L24" s="19">
        <f t="shared" ca="1" si="7"/>
        <v>3.0782315135106302</v>
      </c>
      <c r="M24" s="19">
        <f t="shared" ca="1" si="8"/>
        <v>2.4954117282038695</v>
      </c>
      <c r="AA24" s="37">
        <v>4</v>
      </c>
      <c r="AB24" s="37">
        <v>1.7793104577940626</v>
      </c>
      <c r="AC24" s="37">
        <v>2.8850282048439118</v>
      </c>
      <c r="AD24" s="37">
        <v>3.162453316974231</v>
      </c>
    </row>
    <row r="25" spans="2:33" x14ac:dyDescent="0.3">
      <c r="B25" s="28">
        <v>42664</v>
      </c>
      <c r="C25" s="25">
        <v>51.66</v>
      </c>
      <c r="D25" s="18">
        <f t="shared" si="0"/>
        <v>-4.8160277403197504E-3</v>
      </c>
      <c r="E25" s="32">
        <f t="shared" ca="1" si="1"/>
        <v>-2.0862268794660001E-2</v>
      </c>
      <c r="F25" s="18">
        <f t="shared" ca="1" si="2"/>
        <v>57.093522085721105</v>
      </c>
      <c r="G25" s="19">
        <f t="shared" ca="1" si="3"/>
        <v>1.2164789142788948</v>
      </c>
      <c r="H25" s="27">
        <v>47.799999</v>
      </c>
      <c r="I25" s="19">
        <f t="shared" si="4"/>
        <v>-1.4622937426842508E-3</v>
      </c>
      <c r="J25" s="19">
        <f t="shared" ca="1" si="5"/>
        <v>-6.1697871780257672E-3</v>
      </c>
      <c r="K25" s="19">
        <f t="shared" ca="1" si="6"/>
        <v>82.974882480846205</v>
      </c>
      <c r="L25" s="19">
        <f t="shared" ca="1" si="7"/>
        <v>0.51511551915379528</v>
      </c>
      <c r="M25" s="19">
        <f t="shared" ca="1" si="8"/>
        <v>1.73159443343269</v>
      </c>
      <c r="AA25" s="37">
        <v>5</v>
      </c>
      <c r="AB25" s="37">
        <v>1.6538685285842711</v>
      </c>
      <c r="AC25" s="37">
        <v>2.9058159532205132</v>
      </c>
      <c r="AD25" s="37">
        <v>3.2386074585229845</v>
      </c>
    </row>
    <row r="26" spans="2:33" x14ac:dyDescent="0.3">
      <c r="B26" s="28">
        <v>42667</v>
      </c>
      <c r="C26" s="25">
        <v>52.009998000000003</v>
      </c>
      <c r="D26" s="18">
        <f t="shared" si="0"/>
        <v>6.7750290360046872E-3</v>
      </c>
      <c r="E26" s="32">
        <f t="shared" ca="1" si="1"/>
        <v>2.6312772625250232E-2</v>
      </c>
      <c r="F26" s="18">
        <f t="shared" ca="1" si="2"/>
        <v>59.844298798091117</v>
      </c>
      <c r="G26" s="19">
        <f t="shared" ca="1" si="3"/>
        <v>-1.5342977980911172</v>
      </c>
      <c r="H26" s="27">
        <v>47.830002</v>
      </c>
      <c r="I26" s="19">
        <f t="shared" si="4"/>
        <v>6.2767783739903216E-4</v>
      </c>
      <c r="J26" s="19">
        <f t="shared" ca="1" si="5"/>
        <v>-3.0141139995595912E-2</v>
      </c>
      <c r="K26" s="19">
        <f t="shared" ca="1" si="6"/>
        <v>80.973514282049976</v>
      </c>
      <c r="L26" s="19">
        <f t="shared" ca="1" si="7"/>
        <v>2.5164837179500239</v>
      </c>
      <c r="M26" s="19">
        <f t="shared" ca="1" si="8"/>
        <v>0.98218591985890669</v>
      </c>
      <c r="AA26" s="37">
        <v>6</v>
      </c>
      <c r="AB26" s="37">
        <v>1.7263520203090486</v>
      </c>
      <c r="AC26" s="37">
        <v>3.0668438453356326</v>
      </c>
      <c r="AD26" s="37">
        <v>3.3548000211451066</v>
      </c>
    </row>
    <row r="27" spans="2:33" x14ac:dyDescent="0.3">
      <c r="B27" s="28">
        <v>42668</v>
      </c>
      <c r="C27" s="25">
        <v>51.240001999999997</v>
      </c>
      <c r="D27" s="18">
        <f t="shared" si="0"/>
        <v>-1.480476888309068E-2</v>
      </c>
      <c r="E27" s="32">
        <f t="shared" ca="1" si="1"/>
        <v>1.6562913294391298E-2</v>
      </c>
      <c r="F27" s="18">
        <f t="shared" ca="1" si="2"/>
        <v>59.275784490758866</v>
      </c>
      <c r="G27" s="19">
        <f t="shared" ca="1" si="3"/>
        <v>-0.96578349075886649</v>
      </c>
      <c r="H27" s="27">
        <v>48.029998999999997</v>
      </c>
      <c r="I27" s="19">
        <f t="shared" si="4"/>
        <v>4.1814131640638408E-3</v>
      </c>
      <c r="J27" s="19">
        <f t="shared" ca="1" si="5"/>
        <v>4.2449705218431201E-2</v>
      </c>
      <c r="K27" s="19">
        <f t="shared" ca="1" si="6"/>
        <v>87.034123803787409</v>
      </c>
      <c r="L27" s="19">
        <f t="shared" ca="1" si="7"/>
        <v>-3.5441258037874093</v>
      </c>
      <c r="M27" s="19">
        <f t="shared" ca="1" si="8"/>
        <v>-4.5099092945462758</v>
      </c>
      <c r="AA27" s="37">
        <v>7</v>
      </c>
      <c r="AB27" s="37">
        <v>1.8136034809728001</v>
      </c>
      <c r="AC27" s="37">
        <v>2.9701919689662195</v>
      </c>
      <c r="AD27" s="37">
        <v>3.4360860666874475</v>
      </c>
    </row>
    <row r="28" spans="2:33" x14ac:dyDescent="0.3">
      <c r="B28" s="28">
        <v>42669</v>
      </c>
      <c r="C28" s="25">
        <v>50.900002000000001</v>
      </c>
      <c r="D28" s="18">
        <f t="shared" si="0"/>
        <v>-6.6354408026759737E-3</v>
      </c>
      <c r="E28" s="32">
        <f t="shared" ca="1" si="1"/>
        <v>1.2305447306686175E-2</v>
      </c>
      <c r="F28" s="18">
        <f t="shared" ca="1" si="2"/>
        <v>59.027531644758319</v>
      </c>
      <c r="G28" s="19">
        <f t="shared" ca="1" si="3"/>
        <v>-0.71753064475831962</v>
      </c>
      <c r="H28" s="27">
        <v>47.41</v>
      </c>
      <c r="I28" s="19">
        <f t="shared" si="4"/>
        <v>-1.2908578240861557E-2</v>
      </c>
      <c r="J28" s="19">
        <f t="shared" ca="1" si="5"/>
        <v>-2.1946407651987125E-2</v>
      </c>
      <c r="K28" s="19">
        <f t="shared" ca="1" si="6"/>
        <v>81.657692469028419</v>
      </c>
      <c r="L28" s="19">
        <f t="shared" ca="1" si="7"/>
        <v>1.8323055309715812</v>
      </c>
      <c r="M28" s="19">
        <f t="shared" ca="1" si="8"/>
        <v>1.1147748862132616</v>
      </c>
      <c r="AA28" s="37">
        <v>8</v>
      </c>
      <c r="AB28" s="37">
        <v>1.7528091769367726</v>
      </c>
      <c r="AC28" s="37">
        <v>2.8693360680611373</v>
      </c>
      <c r="AD28" s="37">
        <v>3.3302605523216315</v>
      </c>
    </row>
    <row r="29" spans="2:33" x14ac:dyDescent="0.3">
      <c r="B29" s="28">
        <v>42670</v>
      </c>
      <c r="C29" s="25">
        <v>51.509998000000003</v>
      </c>
      <c r="D29" s="18">
        <f t="shared" si="0"/>
        <v>1.1984203851308273E-2</v>
      </c>
      <c r="E29" s="32">
        <f t="shared" ca="1" si="1"/>
        <v>4.2569081472667138E-3</v>
      </c>
      <c r="F29" s="18">
        <f t="shared" ca="1" si="2"/>
        <v>58.55822131832403</v>
      </c>
      <c r="G29" s="19">
        <f t="shared" ca="1" si="3"/>
        <v>-0.24822031832403013</v>
      </c>
      <c r="H29" s="27">
        <v>47.990001999999997</v>
      </c>
      <c r="I29" s="19">
        <f t="shared" si="4"/>
        <v>1.2233748154397706E-2</v>
      </c>
      <c r="J29" s="19">
        <f t="shared" ca="1" si="5"/>
        <v>-1.5302546171047534E-2</v>
      </c>
      <c r="K29" s="19">
        <f t="shared" ca="1" si="6"/>
        <v>82.212388450784331</v>
      </c>
      <c r="L29" s="19">
        <f t="shared" ca="1" si="7"/>
        <v>1.2776095492156685</v>
      </c>
      <c r="M29" s="19">
        <f t="shared" ca="1" si="8"/>
        <v>1.0293892308916384</v>
      </c>
      <c r="AA29" s="37">
        <v>9</v>
      </c>
      <c r="AB29" s="37">
        <v>1.7800310072671381</v>
      </c>
      <c r="AC29" s="37">
        <v>2.8032202156055885</v>
      </c>
      <c r="AD29" s="37">
        <v>3.2507531300567396</v>
      </c>
    </row>
    <row r="30" spans="2:33" x14ac:dyDescent="0.3">
      <c r="B30" s="28">
        <v>42671</v>
      </c>
      <c r="C30" s="25">
        <v>51.419998</v>
      </c>
      <c r="D30" s="18">
        <f t="shared" si="0"/>
        <v>-1.7472336147247303E-3</v>
      </c>
      <c r="E30" s="32">
        <f t="shared" ca="1" si="1"/>
        <v>-1.1630606944250414E-2</v>
      </c>
      <c r="F30" s="18">
        <f t="shared" ca="1" si="2"/>
        <v>57.631820297450147</v>
      </c>
      <c r="G30" s="19">
        <f t="shared" ca="1" si="3"/>
        <v>0.6781807025498523</v>
      </c>
      <c r="H30" s="27">
        <v>46.360000999999997</v>
      </c>
      <c r="I30" s="19">
        <f t="shared" si="4"/>
        <v>-3.3965428882457682E-2</v>
      </c>
      <c r="J30" s="19">
        <f t="shared" ca="1" si="5"/>
        <v>-1.5676819607199972E-2</v>
      </c>
      <c r="K30" s="19">
        <f t="shared" ca="1" si="6"/>
        <v>82.181140362348515</v>
      </c>
      <c r="L30" s="19">
        <f t="shared" ca="1" si="7"/>
        <v>1.3088576376514851</v>
      </c>
      <c r="M30" s="19">
        <f t="shared" ca="1" si="8"/>
        <v>1.9870383402013374</v>
      </c>
      <c r="AA30" s="37">
        <v>10</v>
      </c>
      <c r="AB30" s="37">
        <v>1.6513208448989642</v>
      </c>
      <c r="AC30" s="37">
        <v>2.891778033716184</v>
      </c>
      <c r="AD30" s="37">
        <v>3.3784612877374829</v>
      </c>
    </row>
    <row r="31" spans="2:33" x14ac:dyDescent="0.3">
      <c r="B31" s="28">
        <v>42674</v>
      </c>
      <c r="C31" s="25">
        <v>50.91</v>
      </c>
      <c r="D31" s="18">
        <f t="shared" si="0"/>
        <v>-9.9182812103572049E-3</v>
      </c>
      <c r="E31" s="32">
        <f t="shared" ca="1" si="1"/>
        <v>2.4439729321839073E-2</v>
      </c>
      <c r="F31" s="18">
        <f t="shared" ca="1" si="2"/>
        <v>59.73508164119616</v>
      </c>
      <c r="G31" s="19">
        <f t="shared" ca="1" si="3"/>
        <v>-1.4250806411961605</v>
      </c>
      <c r="H31" s="27">
        <v>46.57</v>
      </c>
      <c r="I31" s="19">
        <f t="shared" si="4"/>
        <v>4.5297453725250403E-3</v>
      </c>
      <c r="J31" s="19">
        <f t="shared" ca="1" si="5"/>
        <v>-1.0944044125051084E-2</v>
      </c>
      <c r="K31" s="19">
        <f t="shared" ca="1" si="6"/>
        <v>82.576279777887564</v>
      </c>
      <c r="L31" s="19">
        <f t="shared" ca="1" si="7"/>
        <v>0.91371822211243625</v>
      </c>
      <c r="M31" s="19">
        <f t="shared" ca="1" si="8"/>
        <v>-0.51136241908372426</v>
      </c>
      <c r="AA31" s="37">
        <v>11</v>
      </c>
      <c r="AB31" s="37">
        <v>1.764946604524847</v>
      </c>
      <c r="AC31" s="37">
        <v>2.7512846481856648</v>
      </c>
      <c r="AD31" s="37">
        <v>3.3480615973499854</v>
      </c>
    </row>
    <row r="32" spans="2:33" x14ac:dyDescent="0.3">
      <c r="B32" s="28">
        <v>42675</v>
      </c>
      <c r="C32" s="25">
        <v>50.130001</v>
      </c>
      <c r="D32" s="18">
        <f t="shared" si="0"/>
        <v>-1.5321135336868963E-2</v>
      </c>
      <c r="E32" s="32">
        <f t="shared" ca="1" si="1"/>
        <v>-2.3971898369623202E-2</v>
      </c>
      <c r="F32" s="18">
        <f t="shared" ca="1" si="2"/>
        <v>56.912199582095369</v>
      </c>
      <c r="G32" s="19">
        <f t="shared" ca="1" si="3"/>
        <v>1.3978014179046312</v>
      </c>
      <c r="H32" s="27">
        <v>45.689999</v>
      </c>
      <c r="I32" s="19">
        <f t="shared" si="4"/>
        <v>-1.8896306635172833E-2</v>
      </c>
      <c r="J32" s="19">
        <f t="shared" ca="1" si="5"/>
        <v>-1.9126365569926976E-2</v>
      </c>
      <c r="K32" s="19">
        <f t="shared" ca="1" si="6"/>
        <v>81.893137776819529</v>
      </c>
      <c r="L32" s="19">
        <f t="shared" ca="1" si="7"/>
        <v>1.5968602231804709</v>
      </c>
      <c r="M32" s="19">
        <f t="shared" ca="1" si="8"/>
        <v>2.9946616410851021</v>
      </c>
      <c r="AA32" s="37">
        <v>12</v>
      </c>
      <c r="AB32" s="37">
        <v>1.7112652369732089</v>
      </c>
      <c r="AC32" s="37">
        <v>2.8552834251539672</v>
      </c>
      <c r="AD32" s="37">
        <v>3.1096201219782791</v>
      </c>
    </row>
    <row r="33" spans="2:30" x14ac:dyDescent="0.3">
      <c r="B33" s="28">
        <v>42677</v>
      </c>
      <c r="C33" s="25">
        <v>48.75</v>
      </c>
      <c r="D33" s="18">
        <f t="shared" si="0"/>
        <v>-2.7528445491154074E-2</v>
      </c>
      <c r="E33" s="32">
        <f t="shared" ca="1" si="1"/>
        <v>5.1765986320799547E-2</v>
      </c>
      <c r="F33" s="18">
        <f t="shared" ca="1" si="2"/>
        <v>61.328475714131805</v>
      </c>
      <c r="G33" s="19">
        <f t="shared" ca="1" si="3"/>
        <v>-3.0184747141318056</v>
      </c>
      <c r="H33" s="27">
        <v>45</v>
      </c>
      <c r="I33" s="19">
        <f t="shared" si="4"/>
        <v>-1.5101751260708118E-2</v>
      </c>
      <c r="J33" s="19">
        <f t="shared" ca="1" si="5"/>
        <v>-1.013851695528073E-2</v>
      </c>
      <c r="K33" s="19">
        <f t="shared" ca="1" si="6"/>
        <v>82.643533239680636</v>
      </c>
      <c r="L33" s="19">
        <f t="shared" ca="1" si="7"/>
        <v>0.84646476031936402</v>
      </c>
      <c r="M33" s="19">
        <f t="shared" ca="1" si="8"/>
        <v>-2.1720099538124416</v>
      </c>
      <c r="AA33" s="37">
        <v>13</v>
      </c>
      <c r="AB33" s="37">
        <v>1.7706507881554121</v>
      </c>
      <c r="AC33" s="37">
        <v>2.7588531934222535</v>
      </c>
      <c r="AD33" s="37">
        <v>3.2000139119811424</v>
      </c>
    </row>
    <row r="34" spans="2:30" x14ac:dyDescent="0.3">
      <c r="B34" s="28">
        <v>42678</v>
      </c>
      <c r="C34" s="25">
        <v>49.669998</v>
      </c>
      <c r="D34" s="18">
        <f t="shared" si="0"/>
        <v>1.8871753846153805E-2</v>
      </c>
      <c r="E34" s="32">
        <f t="shared" ca="1" si="1"/>
        <v>4.8954658353804259E-5</v>
      </c>
      <c r="F34" s="18">
        <f t="shared" ca="1" si="2"/>
        <v>58.312855546177559</v>
      </c>
      <c r="G34" s="19">
        <f t="shared" ca="1" si="3"/>
        <v>-2.8545461775593139E-3</v>
      </c>
      <c r="H34" s="27">
        <v>47.27</v>
      </c>
      <c r="I34" s="19">
        <f t="shared" si="4"/>
        <v>5.0444444444444514E-2</v>
      </c>
      <c r="J34" s="19">
        <f t="shared" ca="1" si="5"/>
        <v>-8.8539752206599157E-3</v>
      </c>
      <c r="K34" s="19">
        <f t="shared" ca="1" si="6"/>
        <v>82.750779626535049</v>
      </c>
      <c r="L34" s="19">
        <f t="shared" ca="1" si="7"/>
        <v>0.73921837346495067</v>
      </c>
      <c r="M34" s="19">
        <f t="shared" ca="1" si="8"/>
        <v>0.73636382728739136</v>
      </c>
      <c r="AA34" s="37">
        <v>14</v>
      </c>
      <c r="AB34" s="37">
        <v>1.6558462709425532</v>
      </c>
      <c r="AC34" s="37">
        <v>2.9937480243418544</v>
      </c>
      <c r="AD34" s="37">
        <v>3.4040737573606155</v>
      </c>
    </row>
    <row r="35" spans="2:30" x14ac:dyDescent="0.3">
      <c r="B35" s="28">
        <v>42681</v>
      </c>
      <c r="C35" s="25">
        <v>51.73</v>
      </c>
      <c r="D35" s="18">
        <f t="shared" si="0"/>
        <v>4.1473768531256949E-2</v>
      </c>
      <c r="E35" s="32">
        <f t="shared" ca="1" si="1"/>
        <v>-2.397395853949616E-2</v>
      </c>
      <c r="F35" s="18">
        <f t="shared" ca="1" si="2"/>
        <v>56.912079453588021</v>
      </c>
      <c r="G35" s="19">
        <f t="shared" ca="1" si="3"/>
        <v>1.397921546411979</v>
      </c>
      <c r="H35" s="27">
        <v>48.509998000000003</v>
      </c>
      <c r="I35" s="19">
        <f t="shared" si="4"/>
        <v>2.623224032155691E-2</v>
      </c>
      <c r="J35" s="19">
        <f t="shared" ca="1" si="5"/>
        <v>-9.073091164000173E-3</v>
      </c>
      <c r="K35" s="19">
        <f t="shared" ca="1" si="6"/>
        <v>82.732485636863814</v>
      </c>
      <c r="L35" s="19">
        <f t="shared" ca="1" si="7"/>
        <v>0.7575123631361862</v>
      </c>
      <c r="M35" s="19">
        <f t="shared" ca="1" si="8"/>
        <v>2.1554339095481652</v>
      </c>
      <c r="AA35" s="37">
        <v>15</v>
      </c>
      <c r="AB35" s="37">
        <v>1.7719265457972622</v>
      </c>
      <c r="AC35" s="37">
        <v>2.9939351518386257</v>
      </c>
      <c r="AD35" s="37">
        <v>3.3668598746489882</v>
      </c>
    </row>
    <row r="36" spans="2:30" x14ac:dyDescent="0.3">
      <c r="B36" s="28">
        <v>42682</v>
      </c>
      <c r="C36" s="25">
        <v>52.009998000000003</v>
      </c>
      <c r="D36" s="18">
        <f t="shared" si="0"/>
        <v>5.412681229460814E-3</v>
      </c>
      <c r="E36" s="32">
        <f t="shared" ca="1" si="1"/>
        <v>-1.0037535425311347E-2</v>
      </c>
      <c r="F36" s="18">
        <f t="shared" ca="1" si="2"/>
        <v>57.724712299312557</v>
      </c>
      <c r="G36" s="19">
        <f t="shared" ca="1" si="3"/>
        <v>0.58528870068744254</v>
      </c>
      <c r="H36" s="27">
        <v>48.799999</v>
      </c>
      <c r="I36" s="19">
        <f t="shared" si="4"/>
        <v>5.9781696960696795E-3</v>
      </c>
      <c r="J36" s="19">
        <f t="shared" ca="1" si="5"/>
        <v>1.3348360380021299E-2</v>
      </c>
      <c r="K36" s="19">
        <f t="shared" ca="1" si="6"/>
        <v>84.604452581431261</v>
      </c>
      <c r="L36" s="19">
        <f t="shared" ca="1" si="7"/>
        <v>-1.1144545814312607</v>
      </c>
      <c r="M36" s="19">
        <f t="shared" ca="1" si="8"/>
        <v>-0.52916588074381821</v>
      </c>
      <c r="AA36" s="37">
        <v>16</v>
      </c>
      <c r="AB36" s="37">
        <v>1.6941087397577839</v>
      </c>
      <c r="AC36" s="37">
        <v>2.8966927157716582</v>
      </c>
      <c r="AD36" s="37">
        <v>3.2653619179891615</v>
      </c>
    </row>
    <row r="37" spans="2:30" x14ac:dyDescent="0.3">
      <c r="B37" s="28">
        <v>42683</v>
      </c>
      <c r="C37" s="25">
        <v>52.009998000000003</v>
      </c>
      <c r="D37" s="18">
        <f t="shared" si="0"/>
        <v>0</v>
      </c>
      <c r="E37" s="32">
        <f t="shared" ca="1" si="1"/>
        <v>1.6836981337924366E-2</v>
      </c>
      <c r="F37" s="18">
        <f t="shared" ca="1" si="2"/>
        <v>59.29176539865135</v>
      </c>
      <c r="G37" s="19">
        <f t="shared" ca="1" si="3"/>
        <v>-0.98176439865135023</v>
      </c>
      <c r="H37" s="27">
        <v>50.849997999999999</v>
      </c>
      <c r="I37" s="19">
        <f t="shared" si="4"/>
        <v>4.2008177090331555E-2</v>
      </c>
      <c r="J37" s="19">
        <f t="shared" ca="1" si="5"/>
        <v>1.6503736719173212E-2</v>
      </c>
      <c r="K37" s="19">
        <f t="shared" ca="1" si="6"/>
        <v>84.867894945676298</v>
      </c>
      <c r="L37" s="19">
        <f t="shared" ca="1" si="7"/>
        <v>-1.3778969456762979</v>
      </c>
      <c r="M37" s="19">
        <f t="shared" ca="1" si="8"/>
        <v>-2.3596613443276482</v>
      </c>
      <c r="AA37" s="37">
        <v>17</v>
      </c>
      <c r="AB37" s="37">
        <v>1.8225402125267813</v>
      </c>
      <c r="AC37" s="37">
        <v>3.0701492463754088</v>
      </c>
      <c r="AD37" s="37">
        <v>3.2272973626061572</v>
      </c>
    </row>
    <row r="38" spans="2:30" x14ac:dyDescent="0.3">
      <c r="B38" s="28">
        <v>42684</v>
      </c>
      <c r="C38" s="25">
        <v>50</v>
      </c>
      <c r="D38" s="18">
        <f t="shared" si="0"/>
        <v>-3.8646377183094716E-2</v>
      </c>
      <c r="E38" s="32">
        <f t="shared" ca="1" si="1"/>
        <v>2.7648766802138014E-2</v>
      </c>
      <c r="F38" s="18">
        <f t="shared" ca="1" si="2"/>
        <v>59.92220061988143</v>
      </c>
      <c r="G38" s="19">
        <f t="shared" ca="1" si="3"/>
        <v>-1.6121996198814301</v>
      </c>
      <c r="H38" s="27">
        <v>52.209999000000003</v>
      </c>
      <c r="I38" s="19">
        <f t="shared" si="4"/>
        <v>2.6745350117811206E-2</v>
      </c>
      <c r="J38" s="19">
        <f t="shared" ca="1" si="5"/>
        <v>-3.779846194238743E-2</v>
      </c>
      <c r="K38" s="19">
        <f t="shared" ca="1" si="6"/>
        <v>80.334204488026998</v>
      </c>
      <c r="L38" s="19">
        <f t="shared" ca="1" si="7"/>
        <v>3.1557935119730018</v>
      </c>
      <c r="M38" s="19">
        <f t="shared" ca="1" si="8"/>
        <v>1.5435938920915717</v>
      </c>
      <c r="AA38" s="37">
        <v>18</v>
      </c>
      <c r="AB38" s="37">
        <v>1.6732763846622276</v>
      </c>
      <c r="AC38" s="37">
        <v>2.6208811869337398</v>
      </c>
      <c r="AD38" s="37">
        <v>3.4970386782105543</v>
      </c>
    </row>
    <row r="39" spans="2:30" x14ac:dyDescent="0.3">
      <c r="B39" s="28">
        <v>42685</v>
      </c>
      <c r="C39" s="25">
        <v>49.93</v>
      </c>
      <c r="D39" s="18">
        <f t="shared" si="0"/>
        <v>-1.3999999999999568E-3</v>
      </c>
      <c r="E39" s="32">
        <f t="shared" ca="1" si="1"/>
        <v>-7.9002619540161361E-4</v>
      </c>
      <c r="F39" s="18">
        <f t="shared" ca="1" si="2"/>
        <v>58.26393457175611</v>
      </c>
      <c r="G39" s="19">
        <f t="shared" ca="1" si="3"/>
        <v>4.6066428243889845E-2</v>
      </c>
      <c r="H39" s="27">
        <v>55.689999</v>
      </c>
      <c r="I39" s="19">
        <f t="shared" si="4"/>
        <v>6.6653898997393046E-2</v>
      </c>
      <c r="J39" s="19">
        <f t="shared" ca="1" si="5"/>
        <v>-1.7543011442051799E-2</v>
      </c>
      <c r="K39" s="19">
        <f t="shared" ca="1" si="6"/>
        <v>82.025332009789111</v>
      </c>
      <c r="L39" s="19">
        <f t="shared" ca="1" si="7"/>
        <v>1.4646659902108894</v>
      </c>
      <c r="M39" s="19">
        <f t="shared" ca="1" si="8"/>
        <v>1.5107324184547792</v>
      </c>
      <c r="AA39" s="37">
        <v>19</v>
      </c>
      <c r="AB39" s="37">
        <v>1.7907000722051276</v>
      </c>
      <c r="AC39" s="37">
        <v>3.0846216905222863</v>
      </c>
      <c r="AD39" s="37">
        <v>3.1982892018006952</v>
      </c>
    </row>
    <row r="40" spans="2:30" x14ac:dyDescent="0.3">
      <c r="B40" s="28">
        <v>42688</v>
      </c>
      <c r="C40" s="25">
        <v>51.349997999999999</v>
      </c>
      <c r="D40" s="18">
        <f t="shared" si="0"/>
        <v>2.8439775685960234E-2</v>
      </c>
      <c r="E40" s="32">
        <f t="shared" ca="1" si="1"/>
        <v>-1.2360031291202575E-3</v>
      </c>
      <c r="F40" s="18">
        <f t="shared" ca="1" si="2"/>
        <v>58.237929656304992</v>
      </c>
      <c r="G40" s="19">
        <f t="shared" ca="1" si="3"/>
        <v>7.2071343695007783E-2</v>
      </c>
      <c r="H40" s="27">
        <v>57.330002</v>
      </c>
      <c r="I40" s="19">
        <f t="shared" si="4"/>
        <v>2.9448788462000053E-2</v>
      </c>
      <c r="J40" s="19">
        <f t="shared" ca="1" si="5"/>
        <v>-3.2628571319471542E-2</v>
      </c>
      <c r="K40" s="19">
        <f t="shared" ca="1" si="6"/>
        <v>80.76583864579446</v>
      </c>
      <c r="L40" s="19">
        <f t="shared" ca="1" si="7"/>
        <v>2.7241593542055398</v>
      </c>
      <c r="M40" s="19">
        <f t="shared" ca="1" si="8"/>
        <v>2.7962306979005476</v>
      </c>
      <c r="AA40" s="37">
        <v>20</v>
      </c>
      <c r="AB40" s="37">
        <v>1.6806117417306694</v>
      </c>
      <c r="AC40" s="37">
        <v>2.8090619978062161</v>
      </c>
      <c r="AD40" s="37">
        <v>3.4723529202585737</v>
      </c>
    </row>
    <row r="41" spans="2:30" x14ac:dyDescent="0.3">
      <c r="B41" s="28">
        <v>42689</v>
      </c>
      <c r="C41" s="25">
        <v>49.91</v>
      </c>
      <c r="D41" s="18">
        <f t="shared" si="0"/>
        <v>-2.8042805376545576E-2</v>
      </c>
      <c r="E41" s="32">
        <f t="shared" ca="1" si="1"/>
        <v>2.0381157649330642E-2</v>
      </c>
      <c r="F41" s="18">
        <f t="shared" ca="1" si="2"/>
        <v>59.49842632291363</v>
      </c>
      <c r="G41" s="19">
        <f t="shared" ca="1" si="3"/>
        <v>-1.1884253229136306</v>
      </c>
      <c r="H41" s="27">
        <v>54.889999000000003</v>
      </c>
      <c r="I41" s="19">
        <f t="shared" si="4"/>
        <v>-4.2560664833048434E-2</v>
      </c>
      <c r="J41" s="19">
        <f t="shared" ca="1" si="5"/>
        <v>1.1942139413336253E-2</v>
      </c>
      <c r="K41" s="19">
        <f t="shared" ca="1" si="6"/>
        <v>84.487047195735173</v>
      </c>
      <c r="L41" s="19">
        <f t="shared" ca="1" si="7"/>
        <v>-0.99704919573517259</v>
      </c>
      <c r="M41" s="19">
        <f t="shared" ca="1" si="8"/>
        <v>-2.1854745186488032</v>
      </c>
      <c r="AA41" s="37">
        <v>21</v>
      </c>
      <c r="AB41" s="37">
        <v>1.8104559756259431</v>
      </c>
      <c r="AC41" s="37">
        <v>2.848520769490765</v>
      </c>
      <c r="AD41" s="37">
        <v>3.1923224956939058</v>
      </c>
    </row>
    <row r="42" spans="2:30" x14ac:dyDescent="0.3">
      <c r="B42" s="28">
        <v>42690</v>
      </c>
      <c r="C42" s="25">
        <v>49.66</v>
      </c>
      <c r="D42" s="18">
        <f t="shared" si="0"/>
        <v>-5.0090162292125706E-3</v>
      </c>
      <c r="E42" s="32">
        <f t="shared" ca="1" si="1"/>
        <v>5.3989386420582727E-3</v>
      </c>
      <c r="F42" s="18">
        <f t="shared" ca="1" si="2"/>
        <v>58.624813117617357</v>
      </c>
      <c r="G42" s="19">
        <f t="shared" ca="1" si="3"/>
        <v>-0.3148121176173575</v>
      </c>
      <c r="H42" s="27">
        <v>53.91</v>
      </c>
      <c r="I42" s="19">
        <f t="shared" si="4"/>
        <v>-1.7853871704388347E-2</v>
      </c>
      <c r="J42" s="19">
        <f t="shared" ca="1" si="5"/>
        <v>-4.1776758279442881E-4</v>
      </c>
      <c r="K42" s="19">
        <f t="shared" ca="1" si="6"/>
        <v>83.455118585348032</v>
      </c>
      <c r="L42" s="19">
        <f t="shared" ca="1" si="7"/>
        <v>3.4879414651967977E-2</v>
      </c>
      <c r="M42" s="19">
        <f t="shared" ca="1" si="8"/>
        <v>-0.27993270296538952</v>
      </c>
      <c r="AA42" s="37">
        <v>22</v>
      </c>
      <c r="AB42" s="37">
        <v>1.7507311260275953</v>
      </c>
      <c r="AC42" s="37">
        <v>2.7419159047187858</v>
      </c>
      <c r="AD42" s="37">
        <v>3.4405332840934424</v>
      </c>
    </row>
    <row r="43" spans="2:30" x14ac:dyDescent="0.3">
      <c r="B43" s="28">
        <v>42691</v>
      </c>
      <c r="C43" s="25">
        <v>48.66</v>
      </c>
      <c r="D43" s="18">
        <f t="shared" si="0"/>
        <v>-2.0136931131695568E-2</v>
      </c>
      <c r="E43" s="32">
        <f t="shared" ca="1" si="1"/>
        <v>-1.7026961875853976E-2</v>
      </c>
      <c r="F43" s="18">
        <f t="shared" ca="1" si="2"/>
        <v>57.317158835991997</v>
      </c>
      <c r="G43" s="19">
        <f t="shared" ca="1" si="3"/>
        <v>0.99284216400800318</v>
      </c>
      <c r="H43" s="27">
        <v>54.25</v>
      </c>
      <c r="I43" s="19">
        <f t="shared" si="4"/>
        <v>6.3068076423669073E-3</v>
      </c>
      <c r="J43" s="19">
        <f t="shared" ca="1" si="5"/>
        <v>-2.6879670415807043E-2</v>
      </c>
      <c r="K43" s="19">
        <f t="shared" ca="1" si="6"/>
        <v>81.245814370743602</v>
      </c>
      <c r="L43" s="19">
        <f t="shared" ca="1" si="7"/>
        <v>2.2441836292563977</v>
      </c>
      <c r="M43" s="19">
        <f t="shared" ca="1" si="8"/>
        <v>3.2370257932644009</v>
      </c>
      <c r="AA43" s="37">
        <v>23</v>
      </c>
      <c r="AB43" s="37">
        <v>1.8118151983793513</v>
      </c>
      <c r="AC43" s="37">
        <v>2.9448216572289478</v>
      </c>
      <c r="AD43" s="37">
        <v>3.5759594971613815</v>
      </c>
    </row>
    <row r="44" spans="2:30" x14ac:dyDescent="0.3">
      <c r="B44" s="28">
        <v>42692</v>
      </c>
      <c r="C44" s="25">
        <v>46.549999</v>
      </c>
      <c r="D44" s="18">
        <f t="shared" si="0"/>
        <v>-4.3362124948623015E-2</v>
      </c>
      <c r="E44" s="32">
        <f t="shared" ca="1" si="1"/>
        <v>-2.1452053609914701E-3</v>
      </c>
      <c r="F44" s="18">
        <f t="shared" ca="1" si="2"/>
        <v>58.184914073255378</v>
      </c>
      <c r="G44" s="19">
        <f t="shared" ca="1" si="3"/>
        <v>0.12508692674462196</v>
      </c>
      <c r="H44" s="27">
        <v>53</v>
      </c>
      <c r="I44" s="19">
        <f t="shared" si="4"/>
        <v>-2.3041474654377891E-2</v>
      </c>
      <c r="J44" s="19">
        <f t="shared" ca="1" si="5"/>
        <v>3.0020089538706139E-2</v>
      </c>
      <c r="K44" s="19">
        <f t="shared" ca="1" si="6"/>
        <v>85.996375215546394</v>
      </c>
      <c r="L44" s="19">
        <f t="shared" ca="1" si="7"/>
        <v>-2.5063772155463937</v>
      </c>
      <c r="M44" s="19">
        <f t="shared" ca="1" si="8"/>
        <v>-2.3812902888017717</v>
      </c>
      <c r="AA44" s="37">
        <v>24</v>
      </c>
      <c r="AB44" s="37">
        <v>1.7315631018332169</v>
      </c>
      <c r="AC44" s="37">
        <v>2.9204148943472474</v>
      </c>
      <c r="AD44" s="37">
        <v>3.2906251702926088</v>
      </c>
    </row>
    <row r="45" spans="2:30" x14ac:dyDescent="0.3">
      <c r="B45" s="28">
        <v>42696</v>
      </c>
      <c r="C45" s="25">
        <v>48.049999</v>
      </c>
      <c r="D45" s="18">
        <f t="shared" si="0"/>
        <v>3.2223416374294711E-2</v>
      </c>
      <c r="E45" s="32">
        <f t="shared" ca="1" si="1"/>
        <v>3.5097389235167566E-2</v>
      </c>
      <c r="F45" s="18">
        <f t="shared" ca="1" si="2"/>
        <v>60.356529801400008</v>
      </c>
      <c r="G45" s="19">
        <f t="shared" ca="1" si="3"/>
        <v>-2.046528801400008</v>
      </c>
      <c r="H45" s="27">
        <v>55.52</v>
      </c>
      <c r="I45" s="19">
        <f t="shared" si="4"/>
        <v>4.7547169811320789E-2</v>
      </c>
      <c r="J45" s="19">
        <f t="shared" ca="1" si="5"/>
        <v>4.8794132464503818E-3</v>
      </c>
      <c r="K45" s="19">
        <f t="shared" ca="1" si="6"/>
        <v>83.897380202187321</v>
      </c>
      <c r="L45" s="19">
        <f t="shared" ca="1" si="7"/>
        <v>-0.40738220218732124</v>
      </c>
      <c r="M45" s="19">
        <f t="shared" ca="1" si="8"/>
        <v>-2.4539110035873293</v>
      </c>
      <c r="AA45" s="37">
        <v>25</v>
      </c>
      <c r="AB45" s="37">
        <v>1.6635823448174463</v>
      </c>
      <c r="AC45" s="37">
        <v>2.9288870566935565</v>
      </c>
      <c r="AD45" s="37">
        <v>3.4050517716194086</v>
      </c>
    </row>
    <row r="46" spans="2:30" x14ac:dyDescent="0.3">
      <c r="B46" s="28">
        <v>42697</v>
      </c>
      <c r="C46" s="25">
        <v>48.68</v>
      </c>
      <c r="D46" s="18">
        <f t="shared" si="0"/>
        <v>1.3111363436240753E-2</v>
      </c>
      <c r="E46" s="32">
        <f t="shared" ca="1" si="1"/>
        <v>-2.1487435588600744E-2</v>
      </c>
      <c r="F46" s="18">
        <f t="shared" ca="1" si="2"/>
        <v>57.05706860934125</v>
      </c>
      <c r="G46" s="19">
        <f t="shared" ca="1" si="3"/>
        <v>1.2529323906587493</v>
      </c>
      <c r="H46" s="27">
        <v>56.099997999999999</v>
      </c>
      <c r="I46" s="19">
        <f t="shared" si="4"/>
        <v>1.0446649855907708E-2</v>
      </c>
      <c r="J46" s="19">
        <f t="shared" ca="1" si="5"/>
        <v>-1.0737429929836839E-3</v>
      </c>
      <c r="K46" s="19">
        <f t="shared" ca="1" si="6"/>
        <v>83.400351199663277</v>
      </c>
      <c r="L46" s="19">
        <f t="shared" ca="1" si="7"/>
        <v>8.9646800336723231E-2</v>
      </c>
      <c r="M46" s="19">
        <f t="shared" ca="1" si="8"/>
        <v>1.3425791909954725</v>
      </c>
      <c r="AA46" s="37">
        <v>26</v>
      </c>
      <c r="AB46" s="37">
        <v>1.7329602855018873</v>
      </c>
      <c r="AC46" s="37">
        <v>3.0081513160271265</v>
      </c>
      <c r="AD46" s="37">
        <v>3.2482800745598821</v>
      </c>
    </row>
    <row r="47" spans="2:30" x14ac:dyDescent="0.3">
      <c r="B47" s="28">
        <v>42698</v>
      </c>
      <c r="C47" s="25">
        <v>48.169998</v>
      </c>
      <c r="D47" s="18">
        <f t="shared" si="0"/>
        <v>-1.0476622843056727E-2</v>
      </c>
      <c r="E47" s="32">
        <f t="shared" ca="1" si="1"/>
        <v>-3.1227262668854744E-3</v>
      </c>
      <c r="F47" s="18">
        <f t="shared" ca="1" si="2"/>
        <v>58.127914828255179</v>
      </c>
      <c r="G47" s="19">
        <f t="shared" ca="1" si="3"/>
        <v>0.182086171744821</v>
      </c>
      <c r="H47" s="27">
        <v>57.919998</v>
      </c>
      <c r="I47" s="19">
        <f t="shared" si="4"/>
        <v>3.2442068892765352E-2</v>
      </c>
      <c r="J47" s="19">
        <f t="shared" ca="1" si="5"/>
        <v>-1.6550293955075054E-2</v>
      </c>
      <c r="K47" s="19">
        <f t="shared" ca="1" si="6"/>
        <v>82.10821399079137</v>
      </c>
      <c r="L47" s="19">
        <f t="shared" ca="1" si="7"/>
        <v>1.38178400920863</v>
      </c>
      <c r="M47" s="19">
        <f t="shared" ca="1" si="8"/>
        <v>1.563870180953451</v>
      </c>
      <c r="AA47" s="37">
        <v>27</v>
      </c>
      <c r="AB47" s="37">
        <v>1.7938492663963577</v>
      </c>
      <c r="AC47" s="37">
        <v>2.9007573401975435</v>
      </c>
      <c r="AD47" s="37">
        <v>3.4625956833675522</v>
      </c>
    </row>
    <row r="48" spans="2:30" x14ac:dyDescent="0.3">
      <c r="B48" s="28">
        <v>42699</v>
      </c>
      <c r="C48" s="25">
        <v>48.57</v>
      </c>
      <c r="D48" s="18">
        <f t="shared" si="0"/>
        <v>8.3039654682983688E-3</v>
      </c>
      <c r="E48" s="32">
        <f t="shared" ca="1" si="1"/>
        <v>2.0030705252141054E-2</v>
      </c>
      <c r="F48" s="18">
        <f t="shared" ca="1" si="2"/>
        <v>59.477991443283052</v>
      </c>
      <c r="G48" s="19">
        <f t="shared" ca="1" si="3"/>
        <v>-1.1679904432830526</v>
      </c>
      <c r="H48" s="27">
        <v>58.34</v>
      </c>
      <c r="I48" s="19">
        <f t="shared" si="4"/>
        <v>7.2514159962506763E-3</v>
      </c>
      <c r="J48" s="19">
        <f t="shared" ca="1" si="5"/>
        <v>3.3991500731231646E-2</v>
      </c>
      <c r="K48" s="19">
        <f t="shared" ca="1" si="6"/>
        <v>86.327948328067535</v>
      </c>
      <c r="L48" s="19">
        <f t="shared" ca="1" si="7"/>
        <v>-2.8379503280675351</v>
      </c>
      <c r="M48" s="19">
        <f t="shared" ca="1" si="8"/>
        <v>-4.0059407713505877</v>
      </c>
      <c r="AA48" s="37">
        <v>28</v>
      </c>
      <c r="AB48" s="37">
        <v>1.7501349059780551</v>
      </c>
      <c r="AC48" s="37">
        <v>2.7360443749165833</v>
      </c>
      <c r="AD48" s="37">
        <v>3.3701036535454114</v>
      </c>
    </row>
    <row r="49" spans="2:30" x14ac:dyDescent="0.3">
      <c r="B49" s="28">
        <v>42702</v>
      </c>
      <c r="C49" s="25">
        <v>47.959999000000003</v>
      </c>
      <c r="D49" s="18">
        <f t="shared" si="0"/>
        <v>-1.2559213506279532E-2</v>
      </c>
      <c r="E49" s="32">
        <f t="shared" ca="1" si="1"/>
        <v>-4.9157524474780301E-3</v>
      </c>
      <c r="F49" s="18">
        <f t="shared" ca="1" si="2"/>
        <v>58.023363469871803</v>
      </c>
      <c r="G49" s="19">
        <f t="shared" ca="1" si="3"/>
        <v>0.28663753012819626</v>
      </c>
      <c r="H49" s="27">
        <v>58.139999000000003</v>
      </c>
      <c r="I49" s="19">
        <f t="shared" si="4"/>
        <v>-3.428196777511161E-3</v>
      </c>
      <c r="J49" s="19">
        <f t="shared" ca="1" si="5"/>
        <v>1.1406659979916696E-2</v>
      </c>
      <c r="K49" s="19">
        <f t="shared" ca="1" si="6"/>
        <v>84.442340018909931</v>
      </c>
      <c r="L49" s="19">
        <f t="shared" ca="1" si="7"/>
        <v>-0.9523420189099312</v>
      </c>
      <c r="M49" s="19">
        <f t="shared" ca="1" si="8"/>
        <v>-0.66570448878173494</v>
      </c>
      <c r="AA49" s="37">
        <v>29</v>
      </c>
      <c r="AB49" s="37">
        <v>1.8570089550083642</v>
      </c>
      <c r="AC49" s="37">
        <v>2.8982186130010406</v>
      </c>
      <c r="AD49" s="37">
        <v>3.2424762266933356</v>
      </c>
    </row>
    <row r="50" spans="2:30" x14ac:dyDescent="0.3">
      <c r="B50" s="28">
        <v>42703</v>
      </c>
      <c r="C50" s="25">
        <v>47.34</v>
      </c>
      <c r="D50" s="18">
        <f t="shared" si="0"/>
        <v>-1.2927418951781067E-2</v>
      </c>
      <c r="E50" s="32">
        <f t="shared" ca="1" si="1"/>
        <v>1.2572405924081789E-2</v>
      </c>
      <c r="F50" s="18">
        <f t="shared" ca="1" si="2"/>
        <v>59.043098002005607</v>
      </c>
      <c r="G50" s="19">
        <f t="shared" ca="1" si="3"/>
        <v>-0.73309700200560712</v>
      </c>
      <c r="H50" s="27">
        <v>57.43</v>
      </c>
      <c r="I50" s="19">
        <f t="shared" si="4"/>
        <v>-1.2211885314961979E-2</v>
      </c>
      <c r="J50" s="19">
        <f t="shared" ca="1" si="5"/>
        <v>-2.1758559076475868E-2</v>
      </c>
      <c r="K50" s="19">
        <f t="shared" ca="1" si="6"/>
        <v>81.673375946222151</v>
      </c>
      <c r="L50" s="19">
        <f t="shared" ca="1" si="7"/>
        <v>1.8166220537778486</v>
      </c>
      <c r="M50" s="19">
        <f t="shared" ca="1" si="8"/>
        <v>1.0835250517722415</v>
      </c>
      <c r="AA50" s="37">
        <v>30</v>
      </c>
      <c r="AB50" s="37">
        <v>1.8517189568228034</v>
      </c>
      <c r="AC50" s="37">
        <v>2.9417804870329518</v>
      </c>
      <c r="AD50" s="37">
        <v>3.4519905801586197</v>
      </c>
    </row>
    <row r="51" spans="2:30" x14ac:dyDescent="0.3">
      <c r="B51" s="28">
        <v>42704</v>
      </c>
      <c r="C51" s="25">
        <v>47.349997999999999</v>
      </c>
      <c r="D51" s="18">
        <f t="shared" si="0"/>
        <v>2.1119560625249001E-4</v>
      </c>
      <c r="E51" s="32">
        <f t="shared" ca="1" si="1"/>
        <v>9.4232102557899201E-3</v>
      </c>
      <c r="F51" s="18">
        <f t="shared" ca="1" si="2"/>
        <v>58.859468399438313</v>
      </c>
      <c r="G51" s="19">
        <f t="shared" ca="1" si="3"/>
        <v>-0.54946739943831346</v>
      </c>
      <c r="H51" s="27">
        <v>56.299999</v>
      </c>
      <c r="I51" s="19">
        <f t="shared" si="4"/>
        <v>-1.9676144872018075E-2</v>
      </c>
      <c r="J51" s="19">
        <f t="shared" ca="1" si="5"/>
        <v>-2.0601814672150418E-2</v>
      </c>
      <c r="K51" s="19">
        <f t="shared" ca="1" si="6"/>
        <v>81.769952534225794</v>
      </c>
      <c r="L51" s="19">
        <f t="shared" ca="1" si="7"/>
        <v>1.7200454657742057</v>
      </c>
      <c r="M51" s="19">
        <f t="shared" ca="1" si="8"/>
        <v>1.1705780663358922</v>
      </c>
      <c r="AA51" s="37">
        <v>31</v>
      </c>
      <c r="AB51" s="37">
        <v>1.8833024533590994</v>
      </c>
      <c r="AC51" s="37">
        <v>2.6438909813100846</v>
      </c>
      <c r="AD51" s="37">
        <v>3.2626977512141484</v>
      </c>
    </row>
    <row r="52" spans="2:30" x14ac:dyDescent="0.3">
      <c r="B52" s="28">
        <v>42705</v>
      </c>
      <c r="C52" s="25">
        <v>46.830002</v>
      </c>
      <c r="D52" s="18">
        <f t="shared" si="0"/>
        <v>-1.0981964561012192E-2</v>
      </c>
      <c r="E52" s="32">
        <f t="shared" ca="1" si="1"/>
        <v>-1.9266339861767501E-2</v>
      </c>
      <c r="F52" s="18">
        <f t="shared" ca="1" si="2"/>
        <v>57.186580703393993</v>
      </c>
      <c r="G52" s="19">
        <f t="shared" ca="1" si="3"/>
        <v>1.1234202966060067</v>
      </c>
      <c r="H52" s="27">
        <v>57.5</v>
      </c>
      <c r="I52" s="19">
        <f t="shared" si="4"/>
        <v>2.1314405351943178E-2</v>
      </c>
      <c r="J52" s="19">
        <f t="shared" ca="1" si="5"/>
        <v>1.2811774848041663E-2</v>
      </c>
      <c r="K52" s="19">
        <f t="shared" ca="1" si="6"/>
        <v>84.559653056439444</v>
      </c>
      <c r="L52" s="19">
        <f t="shared" ca="1" si="7"/>
        <v>-1.0696550564394443</v>
      </c>
      <c r="M52" s="19">
        <f t="shared" ca="1" si="8"/>
        <v>5.3765240166562478E-2</v>
      </c>
      <c r="AA52" s="37">
        <v>32</v>
      </c>
      <c r="AB52" s="37">
        <v>1.8224156654853096</v>
      </c>
      <c r="AC52" s="37">
        <v>2.7306377190935955</v>
      </c>
      <c r="AD52" s="37">
        <v>3.3215221633043761</v>
      </c>
    </row>
    <row r="53" spans="2:30" x14ac:dyDescent="0.3">
      <c r="B53" s="28">
        <v>42706</v>
      </c>
      <c r="C53" s="25">
        <v>45.369999</v>
      </c>
      <c r="D53" s="18">
        <f t="shared" si="0"/>
        <v>-3.1176658929034429E-2</v>
      </c>
      <c r="E53" s="32">
        <f t="shared" ca="1" si="1"/>
        <v>9.8650438249330858E-3</v>
      </c>
      <c r="F53" s="18">
        <f t="shared" ca="1" si="2"/>
        <v>58.885231715296889</v>
      </c>
      <c r="G53" s="19">
        <f t="shared" ca="1" si="3"/>
        <v>-0.57523071529688963</v>
      </c>
      <c r="H53" s="27">
        <v>58.950001</v>
      </c>
      <c r="I53" s="19">
        <f t="shared" si="4"/>
        <v>2.5217408695652255E-2</v>
      </c>
      <c r="J53" s="19">
        <f t="shared" ca="1" si="5"/>
        <v>3.1912087956464589E-3</v>
      </c>
      <c r="K53" s="19">
        <f t="shared" ca="1" si="6"/>
        <v>83.756432015966112</v>
      </c>
      <c r="L53" s="19">
        <f t="shared" ca="1" si="7"/>
        <v>-0.26643401596611227</v>
      </c>
      <c r="M53" s="19">
        <f t="shared" ca="1" si="8"/>
        <v>-0.8416647312630019</v>
      </c>
      <c r="AA53" s="37">
        <v>33</v>
      </c>
      <c r="AB53" s="37">
        <v>1.8050753381362863</v>
      </c>
      <c r="AC53" s="37">
        <v>2.7345802993871331</v>
      </c>
      <c r="AD53" s="37">
        <v>3.3315219934605875</v>
      </c>
    </row>
    <row r="54" spans="2:30" x14ac:dyDescent="0.3">
      <c r="B54" s="28">
        <v>42709</v>
      </c>
      <c r="C54" s="25">
        <v>46.209999000000003</v>
      </c>
      <c r="D54" s="18">
        <f t="shared" si="0"/>
        <v>1.8514437260622518E-2</v>
      </c>
      <c r="E54" s="32">
        <f t="shared" ca="1" si="1"/>
        <v>8.4890428132444167E-3</v>
      </c>
      <c r="F54" s="18">
        <f t="shared" ca="1" si="2"/>
        <v>58.804997094929327</v>
      </c>
      <c r="G54" s="19">
        <f t="shared" ca="1" si="3"/>
        <v>-0.49499609492932706</v>
      </c>
      <c r="H54" s="27">
        <v>61.279998999999997</v>
      </c>
      <c r="I54" s="19">
        <f t="shared" si="4"/>
        <v>3.9524986606870316E-2</v>
      </c>
      <c r="J54" s="19">
        <f t="shared" ca="1" si="5"/>
        <v>-4.4519818282892469E-3</v>
      </c>
      <c r="K54" s="19">
        <f t="shared" ca="1" si="6"/>
        <v>83.118302046060094</v>
      </c>
      <c r="L54" s="19">
        <f t="shared" ca="1" si="7"/>
        <v>0.37169595393990562</v>
      </c>
      <c r="M54" s="19">
        <f t="shared" ca="1" si="8"/>
        <v>-0.12330014098942144</v>
      </c>
      <c r="AA54" s="37">
        <v>34</v>
      </c>
      <c r="AB54" s="37">
        <v>1.8349413634202427</v>
      </c>
      <c r="AC54" s="37">
        <v>2.9347488499172782</v>
      </c>
      <c r="AD54" s="37">
        <v>3.3220066757944831</v>
      </c>
    </row>
    <row r="55" spans="2:30" x14ac:dyDescent="0.3">
      <c r="B55" s="28">
        <v>42710</v>
      </c>
      <c r="C55" s="25">
        <v>47.619999</v>
      </c>
      <c r="D55" s="18">
        <f t="shared" si="0"/>
        <v>3.0512876661174415E-2</v>
      </c>
      <c r="E55" s="32">
        <f t="shared" ca="1" si="1"/>
        <v>-1.5212426947333439E-3</v>
      </c>
      <c r="F55" s="18">
        <f t="shared" ca="1" si="2"/>
        <v>58.221297336948858</v>
      </c>
      <c r="G55" s="19">
        <f t="shared" ca="1" si="3"/>
        <v>8.8703663051141746E-2</v>
      </c>
      <c r="H55" s="27">
        <v>60.91</v>
      </c>
      <c r="I55" s="19">
        <f t="shared" si="4"/>
        <v>-6.0378427878238217E-3</v>
      </c>
      <c r="J55" s="19">
        <f t="shared" ca="1" si="5"/>
        <v>2.9022136769363303E-2</v>
      </c>
      <c r="K55" s="19">
        <f t="shared" ca="1" si="6"/>
        <v>85.913056140829866</v>
      </c>
      <c r="L55" s="19">
        <f t="shared" ca="1" si="7"/>
        <v>-2.4230581408298661</v>
      </c>
      <c r="M55" s="19">
        <f t="shared" ca="1" si="8"/>
        <v>-2.3343544777787244</v>
      </c>
      <c r="O55" s="35" t="s">
        <v>32</v>
      </c>
      <c r="P55" s="35"/>
      <c r="Q55" s="35"/>
      <c r="R55" s="35"/>
      <c r="S55" s="35"/>
      <c r="T55" s="35"/>
      <c r="U55" s="35"/>
      <c r="V55" s="35"/>
      <c r="W55" s="35"/>
      <c r="X55" s="35"/>
      <c r="Y55" s="35"/>
      <c r="AA55" s="37">
        <v>35</v>
      </c>
      <c r="AB55" s="37">
        <v>1.8753996643828614</v>
      </c>
      <c r="AC55" s="37">
        <v>2.8527893980753363</v>
      </c>
      <c r="AD55" s="37">
        <v>3.1365594182989964</v>
      </c>
    </row>
    <row r="56" spans="2:30" x14ac:dyDescent="0.3">
      <c r="B56" s="28">
        <v>42711</v>
      </c>
      <c r="C56" s="25">
        <v>47.209999000000003</v>
      </c>
      <c r="D56" s="18">
        <f t="shared" si="0"/>
        <v>-8.6098279842465875E-3</v>
      </c>
      <c r="E56" s="32">
        <f t="shared" ca="1" si="1"/>
        <v>-5.2596894059383191E-3</v>
      </c>
      <c r="F56" s="18">
        <f t="shared" ca="1" si="2"/>
        <v>58.003308505480042</v>
      </c>
      <c r="G56" s="19">
        <f t="shared" ca="1" si="3"/>
        <v>0.30669249451995739</v>
      </c>
      <c r="H56" s="27">
        <v>61.080002</v>
      </c>
      <c r="I56" s="19">
        <f t="shared" si="4"/>
        <v>2.7910359546872154E-3</v>
      </c>
      <c r="J56" s="19">
        <f t="shared" ca="1" si="5"/>
        <v>4.2487319442810437E-2</v>
      </c>
      <c r="K56" s="19">
        <f t="shared" ca="1" si="6"/>
        <v>87.037264215305598</v>
      </c>
      <c r="L56" s="19">
        <f t="shared" ca="1" si="7"/>
        <v>-3.5472662153055978</v>
      </c>
      <c r="M56" s="19">
        <f t="shared" ca="1" si="8"/>
        <v>-3.2405737207856404</v>
      </c>
      <c r="AA56" s="37">
        <v>36</v>
      </c>
      <c r="AB56" s="37">
        <v>1.6902901034461701</v>
      </c>
      <c r="AC56" s="37">
        <v>2.854078306182207</v>
      </c>
      <c r="AD56" s="37">
        <v>3.3071162774030487</v>
      </c>
    </row>
    <row r="57" spans="2:30" x14ac:dyDescent="0.3">
      <c r="B57" s="28">
        <v>42712</v>
      </c>
      <c r="C57" s="25">
        <v>47.509998000000003</v>
      </c>
      <c r="D57" s="18">
        <f t="shared" si="0"/>
        <v>6.354564845468369E-3</v>
      </c>
      <c r="E57" s="32">
        <f t="shared" ca="1" si="1"/>
        <v>-1.1006108144178305E-2</v>
      </c>
      <c r="F57" s="18">
        <f t="shared" ca="1" si="2"/>
        <v>57.66823482310685</v>
      </c>
      <c r="G57" s="19">
        <f t="shared" ca="1" si="3"/>
        <v>0.64176617689314952</v>
      </c>
      <c r="H57" s="27">
        <v>62.509998000000003</v>
      </c>
      <c r="I57" s="19">
        <f t="shared" si="4"/>
        <v>2.3411852540541789E-2</v>
      </c>
      <c r="J57" s="19">
        <f t="shared" ca="1" si="5"/>
        <v>1.4161387576964047E-2</v>
      </c>
      <c r="K57" s="19">
        <f t="shared" ca="1" si="6"/>
        <v>84.672332220477941</v>
      </c>
      <c r="L57" s="19">
        <f t="shared" ca="1" si="7"/>
        <v>-1.1823342204779408</v>
      </c>
      <c r="M57" s="19">
        <f t="shared" ca="1" si="8"/>
        <v>-0.54056804358479127</v>
      </c>
      <c r="AA57" s="37">
        <v>37</v>
      </c>
      <c r="AB57" s="37">
        <v>1.8939395715778127</v>
      </c>
      <c r="AC57" s="37">
        <v>2.6717062651252181</v>
      </c>
      <c r="AD57" s="37">
        <v>3.4107162877704829</v>
      </c>
    </row>
    <row r="58" spans="2:30" x14ac:dyDescent="0.3">
      <c r="B58" s="28">
        <v>42713</v>
      </c>
      <c r="C58" s="25">
        <v>47.360000999999997</v>
      </c>
      <c r="D58" s="18">
        <f t="shared" si="0"/>
        <v>-3.157167045134468E-3</v>
      </c>
      <c r="E58" s="32">
        <f t="shared" ca="1" si="1"/>
        <v>1.3036958425899645E-2</v>
      </c>
      <c r="F58" s="18">
        <f t="shared" ca="1" si="2"/>
        <v>59.070186058851164</v>
      </c>
      <c r="G58" s="19">
        <f t="shared" ca="1" si="3"/>
        <v>-0.76018505885116383</v>
      </c>
      <c r="H58" s="27">
        <v>63.200001</v>
      </c>
      <c r="I58" s="19">
        <f t="shared" si="4"/>
        <v>1.1038282228068574E-2</v>
      </c>
      <c r="J58" s="19">
        <f t="shared" ca="1" si="5"/>
        <v>1.8765443728762824E-2</v>
      </c>
      <c r="K58" s="19">
        <f t="shared" ca="1" si="6"/>
        <v>85.056724859383522</v>
      </c>
      <c r="L58" s="19">
        <f t="shared" ca="1" si="7"/>
        <v>-1.5667268593835217</v>
      </c>
      <c r="M58" s="19">
        <f t="shared" ca="1" si="8"/>
        <v>-2.3269119182346856</v>
      </c>
      <c r="AA58" s="37">
        <v>38</v>
      </c>
      <c r="AB58" s="37">
        <v>1.7721114667326019</v>
      </c>
      <c r="AC58" s="37">
        <v>2.897459887472952</v>
      </c>
      <c r="AD58" s="37">
        <v>3.234252357119769</v>
      </c>
    </row>
    <row r="59" spans="2:30" x14ac:dyDescent="0.3">
      <c r="B59" s="28">
        <v>42717</v>
      </c>
      <c r="C59" s="25">
        <v>47.740001999999997</v>
      </c>
      <c r="D59" s="18">
        <f t="shared" si="0"/>
        <v>8.0236695940947289E-3</v>
      </c>
      <c r="E59" s="32">
        <f t="shared" ca="1" si="1"/>
        <v>-1.666858946074504E-2</v>
      </c>
      <c r="F59" s="18">
        <f t="shared" ca="1" si="2"/>
        <v>57.338055531875369</v>
      </c>
      <c r="G59" s="19">
        <f t="shared" ca="1" si="3"/>
        <v>0.97194546812463045</v>
      </c>
      <c r="H59" s="27">
        <v>60.77</v>
      </c>
      <c r="I59" s="19">
        <f t="shared" si="4"/>
        <v>-3.8449382303016089E-2</v>
      </c>
      <c r="J59" s="19">
        <f t="shared" ca="1" si="5"/>
        <v>-1.9909211648811865E-3</v>
      </c>
      <c r="K59" s="19">
        <f t="shared" ca="1" si="6"/>
        <v>83.323775995925914</v>
      </c>
      <c r="L59" s="19">
        <f t="shared" ca="1" si="7"/>
        <v>0.16622200407408627</v>
      </c>
      <c r="M59" s="19">
        <f t="shared" ca="1" si="8"/>
        <v>1.1381674721987167</v>
      </c>
      <c r="AA59" s="37">
        <v>39</v>
      </c>
      <c r="AB59" s="37">
        <v>1.806317138534606</v>
      </c>
      <c r="AC59" s="37">
        <v>2.8719157350356745</v>
      </c>
      <c r="AD59" s="37">
        <v>3.2859795498568234</v>
      </c>
    </row>
    <row r="60" spans="2:30" x14ac:dyDescent="0.3">
      <c r="B60" s="28">
        <v>42718</v>
      </c>
      <c r="C60" s="25">
        <v>46.830002</v>
      </c>
      <c r="D60" s="18">
        <f t="shared" si="0"/>
        <v>-1.9061582779154373E-2</v>
      </c>
      <c r="E60" s="32">
        <f t="shared" ca="1" si="1"/>
        <v>-4.6835492736194695E-3</v>
      </c>
      <c r="F60" s="18">
        <f t="shared" ca="1" si="2"/>
        <v>58.0369032371717</v>
      </c>
      <c r="G60" s="19">
        <f t="shared" ca="1" si="3"/>
        <v>0.27309776282830001</v>
      </c>
      <c r="H60" s="27">
        <v>61.02</v>
      </c>
      <c r="I60" s="19">
        <f t="shared" si="4"/>
        <v>4.1138719763040843E-3</v>
      </c>
      <c r="J60" s="19">
        <f t="shared" ca="1" si="5"/>
        <v>-9.4234922505916745E-3</v>
      </c>
      <c r="K60" s="19">
        <f t="shared" ca="1" si="6"/>
        <v>82.703230650845086</v>
      </c>
      <c r="L60" s="19">
        <f t="shared" ca="1" si="7"/>
        <v>0.78676734915491409</v>
      </c>
      <c r="M60" s="19">
        <f t="shared" ca="1" si="8"/>
        <v>1.0598651119832141</v>
      </c>
      <c r="AA60" s="37">
        <v>40</v>
      </c>
      <c r="AB60" s="37">
        <v>1.7688937983577486</v>
      </c>
      <c r="AC60" s="37">
        <v>3.0350994748395106</v>
      </c>
      <c r="AD60" s="37">
        <v>3.4561108265069773</v>
      </c>
    </row>
    <row r="61" spans="2:30" x14ac:dyDescent="0.3">
      <c r="B61" s="28">
        <v>42719</v>
      </c>
      <c r="C61" s="25">
        <v>46.509998000000003</v>
      </c>
      <c r="D61" s="18">
        <f t="shared" si="0"/>
        <v>-6.8333116876654332E-3</v>
      </c>
      <c r="E61" s="32">
        <f t="shared" ca="1" si="1"/>
        <v>2.0953327564405707E-2</v>
      </c>
      <c r="F61" s="18">
        <f t="shared" ca="1" si="2"/>
        <v>59.531789551233821</v>
      </c>
      <c r="G61" s="19">
        <f t="shared" ca="1" si="3"/>
        <v>-1.2217885512338214</v>
      </c>
      <c r="H61" s="27">
        <v>59.720001000000003</v>
      </c>
      <c r="I61" s="19">
        <f t="shared" si="4"/>
        <v>-2.1304473942969526E-2</v>
      </c>
      <c r="J61" s="19">
        <f t="shared" ca="1" si="5"/>
        <v>-2.154547870650643E-2</v>
      </c>
      <c r="K61" s="19">
        <f t="shared" ca="1" si="6"/>
        <v>81.691166025884726</v>
      </c>
      <c r="L61" s="19">
        <f t="shared" ca="1" si="7"/>
        <v>1.7988319741152736</v>
      </c>
      <c r="M61" s="19">
        <f t="shared" ca="1" si="8"/>
        <v>0.57704342288145227</v>
      </c>
      <c r="AA61" s="37">
        <v>41</v>
      </c>
      <c r="AB61" s="37">
        <v>1.7405004702151152</v>
      </c>
      <c r="AC61" s="37">
        <v>2.8559853898367491</v>
      </c>
      <c r="AD61" s="37">
        <v>3.4183928873139204</v>
      </c>
    </row>
    <row r="62" spans="2:30" x14ac:dyDescent="0.3">
      <c r="B62" s="28">
        <v>42720</v>
      </c>
      <c r="C62" s="25">
        <v>45.75</v>
      </c>
      <c r="D62" s="18">
        <f t="shared" si="0"/>
        <v>-1.63405296211796E-2</v>
      </c>
      <c r="E62" s="32">
        <f t="shared" ca="1" si="1"/>
        <v>1.3279761044785522E-2</v>
      </c>
      <c r="F62" s="18">
        <f t="shared" ca="1" si="2"/>
        <v>59.084343879801203</v>
      </c>
      <c r="G62" s="19">
        <f t="shared" ca="1" si="3"/>
        <v>-0.77434287980120331</v>
      </c>
      <c r="H62" s="27">
        <v>56.630001</v>
      </c>
      <c r="I62" s="19">
        <f t="shared" si="4"/>
        <v>-5.1741459280953528E-2</v>
      </c>
      <c r="J62" s="19">
        <f t="shared" ca="1" si="5"/>
        <v>1.2532179939001801E-4</v>
      </c>
      <c r="K62" s="19">
        <f t="shared" ca="1" si="6"/>
        <v>83.500461116780428</v>
      </c>
      <c r="L62" s="19">
        <f t="shared" ca="1" si="7"/>
        <v>-1.046311678042855E-2</v>
      </c>
      <c r="M62" s="19">
        <f t="shared" ca="1" si="8"/>
        <v>-0.78480599658163186</v>
      </c>
      <c r="AA62" s="37">
        <v>42</v>
      </c>
      <c r="AB62" s="37">
        <v>1.8401905668132748</v>
      </c>
      <c r="AC62" s="37">
        <v>2.9080270061396591</v>
      </c>
      <c r="AD62" s="37">
        <v>3.3192544238576072</v>
      </c>
    </row>
    <row r="63" spans="2:30" x14ac:dyDescent="0.3">
      <c r="B63" s="28">
        <v>42723</v>
      </c>
      <c r="C63" s="25">
        <v>45.48</v>
      </c>
      <c r="D63" s="18">
        <f t="shared" si="0"/>
        <v>-5.9016393442623549E-3</v>
      </c>
      <c r="E63" s="32">
        <f t="shared" ca="1" si="1"/>
        <v>4.0409435084252073E-3</v>
      </c>
      <c r="F63" s="18">
        <f t="shared" ca="1" si="2"/>
        <v>58.545628420017216</v>
      </c>
      <c r="G63" s="19">
        <f t="shared" ca="1" si="3"/>
        <v>-0.23562742001721659</v>
      </c>
      <c r="H63" s="27">
        <v>54.849997999999999</v>
      </c>
      <c r="I63" s="19">
        <f t="shared" si="4"/>
        <v>-3.1432155545962348E-2</v>
      </c>
      <c r="J63" s="19">
        <f t="shared" ca="1" si="5"/>
        <v>3.6875894472712778E-2</v>
      </c>
      <c r="K63" s="19">
        <f t="shared" ca="1" si="6"/>
        <v>86.568766355774997</v>
      </c>
      <c r="L63" s="19">
        <f t="shared" ca="1" si="7"/>
        <v>-3.0787683557749972</v>
      </c>
      <c r="M63" s="19">
        <f t="shared" ca="1" si="8"/>
        <v>-3.3143957757922138</v>
      </c>
      <c r="AA63" s="37">
        <v>43</v>
      </c>
      <c r="AB63" s="37">
        <v>1.7540057508897655</v>
      </c>
      <c r="AC63" s="37">
        <v>2.9534735351269528</v>
      </c>
      <c r="AD63" s="37">
        <v>3.5547965781041055</v>
      </c>
    </row>
    <row r="64" spans="2:30" x14ac:dyDescent="0.3">
      <c r="B64" s="28">
        <v>42724</v>
      </c>
      <c r="C64" s="25">
        <v>44.900002000000001</v>
      </c>
      <c r="D64" s="18">
        <f t="shared" si="0"/>
        <v>-1.2752814423922509E-2</v>
      </c>
      <c r="E64" s="32">
        <f t="shared" ca="1" si="1"/>
        <v>-6.1836902143636062E-3</v>
      </c>
      <c r="F64" s="18">
        <f t="shared" ca="1" si="2"/>
        <v>57.949430017416766</v>
      </c>
      <c r="G64" s="19">
        <f t="shared" ca="1" si="3"/>
        <v>0.3605709825832335</v>
      </c>
      <c r="H64" s="27">
        <v>55.240001999999997</v>
      </c>
      <c r="I64" s="19">
        <f t="shared" si="4"/>
        <v>7.1103740058477971E-3</v>
      </c>
      <c r="J64" s="19">
        <f t="shared" ca="1" si="5"/>
        <v>-3.54809719776936E-2</v>
      </c>
      <c r="K64" s="19">
        <f t="shared" ca="1" si="6"/>
        <v>80.527691720544297</v>
      </c>
      <c r="L64" s="19">
        <f t="shared" ca="1" si="7"/>
        <v>2.9623062794557029</v>
      </c>
      <c r="M64" s="19">
        <f t="shared" ca="1" si="8"/>
        <v>3.3228772620389364</v>
      </c>
      <c r="AA64" s="37">
        <v>44</v>
      </c>
      <c r="AB64" s="37">
        <v>1.8105773923944308</v>
      </c>
      <c r="AC64" s="37">
        <v>2.6840968486538213</v>
      </c>
      <c r="AD64" s="37">
        <v>3.4515657272086102</v>
      </c>
    </row>
    <row r="65" spans="2:30" x14ac:dyDescent="0.3">
      <c r="B65" s="28">
        <v>42725</v>
      </c>
      <c r="C65" s="25">
        <v>45.040000999999997</v>
      </c>
      <c r="D65" s="18">
        <f t="shared" si="0"/>
        <v>3.1180176784846303E-3</v>
      </c>
      <c r="E65" s="32">
        <f t="shared" ca="1" si="1"/>
        <v>-1.7962242040798892E-2</v>
      </c>
      <c r="F65" s="18">
        <f t="shared" ca="1" si="2"/>
        <v>57.262622648638775</v>
      </c>
      <c r="G65" s="19">
        <f t="shared" ca="1" si="3"/>
        <v>1.0473783513612247</v>
      </c>
      <c r="H65" s="27">
        <v>55.18</v>
      </c>
      <c r="I65" s="19">
        <f t="shared" si="4"/>
        <v>-1.086205608754276E-3</v>
      </c>
      <c r="J65" s="19">
        <f t="shared" ca="1" si="5"/>
        <v>1.9519350851154502E-2</v>
      </c>
      <c r="K65" s="19">
        <f t="shared" ca="1" si="6"/>
        <v>85.119668563524186</v>
      </c>
      <c r="L65" s="19">
        <f t="shared" ca="1" si="7"/>
        <v>-1.6296705635241864</v>
      </c>
      <c r="M65" s="19">
        <f t="shared" ca="1" si="8"/>
        <v>-0.58229221216296168</v>
      </c>
      <c r="AA65" s="37">
        <v>45</v>
      </c>
      <c r="AB65" s="37">
        <v>1.899198276472446</v>
      </c>
      <c r="AC65" s="37">
        <v>2.6705492751887379</v>
      </c>
      <c r="AD65" s="37">
        <v>3.2964297316591975</v>
      </c>
    </row>
    <row r="66" spans="2:30" x14ac:dyDescent="0.3">
      <c r="B66" s="28">
        <v>42726</v>
      </c>
      <c r="C66" s="25">
        <v>44.66</v>
      </c>
      <c r="D66" s="18">
        <f t="shared" si="0"/>
        <v>-8.4369669529981151E-3</v>
      </c>
      <c r="E66" s="32">
        <f t="shared" ca="1" si="1"/>
        <v>-3.6736712149370937E-2</v>
      </c>
      <c r="F66" s="18">
        <f t="shared" ca="1" si="2"/>
        <v>56.167883277833468</v>
      </c>
      <c r="G66" s="19">
        <f t="shared" ca="1" si="3"/>
        <v>2.1421177221665317</v>
      </c>
      <c r="H66" s="27">
        <v>55.540000999999997</v>
      </c>
      <c r="I66" s="19">
        <f t="shared" si="4"/>
        <v>6.5241210583544262E-3</v>
      </c>
      <c r="J66" s="19">
        <f t="shared" ca="1" si="5"/>
        <v>-1.8283362338390195E-2</v>
      </c>
      <c r="K66" s="19">
        <f t="shared" ca="1" si="6"/>
        <v>81.963520114934525</v>
      </c>
      <c r="L66" s="19">
        <f t="shared" ca="1" si="7"/>
        <v>1.526477885065475</v>
      </c>
      <c r="M66" s="19">
        <f t="shared" ca="1" si="8"/>
        <v>3.6685956072320067</v>
      </c>
      <c r="AA66" s="37">
        <v>46</v>
      </c>
      <c r="AB66" s="37">
        <v>1.6847621137027344</v>
      </c>
      <c r="AC66" s="37">
        <v>2.7136351207174267</v>
      </c>
      <c r="AD66" s="37">
        <v>3.3997451973796236</v>
      </c>
    </row>
    <row r="67" spans="2:30" x14ac:dyDescent="0.3">
      <c r="B67" s="28">
        <v>42727</v>
      </c>
      <c r="C67" s="25">
        <v>44.540000999999997</v>
      </c>
      <c r="D67" s="18">
        <f t="shared" si="0"/>
        <v>-2.6869458128079282E-3</v>
      </c>
      <c r="E67" s="32">
        <f t="shared" ca="1" si="1"/>
        <v>-4.0089869316507694E-4</v>
      </c>
      <c r="F67" s="18">
        <f t="shared" ca="1" si="2"/>
        <v>58.28662459680065</v>
      </c>
      <c r="G67" s="19">
        <f t="shared" ca="1" si="3"/>
        <v>2.3376403199350193E-2</v>
      </c>
      <c r="H67" s="27">
        <v>56.540000999999997</v>
      </c>
      <c r="I67" s="19">
        <f t="shared" si="4"/>
        <v>1.8005041087413742E-2</v>
      </c>
      <c r="J67" s="19">
        <f t="shared" ca="1" si="5"/>
        <v>1.5406637666984297E-2</v>
      </c>
      <c r="K67" s="19">
        <f t="shared" ca="1" si="6"/>
        <v>84.776298148003249</v>
      </c>
      <c r="L67" s="19">
        <f t="shared" ca="1" si="7"/>
        <v>-1.2863001480032494</v>
      </c>
      <c r="M67" s="19">
        <f t="shared" ca="1" si="8"/>
        <v>-1.2629237448038992</v>
      </c>
      <c r="AA67" s="37">
        <v>47</v>
      </c>
      <c r="AB67" s="37">
        <v>1.8209882119278327</v>
      </c>
      <c r="AC67" s="37">
        <v>2.7854865556743635</v>
      </c>
      <c r="AD67" s="37">
        <v>3.420065729681844</v>
      </c>
    </row>
    <row r="68" spans="2:30" x14ac:dyDescent="0.3">
      <c r="B68" s="28">
        <v>42730</v>
      </c>
      <c r="C68" s="25">
        <v>44.790000999999997</v>
      </c>
      <c r="D68" s="18">
        <f t="shared" si="0"/>
        <v>5.6129320697591023E-3</v>
      </c>
      <c r="E68" s="32">
        <f t="shared" ca="1" si="1"/>
        <v>-1.6165554983243913E-3</v>
      </c>
      <c r="F68" s="18">
        <f t="shared" ca="1" si="2"/>
        <v>58.215739647276152</v>
      </c>
      <c r="G68" s="19">
        <f t="shared" ca="1" si="3"/>
        <v>9.4261352723847835E-2</v>
      </c>
      <c r="H68" s="27">
        <v>55.77</v>
      </c>
      <c r="I68" s="19">
        <f t="shared" si="4"/>
        <v>-1.3618694488526706E-2</v>
      </c>
      <c r="J68" s="19">
        <f t="shared" ca="1" si="5"/>
        <v>2.2357126630038297E-3</v>
      </c>
      <c r="K68" s="19">
        <f t="shared" ca="1" si="6"/>
        <v>83.676657645762774</v>
      </c>
      <c r="L68" s="19">
        <f t="shared" ca="1" si="7"/>
        <v>-0.18665964576277361</v>
      </c>
      <c r="M68" s="19">
        <f t="shared" ca="1" si="8"/>
        <v>-9.2398293038925772E-2</v>
      </c>
      <c r="AA68" s="37">
        <v>48</v>
      </c>
      <c r="AB68" s="37">
        <v>1.9120200317600733</v>
      </c>
      <c r="AC68" s="37">
        <v>2.8521251045552671</v>
      </c>
      <c r="AD68" s="37">
        <v>3.3507897076765154</v>
      </c>
    </row>
    <row r="69" spans="2:30" x14ac:dyDescent="0.3">
      <c r="B69" s="28">
        <v>42731</v>
      </c>
      <c r="C69" s="25">
        <v>44.43</v>
      </c>
      <c r="D69" s="18">
        <f t="shared" si="0"/>
        <v>-8.0375305193673974E-3</v>
      </c>
      <c r="E69" s="32">
        <f t="shared" ca="1" si="1"/>
        <v>1.5987221308686701E-2</v>
      </c>
      <c r="F69" s="18">
        <f t="shared" ca="1" si="2"/>
        <v>59.242215890496745</v>
      </c>
      <c r="G69" s="19">
        <f t="shared" ca="1" si="3"/>
        <v>-0.93221489049674489</v>
      </c>
      <c r="H69" s="27">
        <v>55.919998</v>
      </c>
      <c r="I69" s="19">
        <f t="shared" si="4"/>
        <v>2.6895822126591362E-3</v>
      </c>
      <c r="J69" s="19">
        <f t="shared" ca="1" si="5"/>
        <v>-1.9036492599611172E-2</v>
      </c>
      <c r="K69" s="19">
        <f t="shared" ca="1" si="6"/>
        <v>81.900641270931445</v>
      </c>
      <c r="L69" s="19">
        <f t="shared" ca="1" si="7"/>
        <v>1.5893567290685553</v>
      </c>
      <c r="M69" s="19">
        <f t="shared" ca="1" si="8"/>
        <v>0.65714183857181041</v>
      </c>
      <c r="AA69" s="37">
        <v>49</v>
      </c>
      <c r="AB69" s="37">
        <v>1.7698591694521033</v>
      </c>
      <c r="AC69" s="37">
        <v>2.6751229473229818</v>
      </c>
      <c r="AD69" s="37">
        <v>3.2988128670787802</v>
      </c>
    </row>
    <row r="70" spans="2:30" x14ac:dyDescent="0.3">
      <c r="B70" s="28">
        <v>42732</v>
      </c>
      <c r="C70" s="25">
        <v>45.169998</v>
      </c>
      <c r="D70" s="18">
        <f t="shared" si="0"/>
        <v>1.6655367994598214E-2</v>
      </c>
      <c r="E70" s="32">
        <f t="shared" ca="1" si="1"/>
        <v>2.2322966182890938E-2</v>
      </c>
      <c r="F70" s="18">
        <f t="shared" ca="1" si="2"/>
        <v>59.611653180447341</v>
      </c>
      <c r="G70" s="19">
        <f t="shared" ca="1" si="3"/>
        <v>-1.3016521804473413</v>
      </c>
      <c r="H70" s="27">
        <v>57.740001999999997</v>
      </c>
      <c r="I70" s="19">
        <f t="shared" si="4"/>
        <v>3.2546567687645522E-2</v>
      </c>
      <c r="J70" s="19">
        <f t="shared" ca="1" si="5"/>
        <v>5.5900638413032971E-3</v>
      </c>
      <c r="K70" s="19">
        <f t="shared" ca="1" si="6"/>
        <v>83.956712418930294</v>
      </c>
      <c r="L70" s="19">
        <f t="shared" ca="1" si="7"/>
        <v>-0.46671441893029453</v>
      </c>
      <c r="M70" s="19">
        <f t="shared" ca="1" si="8"/>
        <v>-1.7683665993776359</v>
      </c>
      <c r="AA70" s="37">
        <v>50</v>
      </c>
      <c r="AB70" s="37">
        <v>1.7284878674707309</v>
      </c>
      <c r="AC70" s="37">
        <v>2.7448356646389485</v>
      </c>
      <c r="AD70" s="37">
        <v>3.3365777633362441</v>
      </c>
    </row>
    <row r="71" spans="2:30" x14ac:dyDescent="0.3">
      <c r="B71" s="28">
        <v>42733</v>
      </c>
      <c r="C71" s="25">
        <v>46.939999</v>
      </c>
      <c r="D71" s="18">
        <f t="shared" si="0"/>
        <v>3.9185323851464338E-2</v>
      </c>
      <c r="E71" s="32">
        <f t="shared" ca="1" si="1"/>
        <v>1.8212732553459607E-2</v>
      </c>
      <c r="F71" s="18">
        <f t="shared" ca="1" si="2"/>
        <v>59.37198545340496</v>
      </c>
      <c r="G71" s="19">
        <f t="shared" ca="1" si="3"/>
        <v>-1.0619844534049605</v>
      </c>
      <c r="H71" s="27">
        <v>57.709999000000003</v>
      </c>
      <c r="I71" s="19">
        <f t="shared" si="4"/>
        <v>-5.1962242744629794E-4</v>
      </c>
      <c r="J71" s="19">
        <f t="shared" ca="1" si="5"/>
        <v>-1.0968538919708047E-2</v>
      </c>
      <c r="K71" s="19">
        <f t="shared" ca="1" si="6"/>
        <v>82.57423470753065</v>
      </c>
      <c r="L71" s="19">
        <f t="shared" ca="1" si="7"/>
        <v>0.91576329246935018</v>
      </c>
      <c r="M71" s="19">
        <f t="shared" ca="1" si="8"/>
        <v>-0.14622116093561033</v>
      </c>
      <c r="AA71" s="37">
        <v>51</v>
      </c>
      <c r="AB71" s="37">
        <v>1.823485449782601</v>
      </c>
      <c r="AC71" s="37">
        <v>2.8480388305521891</v>
      </c>
      <c r="AD71" s="37">
        <v>3.5653597530875341</v>
      </c>
    </row>
    <row r="72" spans="2:30" x14ac:dyDescent="0.3">
      <c r="B72" s="28">
        <v>42734</v>
      </c>
      <c r="C72" s="25">
        <v>47.009998000000003</v>
      </c>
      <c r="D72" s="18">
        <f t="shared" ref="D72:D135" si="9">C72/C71-1</f>
        <v>1.4912441732264359E-3</v>
      </c>
      <c r="E72" s="32">
        <f t="shared" ref="E72:E135" ca="1" si="10">NORMINV(RAND(),$E$3,$E$4)</f>
        <v>-2.1633118064148738E-2</v>
      </c>
      <c r="F72" s="18">
        <f t="shared" ref="F72:F135" ca="1" si="11">$C$1261*(1+E72)</f>
        <v>57.048573864046368</v>
      </c>
      <c r="G72" s="19">
        <f t="shared" ref="G72:G135" ca="1" si="12">$C$1261-F72</f>
        <v>1.2614271359536318</v>
      </c>
      <c r="H72" s="27">
        <v>56.43</v>
      </c>
      <c r="I72" s="19">
        <f t="shared" ref="I72:I135" si="13">H72/H71-1</f>
        <v>-2.2179847897762062E-2</v>
      </c>
      <c r="J72" s="19">
        <f t="shared" ref="J72:J135" ca="1" si="14">NORMINV(RAND(),$J$3,$J$4)</f>
        <v>2.419315439362919E-2</v>
      </c>
      <c r="K72" s="19">
        <f t="shared" ref="K72:K135" ca="1" si="15">$H$1261*(1+J72)</f>
        <v>85.50988441193779</v>
      </c>
      <c r="L72" s="19">
        <f t="shared" ref="L72:L135" ca="1" si="16">$H$1261-K72</f>
        <v>-2.0198864119377902</v>
      </c>
      <c r="M72" s="19">
        <f t="shared" ref="M72:M135" ca="1" si="17">SUM(G72,L72)</f>
        <v>-0.75845927598415841</v>
      </c>
      <c r="AA72" s="37">
        <v>52</v>
      </c>
      <c r="AB72" s="37">
        <v>1.7419801217523296</v>
      </c>
      <c r="AC72" s="37">
        <v>3.1091507810602717</v>
      </c>
      <c r="AD72" s="37">
        <v>3.2656189402467906</v>
      </c>
    </row>
    <row r="73" spans="2:30" x14ac:dyDescent="0.3">
      <c r="B73" s="28">
        <v>42737</v>
      </c>
      <c r="C73" s="25">
        <v>47.009998000000003</v>
      </c>
      <c r="D73" s="18">
        <f t="shared" si="9"/>
        <v>0</v>
      </c>
      <c r="E73" s="32">
        <f t="shared" ca="1" si="10"/>
        <v>-1.2529348262558247E-2</v>
      </c>
      <c r="F73" s="18">
        <f t="shared" ca="1" si="11"/>
        <v>57.579414690280878</v>
      </c>
      <c r="G73" s="19">
        <f t="shared" ca="1" si="12"/>
        <v>0.73058630971912208</v>
      </c>
      <c r="H73" s="27">
        <v>56.43</v>
      </c>
      <c r="I73" s="19">
        <f t="shared" si="13"/>
        <v>0</v>
      </c>
      <c r="J73" s="19">
        <f t="shared" ca="1" si="14"/>
        <v>1.4378304813260297E-2</v>
      </c>
      <c r="K73" s="19">
        <f t="shared" ca="1" si="15"/>
        <v>84.690442640102489</v>
      </c>
      <c r="L73" s="19">
        <f t="shared" ca="1" si="16"/>
        <v>-1.2004446401024893</v>
      </c>
      <c r="M73" s="19">
        <f t="shared" ca="1" si="17"/>
        <v>-0.46985833038336722</v>
      </c>
      <c r="AA73" s="37">
        <v>53</v>
      </c>
      <c r="AB73" s="37">
        <v>1.6997445764161903</v>
      </c>
      <c r="AC73" s="37">
        <v>2.7233156981064086</v>
      </c>
      <c r="AD73" s="37">
        <v>3.359249440725943</v>
      </c>
    </row>
    <row r="74" spans="2:30" x14ac:dyDescent="0.3">
      <c r="B74" s="28">
        <v>42738</v>
      </c>
      <c r="C74" s="25">
        <v>46.439999</v>
      </c>
      <c r="D74" s="18">
        <f t="shared" si="9"/>
        <v>-1.212505901404215E-2</v>
      </c>
      <c r="E74" s="32">
        <f t="shared" ca="1" si="10"/>
        <v>-2.9295776930348346E-2</v>
      </c>
      <c r="F74" s="18">
        <f t="shared" ca="1" si="11"/>
        <v>56.601764217895614</v>
      </c>
      <c r="G74" s="19">
        <f t="shared" ca="1" si="12"/>
        <v>1.708236782104386</v>
      </c>
      <c r="H74" s="27">
        <v>57.43</v>
      </c>
      <c r="I74" s="19">
        <f t="shared" si="13"/>
        <v>1.772107035264936E-2</v>
      </c>
      <c r="J74" s="19">
        <f t="shared" ca="1" si="14"/>
        <v>-8.6585528070069039E-3</v>
      </c>
      <c r="K74" s="19">
        <f t="shared" ca="1" si="15"/>
        <v>82.767095443460107</v>
      </c>
      <c r="L74" s="19">
        <f t="shared" ca="1" si="16"/>
        <v>0.72290255653989277</v>
      </c>
      <c r="M74" s="19">
        <f t="shared" ca="1" si="17"/>
        <v>2.4311393386442788</v>
      </c>
      <c r="AA74" s="37">
        <v>54</v>
      </c>
      <c r="AB74" s="37">
        <v>1.8646029217908635</v>
      </c>
      <c r="AC74" s="37">
        <v>2.9196325517013433</v>
      </c>
      <c r="AD74" s="37">
        <v>3.3072879244342861</v>
      </c>
    </row>
    <row r="75" spans="2:30" x14ac:dyDescent="0.3">
      <c r="B75" s="28">
        <v>42739</v>
      </c>
      <c r="C75" s="25">
        <v>47.040000999999997</v>
      </c>
      <c r="D75" s="18">
        <f t="shared" si="9"/>
        <v>1.2919939985356121E-2</v>
      </c>
      <c r="E75" s="32">
        <f t="shared" ca="1" si="10"/>
        <v>3.1768890799012593E-2</v>
      </c>
      <c r="F75" s="18">
        <f t="shared" ca="1" si="11"/>
        <v>60.162445054259315</v>
      </c>
      <c r="G75" s="19">
        <f t="shared" ca="1" si="12"/>
        <v>-1.8524440542593155</v>
      </c>
      <c r="H75" s="27">
        <v>57.959999000000003</v>
      </c>
      <c r="I75" s="19">
        <f t="shared" si="13"/>
        <v>9.2286087410762274E-3</v>
      </c>
      <c r="J75" s="19">
        <f t="shared" ca="1" si="14"/>
        <v>-2.1571480129980922E-2</v>
      </c>
      <c r="K75" s="19">
        <f t="shared" ca="1" si="15"/>
        <v>81.688995167090852</v>
      </c>
      <c r="L75" s="19">
        <f t="shared" ca="1" si="16"/>
        <v>1.8010028329091483</v>
      </c>
      <c r="M75" s="19">
        <f t="shared" ca="1" si="17"/>
        <v>-5.1441221350167154E-2</v>
      </c>
      <c r="AA75" s="37">
        <v>55</v>
      </c>
      <c r="AB75" s="37">
        <v>1.743723547509836</v>
      </c>
      <c r="AC75" s="37">
        <v>2.8810877846524434</v>
      </c>
      <c r="AD75" s="37">
        <v>3.305305141893387</v>
      </c>
    </row>
    <row r="76" spans="2:30" x14ac:dyDescent="0.3">
      <c r="B76" s="28">
        <v>42740</v>
      </c>
      <c r="C76" s="25">
        <v>47.290000999999997</v>
      </c>
      <c r="D76" s="18">
        <f t="shared" si="9"/>
        <v>5.3146257373590799E-3</v>
      </c>
      <c r="E76" s="32">
        <f t="shared" ca="1" si="10"/>
        <v>-7.6174786153696871E-3</v>
      </c>
      <c r="F76" s="18">
        <f t="shared" ca="1" si="11"/>
        <v>57.865825814320317</v>
      </c>
      <c r="G76" s="19">
        <f t="shared" ca="1" si="12"/>
        <v>0.44417518567968273</v>
      </c>
      <c r="H76" s="27">
        <v>59.490001999999997</v>
      </c>
      <c r="I76" s="19">
        <f t="shared" si="13"/>
        <v>2.63975677432291E-2</v>
      </c>
      <c r="J76" s="19">
        <f t="shared" ca="1" si="14"/>
        <v>6.459239403863371E-3</v>
      </c>
      <c r="K76" s="19">
        <f t="shared" ca="1" si="15"/>
        <v>84.029279884910082</v>
      </c>
      <c r="L76" s="19">
        <f t="shared" ca="1" si="16"/>
        <v>-0.539281884910082</v>
      </c>
      <c r="M76" s="19">
        <f t="shared" ca="1" si="17"/>
        <v>-9.5106699230399272E-2</v>
      </c>
      <c r="AA76" s="37">
        <v>56</v>
      </c>
      <c r="AB76" s="37">
        <v>1.6090177232356488</v>
      </c>
      <c r="AC76" s="37">
        <v>2.57064707275214</v>
      </c>
      <c r="AD76" s="37">
        <v>3.4158459756506603</v>
      </c>
    </row>
    <row r="77" spans="2:30" x14ac:dyDescent="0.3">
      <c r="B77" s="28">
        <v>42741</v>
      </c>
      <c r="C77" s="25">
        <v>47.619999</v>
      </c>
      <c r="D77" s="18">
        <f t="shared" si="9"/>
        <v>6.9781770569217194E-3</v>
      </c>
      <c r="E77" s="32">
        <f t="shared" ca="1" si="10"/>
        <v>1.6050579735288034E-2</v>
      </c>
      <c r="F77" s="18">
        <f t="shared" ca="1" si="11"/>
        <v>59.245910320415227</v>
      </c>
      <c r="G77" s="19">
        <f t="shared" ca="1" si="12"/>
        <v>-0.93590932041522734</v>
      </c>
      <c r="H77" s="27">
        <v>58.200001</v>
      </c>
      <c r="I77" s="19">
        <f t="shared" si="13"/>
        <v>-2.16843327724211E-2</v>
      </c>
      <c r="J77" s="19">
        <f t="shared" ca="1" si="14"/>
        <v>1.6365212965208879E-3</v>
      </c>
      <c r="K77" s="19">
        <f t="shared" ca="1" si="15"/>
        <v>83.626631159773481</v>
      </c>
      <c r="L77" s="19">
        <f t="shared" ca="1" si="16"/>
        <v>-0.13663315977348134</v>
      </c>
      <c r="M77" s="19">
        <f t="shared" ca="1" si="17"/>
        <v>-1.0725424801887087</v>
      </c>
      <c r="AA77" s="37">
        <v>57</v>
      </c>
      <c r="AB77" s="37">
        <v>1.7487944370060797</v>
      </c>
      <c r="AC77" s="37">
        <v>2.8325925805083099</v>
      </c>
      <c r="AD77" s="37">
        <v>3.4026990210642647</v>
      </c>
    </row>
    <row r="78" spans="2:30" x14ac:dyDescent="0.3">
      <c r="B78" s="28">
        <v>42744</v>
      </c>
      <c r="C78" s="25">
        <v>46.299999</v>
      </c>
      <c r="D78" s="18">
        <f t="shared" si="9"/>
        <v>-2.771944619318456E-2</v>
      </c>
      <c r="E78" s="32">
        <f t="shared" ca="1" si="10"/>
        <v>-2.5851166138231785E-2</v>
      </c>
      <c r="F78" s="18">
        <f t="shared" ca="1" si="11"/>
        <v>56.802619476628536</v>
      </c>
      <c r="G78" s="19">
        <f t="shared" ca="1" si="12"/>
        <v>1.507381523371464</v>
      </c>
      <c r="H78" s="27">
        <v>57.43</v>
      </c>
      <c r="I78" s="19">
        <f t="shared" si="13"/>
        <v>-1.3230257504634801E-2</v>
      </c>
      <c r="J78" s="19">
        <f t="shared" ca="1" si="14"/>
        <v>-1.5388553649161349E-2</v>
      </c>
      <c r="K78" s="19">
        <f t="shared" ca="1" si="15"/>
        <v>82.205207686608631</v>
      </c>
      <c r="L78" s="19">
        <f t="shared" ca="1" si="16"/>
        <v>1.284790313391369</v>
      </c>
      <c r="M78" s="19">
        <f t="shared" ca="1" si="17"/>
        <v>2.792171836762833</v>
      </c>
      <c r="AA78" s="37">
        <v>58</v>
      </c>
      <c r="AB78" s="37">
        <v>1.788875533939754</v>
      </c>
      <c r="AC78" s="37">
        <v>3.0024326198939164</v>
      </c>
      <c r="AD78" s="37">
        <v>3.2804996232184203</v>
      </c>
    </row>
    <row r="79" spans="2:30" x14ac:dyDescent="0.3">
      <c r="B79" s="28">
        <v>42745</v>
      </c>
      <c r="C79" s="25">
        <v>46.630001</v>
      </c>
      <c r="D79" s="18">
        <f t="shared" si="9"/>
        <v>7.1274731561008497E-3</v>
      </c>
      <c r="E79" s="32">
        <f t="shared" ca="1" si="10"/>
        <v>-3.7702555718967821E-2</v>
      </c>
      <c r="F79" s="18">
        <f t="shared" ca="1" si="11"/>
        <v>56.111564938324427</v>
      </c>
      <c r="G79" s="19">
        <f t="shared" ca="1" si="12"/>
        <v>2.1984360616755723</v>
      </c>
      <c r="H79" s="27">
        <v>59.540000999999997</v>
      </c>
      <c r="I79" s="19">
        <f t="shared" si="13"/>
        <v>3.6740397005049497E-2</v>
      </c>
      <c r="J79" s="19">
        <f t="shared" ca="1" si="14"/>
        <v>-5.0184843232693854E-3</v>
      </c>
      <c r="K79" s="19">
        <f t="shared" ca="1" si="15"/>
        <v>83.071004753887209</v>
      </c>
      <c r="L79" s="19">
        <f t="shared" ca="1" si="16"/>
        <v>0.41899324611279098</v>
      </c>
      <c r="M79" s="19">
        <f t="shared" ca="1" si="17"/>
        <v>2.6174293077883632</v>
      </c>
      <c r="AA79" s="37">
        <v>59</v>
      </c>
      <c r="AB79" s="37">
        <v>1.8430270872949641</v>
      </c>
      <c r="AC79" s="37">
        <v>2.6927938909079367</v>
      </c>
      <c r="AD79" s="37">
        <v>3.1637314010881372</v>
      </c>
    </row>
    <row r="80" spans="2:30" x14ac:dyDescent="0.3">
      <c r="B80" s="28">
        <v>42746</v>
      </c>
      <c r="C80" s="25">
        <v>46.490001999999997</v>
      </c>
      <c r="D80" s="18">
        <f t="shared" si="9"/>
        <v>-3.0023374865465469E-3</v>
      </c>
      <c r="E80" s="32">
        <f t="shared" ca="1" si="10"/>
        <v>-4.0322420816011062E-3</v>
      </c>
      <c r="F80" s="18">
        <f t="shared" ca="1" si="11"/>
        <v>58.074880960189596</v>
      </c>
      <c r="G80" s="19">
        <f t="shared" ca="1" si="12"/>
        <v>0.23512003981040408</v>
      </c>
      <c r="H80" s="27">
        <v>59.98</v>
      </c>
      <c r="I80" s="19">
        <f t="shared" si="13"/>
        <v>7.3899730031916633E-3</v>
      </c>
      <c r="J80" s="19">
        <f t="shared" ca="1" si="14"/>
        <v>9.3922900982596758E-3</v>
      </c>
      <c r="K80" s="19">
        <f t="shared" ca="1" si="15"/>
        <v>84.274160281519116</v>
      </c>
      <c r="L80" s="19">
        <f t="shared" ca="1" si="16"/>
        <v>-0.78416228151911582</v>
      </c>
      <c r="M80" s="19">
        <f t="shared" ca="1" si="17"/>
        <v>-0.54904224170871174</v>
      </c>
      <c r="AA80" s="37">
        <v>60</v>
      </c>
      <c r="AB80" s="37">
        <v>1.7411556608161247</v>
      </c>
      <c r="AC80" s="37">
        <v>2.847852907614191</v>
      </c>
      <c r="AD80" s="37">
        <v>3.446149138998003</v>
      </c>
    </row>
    <row r="81" spans="2:30" x14ac:dyDescent="0.3">
      <c r="B81" s="28">
        <v>42747</v>
      </c>
      <c r="C81" s="25">
        <v>46.470001000000003</v>
      </c>
      <c r="D81" s="18">
        <f t="shared" si="9"/>
        <v>-4.3022153451388601E-4</v>
      </c>
      <c r="E81" s="32">
        <f t="shared" ca="1" si="10"/>
        <v>9.921650146638962E-3</v>
      </c>
      <c r="F81" s="18">
        <f t="shared" ca="1" si="11"/>
        <v>58.888532429972173</v>
      </c>
      <c r="G81" s="19">
        <f t="shared" ca="1" si="12"/>
        <v>-0.57853142997217333</v>
      </c>
      <c r="H81" s="27">
        <v>61.830002</v>
      </c>
      <c r="I81" s="19">
        <f t="shared" si="13"/>
        <v>3.0843647882627501E-2</v>
      </c>
      <c r="J81" s="19">
        <f t="shared" ca="1" si="14"/>
        <v>3.1737308724741058E-2</v>
      </c>
      <c r="K81" s="19">
        <f t="shared" ca="1" si="15"/>
        <v>86.13974584195401</v>
      </c>
      <c r="L81" s="19">
        <f t="shared" ca="1" si="16"/>
        <v>-2.6497478419540101</v>
      </c>
      <c r="M81" s="19">
        <f t="shared" ca="1" si="17"/>
        <v>-3.2282792719261835</v>
      </c>
      <c r="AA81" s="37">
        <v>61</v>
      </c>
      <c r="AB81" s="37">
        <v>1.7783126203968416</v>
      </c>
      <c r="AC81" s="37">
        <v>2.6442565605017587</v>
      </c>
      <c r="AD81" s="37">
        <v>3.4292359093627809</v>
      </c>
    </row>
    <row r="82" spans="2:30" x14ac:dyDescent="0.3">
      <c r="B82" s="28">
        <v>42748</v>
      </c>
      <c r="C82" s="25">
        <v>46.509998000000003</v>
      </c>
      <c r="D82" s="18">
        <f t="shared" si="9"/>
        <v>8.6070581319752648E-4</v>
      </c>
      <c r="E82" s="32">
        <f t="shared" ca="1" si="10"/>
        <v>-1.3953501110650499E-2</v>
      </c>
      <c r="F82" s="18">
        <f t="shared" ca="1" si="11"/>
        <v>57.496372336284466</v>
      </c>
      <c r="G82" s="19">
        <f t="shared" ca="1" si="12"/>
        <v>0.81362866371553366</v>
      </c>
      <c r="H82" s="27">
        <v>61.889999000000003</v>
      </c>
      <c r="I82" s="19">
        <f t="shared" si="13"/>
        <v>9.703541656040926E-4</v>
      </c>
      <c r="J82" s="19">
        <f t="shared" ca="1" si="14"/>
        <v>1.9118291426174099E-2</v>
      </c>
      <c r="K82" s="19">
        <f t="shared" ca="1" si="15"/>
        <v>85.086184112934689</v>
      </c>
      <c r="L82" s="19">
        <f t="shared" ca="1" si="16"/>
        <v>-1.5961861129346886</v>
      </c>
      <c r="M82" s="19">
        <f t="shared" ca="1" si="17"/>
        <v>-0.78255744921915493</v>
      </c>
      <c r="AA82" s="37">
        <v>62</v>
      </c>
      <c r="AB82" s="37">
        <v>1.705572383609653</v>
      </c>
      <c r="AC82" s="37">
        <v>2.704383791626356</v>
      </c>
      <c r="AD82" s="37">
        <v>3.2826369216980789</v>
      </c>
    </row>
    <row r="83" spans="2:30" x14ac:dyDescent="0.3">
      <c r="B83" s="28">
        <v>42751</v>
      </c>
      <c r="C83" s="25">
        <v>46.630001</v>
      </c>
      <c r="D83" s="18">
        <f t="shared" si="9"/>
        <v>2.5801549163686488E-3</v>
      </c>
      <c r="E83" s="32">
        <f t="shared" ca="1" si="10"/>
        <v>-7.1294761513166355E-3</v>
      </c>
      <c r="F83" s="18">
        <f t="shared" ca="1" si="11"/>
        <v>57.894281238487252</v>
      </c>
      <c r="G83" s="19">
        <f t="shared" ca="1" si="12"/>
        <v>0.41571976151274725</v>
      </c>
      <c r="H83" s="27">
        <v>61.43</v>
      </c>
      <c r="I83" s="19">
        <f t="shared" si="13"/>
        <v>-7.4325255684687397E-3</v>
      </c>
      <c r="J83" s="19">
        <f t="shared" ca="1" si="14"/>
        <v>-2.9806737029914616E-2</v>
      </c>
      <c r="K83" s="19">
        <f t="shared" ca="1" si="15"/>
        <v>81.001433584985904</v>
      </c>
      <c r="L83" s="19">
        <f t="shared" ca="1" si="16"/>
        <v>2.4885644150140962</v>
      </c>
      <c r="M83" s="19">
        <f t="shared" ca="1" si="17"/>
        <v>2.9042841765268435</v>
      </c>
      <c r="AA83" s="37">
        <v>63</v>
      </c>
      <c r="AB83" s="37">
        <v>1.8902403211847905</v>
      </c>
      <c r="AC83" s="37">
        <v>2.5571275427187157</v>
      </c>
      <c r="AD83" s="37">
        <v>3.1976159657320982</v>
      </c>
    </row>
    <row r="84" spans="2:30" x14ac:dyDescent="0.3">
      <c r="B84" s="28">
        <v>42752</v>
      </c>
      <c r="C84" s="25">
        <v>45.799999</v>
      </c>
      <c r="D84" s="18">
        <f t="shared" si="9"/>
        <v>-1.7799742273220232E-2</v>
      </c>
      <c r="E84" s="32">
        <f t="shared" ca="1" si="10"/>
        <v>5.9302638142308076E-3</v>
      </c>
      <c r="F84" s="18">
        <f t="shared" ca="1" si="11"/>
        <v>58.655794688938066</v>
      </c>
      <c r="G84" s="19">
        <f t="shared" ca="1" si="12"/>
        <v>-0.34579368893806617</v>
      </c>
      <c r="H84" s="27">
        <v>59.57</v>
      </c>
      <c r="I84" s="19">
        <f t="shared" si="13"/>
        <v>-3.0278365619404224E-2</v>
      </c>
      <c r="J84" s="19">
        <f t="shared" ca="1" si="14"/>
        <v>3.64790955275857E-2</v>
      </c>
      <c r="K84" s="19">
        <f t="shared" ca="1" si="15"/>
        <v>86.535637612639945</v>
      </c>
      <c r="L84" s="19">
        <f t="shared" ca="1" si="16"/>
        <v>-3.0456396126399454</v>
      </c>
      <c r="M84" s="19">
        <f t="shared" ca="1" si="17"/>
        <v>-3.3914333015780116</v>
      </c>
      <c r="AA84" s="37">
        <v>64</v>
      </c>
      <c r="AB84" s="37">
        <v>1.8506081817562667</v>
      </c>
      <c r="AC84" s="37">
        <v>2.9020741947605577</v>
      </c>
      <c r="AD84" s="37">
        <v>3.2917245443439316</v>
      </c>
    </row>
    <row r="85" spans="2:30" x14ac:dyDescent="0.3">
      <c r="B85" s="28">
        <v>42753</v>
      </c>
      <c r="C85" s="25">
        <v>45.82</v>
      </c>
      <c r="D85" s="18">
        <f t="shared" si="9"/>
        <v>4.3670306630350098E-4</v>
      </c>
      <c r="E85" s="32">
        <f t="shared" ca="1" si="10"/>
        <v>-1.0837413876731749E-2</v>
      </c>
      <c r="F85" s="18">
        <f t="shared" ca="1" si="11"/>
        <v>57.678071386010359</v>
      </c>
      <c r="G85" s="19">
        <f t="shared" ca="1" si="12"/>
        <v>0.63192961398964087</v>
      </c>
      <c r="H85" s="27">
        <v>61.310001</v>
      </c>
      <c r="I85" s="19">
        <f t="shared" si="13"/>
        <v>2.9209350344132856E-2</v>
      </c>
      <c r="J85" s="19">
        <f t="shared" ca="1" si="14"/>
        <v>-2.6592723647099782E-2</v>
      </c>
      <c r="K85" s="19">
        <f t="shared" ca="1" si="15"/>
        <v>81.269771555889093</v>
      </c>
      <c r="L85" s="19">
        <f t="shared" ca="1" si="16"/>
        <v>2.2202264441109065</v>
      </c>
      <c r="M85" s="19">
        <f t="shared" ca="1" si="17"/>
        <v>2.8521560581005474</v>
      </c>
      <c r="AA85" s="37">
        <v>65</v>
      </c>
      <c r="AB85" s="37">
        <v>1.7734367225772203</v>
      </c>
      <c r="AC85" s="37">
        <v>2.8538178535459608</v>
      </c>
      <c r="AD85" s="37">
        <v>3.4026282632741132</v>
      </c>
    </row>
    <row r="86" spans="2:30" x14ac:dyDescent="0.3">
      <c r="B86" s="28">
        <v>42754</v>
      </c>
      <c r="C86" s="25">
        <v>46.549999</v>
      </c>
      <c r="D86" s="18">
        <f t="shared" si="9"/>
        <v>1.5931885639458798E-2</v>
      </c>
      <c r="E86" s="32">
        <f t="shared" ca="1" si="10"/>
        <v>2.0425697204731166E-2</v>
      </c>
      <c r="F86" s="18">
        <f t="shared" ca="1" si="11"/>
        <v>59.501023424433576</v>
      </c>
      <c r="G86" s="19">
        <f t="shared" ca="1" si="12"/>
        <v>-1.1910224244335765</v>
      </c>
      <c r="H86" s="27">
        <v>60.419998</v>
      </c>
      <c r="I86" s="19">
        <f t="shared" si="13"/>
        <v>-1.4516440800580011E-2</v>
      </c>
      <c r="J86" s="19">
        <f t="shared" ca="1" si="14"/>
        <v>-6.2559232027550584E-3</v>
      </c>
      <c r="K86" s="19">
        <f t="shared" ca="1" si="15"/>
        <v>82.967690984313833</v>
      </c>
      <c r="L86" s="19">
        <f t="shared" ca="1" si="16"/>
        <v>0.52230701568616666</v>
      </c>
      <c r="M86" s="19">
        <f t="shared" ca="1" si="17"/>
        <v>-0.66871540874740987</v>
      </c>
      <c r="AA86" s="37">
        <v>66</v>
      </c>
      <c r="AB86" s="37">
        <v>1.8512711311280383</v>
      </c>
      <c r="AC86" s="37">
        <v>2.7371935445237563</v>
      </c>
      <c r="AD86" s="37">
        <v>3.556651020183335</v>
      </c>
    </row>
    <row r="87" spans="2:30" x14ac:dyDescent="0.3">
      <c r="B87" s="28">
        <v>42755</v>
      </c>
      <c r="C87" s="25">
        <v>45.310001</v>
      </c>
      <c r="D87" s="18">
        <f t="shared" si="9"/>
        <v>-2.6637981238195052E-2</v>
      </c>
      <c r="E87" s="32">
        <f t="shared" ca="1" si="10"/>
        <v>-1.1445479471243813E-2</v>
      </c>
      <c r="F87" s="18">
        <f t="shared" ca="1" si="11"/>
        <v>57.642615080586289</v>
      </c>
      <c r="G87" s="19">
        <f t="shared" ca="1" si="12"/>
        <v>0.66738591941371084</v>
      </c>
      <c r="H87" s="27">
        <v>60.959999000000003</v>
      </c>
      <c r="I87" s="19">
        <f t="shared" si="13"/>
        <v>8.9374547811140737E-3</v>
      </c>
      <c r="J87" s="19">
        <f t="shared" ca="1" si="14"/>
        <v>-6.6126294479690805E-4</v>
      </c>
      <c r="K87" s="19">
        <f t="shared" ca="1" si="15"/>
        <v>83.434789158061434</v>
      </c>
      <c r="L87" s="19">
        <f t="shared" ca="1" si="16"/>
        <v>5.5208841938565456E-2</v>
      </c>
      <c r="M87" s="19">
        <f t="shared" ca="1" si="17"/>
        <v>0.72259476135227629</v>
      </c>
      <c r="AA87" s="37">
        <v>67</v>
      </c>
      <c r="AB87" s="37">
        <v>1.8364218422083871</v>
      </c>
      <c r="AC87" s="37">
        <v>2.9034214109893792</v>
      </c>
      <c r="AD87" s="37">
        <v>3.236004493008747</v>
      </c>
    </row>
    <row r="88" spans="2:30" x14ac:dyDescent="0.3">
      <c r="B88" s="28">
        <v>42758</v>
      </c>
      <c r="C88" s="25">
        <v>46.84</v>
      </c>
      <c r="D88" s="18">
        <f t="shared" si="9"/>
        <v>3.3767357453821312E-2</v>
      </c>
      <c r="E88" s="32">
        <f t="shared" ca="1" si="10"/>
        <v>1.5844003850743756E-2</v>
      </c>
      <c r="F88" s="18">
        <f t="shared" ca="1" si="11"/>
        <v>59.233864880380871</v>
      </c>
      <c r="G88" s="19">
        <f t="shared" ca="1" si="12"/>
        <v>-0.92386388038087119</v>
      </c>
      <c r="H88" s="27">
        <v>62.860000999999997</v>
      </c>
      <c r="I88" s="19">
        <f t="shared" si="13"/>
        <v>3.1168012322309702E-2</v>
      </c>
      <c r="J88" s="19">
        <f t="shared" ca="1" si="14"/>
        <v>-1.3756415331952827E-2</v>
      </c>
      <c r="K88" s="19">
        <f t="shared" ca="1" si="15"/>
        <v>82.341474911448088</v>
      </c>
      <c r="L88" s="19">
        <f t="shared" ca="1" si="16"/>
        <v>1.1485230885519115</v>
      </c>
      <c r="M88" s="19">
        <f t="shared" ca="1" si="17"/>
        <v>0.22465920817104035</v>
      </c>
      <c r="AA88" s="37">
        <v>68</v>
      </c>
      <c r="AB88" s="37">
        <v>1.8384250682942442</v>
      </c>
      <c r="AC88" s="37">
        <v>2.8006254100946135</v>
      </c>
      <c r="AD88" s="37">
        <v>3.161571385096293</v>
      </c>
    </row>
    <row r="89" spans="2:30" x14ac:dyDescent="0.3">
      <c r="B89" s="28">
        <v>42759</v>
      </c>
      <c r="C89" s="25">
        <v>47.529998999999997</v>
      </c>
      <c r="D89" s="18">
        <f t="shared" si="9"/>
        <v>1.4730977796754807E-2</v>
      </c>
      <c r="E89" s="32">
        <f t="shared" ca="1" si="10"/>
        <v>3.1356795578844567E-3</v>
      </c>
      <c r="F89" s="18">
        <f t="shared" ca="1" si="11"/>
        <v>58.492842478155929</v>
      </c>
      <c r="G89" s="19">
        <f t="shared" ca="1" si="12"/>
        <v>-0.18284147815592888</v>
      </c>
      <c r="H89" s="27">
        <v>65.660004000000001</v>
      </c>
      <c r="I89" s="19">
        <f t="shared" si="13"/>
        <v>4.4543476860587461E-2</v>
      </c>
      <c r="J89" s="19">
        <f t="shared" ca="1" si="14"/>
        <v>-2.856669217394335E-2</v>
      </c>
      <c r="K89" s="19">
        <f t="shared" ca="1" si="15"/>
        <v>81.104964927530858</v>
      </c>
      <c r="L89" s="19">
        <f t="shared" ca="1" si="16"/>
        <v>2.3850330724691418</v>
      </c>
      <c r="M89" s="19">
        <f t="shared" ca="1" si="17"/>
        <v>2.2021915943132129</v>
      </c>
      <c r="AA89" s="37">
        <v>69</v>
      </c>
      <c r="AB89" s="37">
        <v>1.7542564698899117</v>
      </c>
      <c r="AC89" s="37">
        <v>3.0192770796030608</v>
      </c>
      <c r="AD89" s="37">
        <v>3.3382859431840002</v>
      </c>
    </row>
    <row r="90" spans="2:30" x14ac:dyDescent="0.3">
      <c r="B90" s="28">
        <v>42760</v>
      </c>
      <c r="C90" s="25">
        <v>48.380001</v>
      </c>
      <c r="D90" s="18">
        <f t="shared" si="9"/>
        <v>1.7883484491552526E-2</v>
      </c>
      <c r="E90" s="32">
        <f t="shared" ca="1" si="10"/>
        <v>1.5341057270134901E-2</v>
      </c>
      <c r="F90" s="18">
        <f t="shared" ca="1" si="11"/>
        <v>59.204538064762623</v>
      </c>
      <c r="G90" s="19">
        <f t="shared" ca="1" si="12"/>
        <v>-0.8945370647626234</v>
      </c>
      <c r="H90" s="27">
        <v>64.559997999999993</v>
      </c>
      <c r="I90" s="19">
        <f t="shared" si="13"/>
        <v>-1.6753060203895331E-2</v>
      </c>
      <c r="J90" s="19">
        <f t="shared" ca="1" si="14"/>
        <v>3.0157384571863257E-3</v>
      </c>
      <c r="K90" s="19">
        <f t="shared" ca="1" si="15"/>
        <v>83.741781997759006</v>
      </c>
      <c r="L90" s="19">
        <f t="shared" ca="1" si="16"/>
        <v>-0.25178399775900573</v>
      </c>
      <c r="M90" s="19">
        <f t="shared" ca="1" si="17"/>
        <v>-1.1463210625216291</v>
      </c>
      <c r="AA90" s="37">
        <v>70</v>
      </c>
      <c r="AB90" s="37">
        <v>1.7669234290163596</v>
      </c>
      <c r="AC90" s="37">
        <v>2.9501462238132485</v>
      </c>
      <c r="AD90" s="37">
        <v>3.3505171149291053</v>
      </c>
    </row>
    <row r="91" spans="2:30" x14ac:dyDescent="0.3">
      <c r="B91" s="28">
        <v>42761</v>
      </c>
      <c r="C91" s="25">
        <v>47.490001999999997</v>
      </c>
      <c r="D91" s="18">
        <f t="shared" si="9"/>
        <v>-1.8396010368003202E-2</v>
      </c>
      <c r="E91" s="32">
        <f t="shared" ca="1" si="10"/>
        <v>5.8955474510678368E-3</v>
      </c>
      <c r="F91" s="18">
        <f t="shared" ca="1" si="11"/>
        <v>58.653770377767309</v>
      </c>
      <c r="G91" s="19">
        <f t="shared" ca="1" si="12"/>
        <v>-0.34376937776730898</v>
      </c>
      <c r="H91" s="27">
        <v>62.119999</v>
      </c>
      <c r="I91" s="19">
        <f t="shared" si="13"/>
        <v>-3.7794285557443685E-2</v>
      </c>
      <c r="J91" s="19">
        <f t="shared" ca="1" si="14"/>
        <v>1.8498876745365354E-2</v>
      </c>
      <c r="K91" s="19">
        <f t="shared" ca="1" si="15"/>
        <v>85.03446918247279</v>
      </c>
      <c r="L91" s="19">
        <f t="shared" ca="1" si="16"/>
        <v>-1.5444711824727904</v>
      </c>
      <c r="M91" s="19">
        <f t="shared" ca="1" si="17"/>
        <v>-1.8882405602400993</v>
      </c>
      <c r="O91" s="35" t="s">
        <v>33</v>
      </c>
      <c r="P91" s="35"/>
      <c r="Q91" s="35"/>
      <c r="R91" s="35"/>
      <c r="S91" s="35"/>
      <c r="T91" s="35"/>
      <c r="U91" s="35"/>
      <c r="V91" s="35"/>
      <c r="W91" s="35"/>
      <c r="X91" s="35"/>
      <c r="Y91" s="35"/>
      <c r="AA91" s="37">
        <v>71</v>
      </c>
      <c r="AB91" s="37">
        <v>1.8495820830344518</v>
      </c>
      <c r="AC91" s="37">
        <v>2.9783943765023766</v>
      </c>
      <c r="AD91" s="37">
        <v>3.3602761648057049</v>
      </c>
    </row>
    <row r="92" spans="2:30" x14ac:dyDescent="0.3">
      <c r="B92" s="28">
        <v>42762</v>
      </c>
      <c r="C92" s="25">
        <v>47.459999000000003</v>
      </c>
      <c r="D92" s="18">
        <f t="shared" si="9"/>
        <v>-6.3177508394274273E-4</v>
      </c>
      <c r="E92" s="32">
        <f t="shared" ca="1" si="10"/>
        <v>1.341994304137915E-2</v>
      </c>
      <c r="F92" s="18">
        <f t="shared" ca="1" si="11"/>
        <v>59.092517892162753</v>
      </c>
      <c r="G92" s="19">
        <f t="shared" ca="1" si="12"/>
        <v>-0.78251689216275366</v>
      </c>
      <c r="H92" s="27">
        <v>61.68</v>
      </c>
      <c r="I92" s="19">
        <f t="shared" si="13"/>
        <v>-7.0830490515623179E-3</v>
      </c>
      <c r="J92" s="19">
        <f t="shared" ca="1" si="14"/>
        <v>-1.0665952871123194E-2</v>
      </c>
      <c r="K92" s="19">
        <f t="shared" ca="1" si="15"/>
        <v>82.599497616121837</v>
      </c>
      <c r="L92" s="19">
        <f t="shared" ca="1" si="16"/>
        <v>0.89050038387816244</v>
      </c>
      <c r="M92" s="19">
        <f t="shared" ca="1" si="17"/>
        <v>0.10798349171540877</v>
      </c>
      <c r="AA92" s="37">
        <v>72</v>
      </c>
      <c r="AB92" s="37">
        <v>1.7912409145383625</v>
      </c>
      <c r="AC92" s="37">
        <v>2.8098176902615069</v>
      </c>
      <c r="AD92" s="37">
        <v>3.4062223801975726</v>
      </c>
    </row>
    <row r="93" spans="2:30" x14ac:dyDescent="0.3">
      <c r="B93" s="28">
        <v>42765</v>
      </c>
      <c r="C93" s="25">
        <v>46.959999000000003</v>
      </c>
      <c r="D93" s="18">
        <f t="shared" si="9"/>
        <v>-1.0535187748318298E-2</v>
      </c>
      <c r="E93" s="32">
        <f t="shared" ca="1" si="10"/>
        <v>-2.8585045897378598E-2</v>
      </c>
      <c r="F93" s="18">
        <f t="shared" ca="1" si="11"/>
        <v>56.643206945138807</v>
      </c>
      <c r="G93" s="19">
        <f t="shared" ca="1" si="12"/>
        <v>1.6667940548611924</v>
      </c>
      <c r="H93" s="27">
        <v>60.91</v>
      </c>
      <c r="I93" s="19">
        <f t="shared" si="13"/>
        <v>-1.2483787289234827E-2</v>
      </c>
      <c r="J93" s="19">
        <f t="shared" ca="1" si="14"/>
        <v>-5.7047866369094142E-4</v>
      </c>
      <c r="K93" s="19">
        <f t="shared" ca="1" si="15"/>
        <v>83.442368737509398</v>
      </c>
      <c r="L93" s="19">
        <f t="shared" ca="1" si="16"/>
        <v>4.7629262490602287E-2</v>
      </c>
      <c r="M93" s="19">
        <f t="shared" ca="1" si="17"/>
        <v>1.7144233173517947</v>
      </c>
      <c r="AA93" s="37">
        <v>73</v>
      </c>
      <c r="AB93" s="37">
        <v>1.7415457009569952</v>
      </c>
      <c r="AC93" s="37">
        <v>2.6993881028352371</v>
      </c>
      <c r="AD93" s="37">
        <v>3.4635945830373362</v>
      </c>
    </row>
    <row r="94" spans="2:30" x14ac:dyDescent="0.3">
      <c r="B94" s="28">
        <v>42766</v>
      </c>
      <c r="C94" s="25">
        <v>46.23</v>
      </c>
      <c r="D94" s="18">
        <f t="shared" si="9"/>
        <v>-1.5545123840398856E-2</v>
      </c>
      <c r="E94" s="32">
        <f t="shared" ca="1" si="10"/>
        <v>3.3332222551461662E-3</v>
      </c>
      <c r="F94" s="18">
        <f t="shared" ca="1" si="11"/>
        <v>58.504361193030789</v>
      </c>
      <c r="G94" s="19">
        <f t="shared" ca="1" si="12"/>
        <v>-0.19436019303078922</v>
      </c>
      <c r="H94" s="27">
        <v>62.540000999999997</v>
      </c>
      <c r="I94" s="19">
        <f t="shared" si="13"/>
        <v>2.6760811032671139E-2</v>
      </c>
      <c r="J94" s="19">
        <f t="shared" ca="1" si="14"/>
        <v>-2.6658062965228019E-2</v>
      </c>
      <c r="K94" s="19">
        <f t="shared" ca="1" si="15"/>
        <v>81.264316376349242</v>
      </c>
      <c r="L94" s="19">
        <f t="shared" ca="1" si="16"/>
        <v>2.2256816236507575</v>
      </c>
      <c r="M94" s="19">
        <f t="shared" ca="1" si="17"/>
        <v>2.0313214306199683</v>
      </c>
      <c r="AA94" s="37">
        <v>74</v>
      </c>
      <c r="AB94" s="37">
        <v>1.9036032721160983</v>
      </c>
      <c r="AC94" s="37">
        <v>2.7594125526298359</v>
      </c>
      <c r="AD94" s="37">
        <v>3.143686970543011</v>
      </c>
    </row>
    <row r="95" spans="2:30" x14ac:dyDescent="0.3">
      <c r="B95" s="28">
        <v>42767</v>
      </c>
      <c r="C95" s="25">
        <v>45.849997999999999</v>
      </c>
      <c r="D95" s="18">
        <f t="shared" si="9"/>
        <v>-8.2198139736101572E-3</v>
      </c>
      <c r="E95" s="32">
        <f t="shared" ca="1" si="10"/>
        <v>3.4488818086391066E-3</v>
      </c>
      <c r="F95" s="18">
        <f t="shared" ca="1" si="11"/>
        <v>58.511105301710629</v>
      </c>
      <c r="G95" s="19">
        <f t="shared" ca="1" si="12"/>
        <v>-0.20110430171062887</v>
      </c>
      <c r="H95" s="27">
        <v>64.849997999999999</v>
      </c>
      <c r="I95" s="19">
        <f t="shared" si="13"/>
        <v>3.6936312169230767E-2</v>
      </c>
      <c r="J95" s="19">
        <f t="shared" ca="1" si="14"/>
        <v>-2.1916849518870591E-2</v>
      </c>
      <c r="K95" s="19">
        <f t="shared" ca="1" si="15"/>
        <v>81.660160277503195</v>
      </c>
      <c r="L95" s="19">
        <f t="shared" ca="1" si="16"/>
        <v>1.829837722496805</v>
      </c>
      <c r="M95" s="19">
        <f t="shared" ca="1" si="17"/>
        <v>1.6287334207861761</v>
      </c>
      <c r="AA95" s="37">
        <v>75</v>
      </c>
      <c r="AB95" s="37">
        <v>1.8581553273183535</v>
      </c>
      <c r="AC95" s="37">
        <v>2.9309411066066948</v>
      </c>
      <c r="AD95" s="37">
        <v>3.4561366398630198</v>
      </c>
    </row>
    <row r="96" spans="2:30" x14ac:dyDescent="0.3">
      <c r="B96" s="28">
        <v>42768</v>
      </c>
      <c r="C96" s="25">
        <v>46.560001</v>
      </c>
      <c r="D96" s="18">
        <f t="shared" si="9"/>
        <v>1.5485344186928929E-2</v>
      </c>
      <c r="E96" s="32">
        <f t="shared" ca="1" si="10"/>
        <v>8.1779540223142783E-3</v>
      </c>
      <c r="F96" s="18">
        <f t="shared" ca="1" si="11"/>
        <v>58.786857507219104</v>
      </c>
      <c r="G96" s="19">
        <f t="shared" ca="1" si="12"/>
        <v>-0.47685650721910378</v>
      </c>
      <c r="H96" s="27">
        <v>63.310001</v>
      </c>
      <c r="I96" s="19">
        <f t="shared" si="13"/>
        <v>-2.374706318418085E-2</v>
      </c>
      <c r="J96" s="19">
        <f t="shared" ca="1" si="14"/>
        <v>1.1234336125618338E-2</v>
      </c>
      <c r="K96" s="19">
        <f t="shared" ca="1" si="15"/>
        <v>84.427952700659205</v>
      </c>
      <c r="L96" s="19">
        <f t="shared" ca="1" si="16"/>
        <v>-0.93795470065920483</v>
      </c>
      <c r="M96" s="19">
        <f t="shared" ca="1" si="17"/>
        <v>-1.4148112078783086</v>
      </c>
      <c r="AA96" s="37">
        <v>76</v>
      </c>
      <c r="AB96" s="37">
        <v>1.8310944367449586</v>
      </c>
      <c r="AC96" s="37">
        <v>2.8648709440058782</v>
      </c>
      <c r="AD96" s="37">
        <v>3.333857949492073</v>
      </c>
    </row>
    <row r="97" spans="2:30" x14ac:dyDescent="0.3">
      <c r="B97" s="28">
        <v>42769</v>
      </c>
      <c r="C97" s="25">
        <v>47.5</v>
      </c>
      <c r="D97" s="18">
        <f t="shared" si="9"/>
        <v>2.0188981525150806E-2</v>
      </c>
      <c r="E97" s="32">
        <f t="shared" ca="1" si="10"/>
        <v>-2.1116596068440966E-2</v>
      </c>
      <c r="F97" s="18">
        <f t="shared" ca="1" si="11"/>
        <v>57.078692262132613</v>
      </c>
      <c r="G97" s="19">
        <f t="shared" ca="1" si="12"/>
        <v>1.231308737867387</v>
      </c>
      <c r="H97" s="27">
        <v>63.889999000000003</v>
      </c>
      <c r="I97" s="19">
        <f t="shared" si="13"/>
        <v>9.1612382062671305E-3</v>
      </c>
      <c r="J97" s="19">
        <f t="shared" ca="1" si="14"/>
        <v>-1.5765718273258993E-2</v>
      </c>
      <c r="K97" s="19">
        <f t="shared" ca="1" si="15"/>
        <v>82.173718212897043</v>
      </c>
      <c r="L97" s="19">
        <f t="shared" ca="1" si="16"/>
        <v>1.3162797871029568</v>
      </c>
      <c r="M97" s="19">
        <f t="shared" ca="1" si="17"/>
        <v>2.5475885249703438</v>
      </c>
      <c r="AA97" s="37">
        <v>77</v>
      </c>
      <c r="AB97" s="37">
        <v>1.7564281025607669</v>
      </c>
      <c r="AC97" s="37">
        <v>2.9263707307862146</v>
      </c>
      <c r="AD97" s="37">
        <v>3.3550651063828254</v>
      </c>
    </row>
    <row r="98" spans="2:30" x14ac:dyDescent="0.3">
      <c r="B98" s="28">
        <v>42773</v>
      </c>
      <c r="C98" s="25">
        <v>47.029998999999997</v>
      </c>
      <c r="D98" s="18">
        <f t="shared" si="9"/>
        <v>-9.8947578947369275E-3</v>
      </c>
      <c r="E98" s="32">
        <f t="shared" ca="1" si="10"/>
        <v>1.4684113893701937E-2</v>
      </c>
      <c r="F98" s="18">
        <f t="shared" ca="1" si="11"/>
        <v>59.166231695825871</v>
      </c>
      <c r="G98" s="19">
        <f t="shared" ca="1" si="12"/>
        <v>-0.85623069582587163</v>
      </c>
      <c r="H98" s="27">
        <v>63.82</v>
      </c>
      <c r="I98" s="19">
        <f t="shared" si="13"/>
        <v>-1.0956174846707967E-3</v>
      </c>
      <c r="J98" s="19">
        <f t="shared" ca="1" si="14"/>
        <v>3.7356652044538287E-2</v>
      </c>
      <c r="K98" s="19">
        <f t="shared" ca="1" si="15"/>
        <v>86.608904804485192</v>
      </c>
      <c r="L98" s="19">
        <f t="shared" ca="1" si="16"/>
        <v>-3.1189068044851922</v>
      </c>
      <c r="M98" s="19">
        <f t="shared" ca="1" si="17"/>
        <v>-3.9751375003110638</v>
      </c>
      <c r="AA98" s="37">
        <v>78</v>
      </c>
      <c r="AB98" s="37">
        <v>1.7528517830557155</v>
      </c>
      <c r="AC98" s="37">
        <v>3.0148851088343109</v>
      </c>
      <c r="AD98" s="37">
        <v>3.4446114866211661</v>
      </c>
    </row>
    <row r="99" spans="2:30" x14ac:dyDescent="0.3">
      <c r="B99" s="28">
        <v>42774</v>
      </c>
      <c r="C99" s="25">
        <v>46.740001999999997</v>
      </c>
      <c r="D99" s="18">
        <f t="shared" si="9"/>
        <v>-6.1662131866088155E-3</v>
      </c>
      <c r="E99" s="32">
        <f t="shared" ca="1" si="10"/>
        <v>-2.0203408745925876E-2</v>
      </c>
      <c r="F99" s="18">
        <f t="shared" ca="1" si="11"/>
        <v>57.131940215821658</v>
      </c>
      <c r="G99" s="19">
        <f t="shared" ca="1" si="12"/>
        <v>1.1780607841783421</v>
      </c>
      <c r="H99" s="27">
        <v>64.440002000000007</v>
      </c>
      <c r="I99" s="19">
        <f t="shared" si="13"/>
        <v>9.7148542776559488E-3</v>
      </c>
      <c r="J99" s="19">
        <f t="shared" ca="1" si="14"/>
        <v>-3.3813757669158152E-2</v>
      </c>
      <c r="K99" s="19">
        <f t="shared" ca="1" si="15"/>
        <v>80.666887439829495</v>
      </c>
      <c r="L99" s="19">
        <f t="shared" ca="1" si="16"/>
        <v>2.8231105601705053</v>
      </c>
      <c r="M99" s="19">
        <f t="shared" ca="1" si="17"/>
        <v>4.0011713443488475</v>
      </c>
      <c r="AA99" s="37">
        <v>79</v>
      </c>
      <c r="AB99" s="37">
        <v>1.7011180145901867</v>
      </c>
      <c r="AC99" s="37">
        <v>2.9170807332991271</v>
      </c>
      <c r="AD99" s="37">
        <v>3.2677522615316947</v>
      </c>
    </row>
    <row r="100" spans="2:30" x14ac:dyDescent="0.3">
      <c r="B100" s="28">
        <v>42775</v>
      </c>
      <c r="C100" s="25">
        <v>47.23</v>
      </c>
      <c r="D100" s="18">
        <f t="shared" si="9"/>
        <v>1.0483482649401576E-2</v>
      </c>
      <c r="E100" s="32">
        <f t="shared" ca="1" si="10"/>
        <v>2.7474969629063442E-2</v>
      </c>
      <c r="F100" s="18">
        <f t="shared" ca="1" si="11"/>
        <v>59.912066506545663</v>
      </c>
      <c r="G100" s="19">
        <f t="shared" ca="1" si="12"/>
        <v>-1.6020655065456637</v>
      </c>
      <c r="H100" s="27">
        <v>63.130001</v>
      </c>
      <c r="I100" s="19">
        <f t="shared" si="13"/>
        <v>-2.0329003093451314E-2</v>
      </c>
      <c r="J100" s="19">
        <f t="shared" ca="1" si="14"/>
        <v>2.3648000396361092E-2</v>
      </c>
      <c r="K100" s="19">
        <f t="shared" ca="1" si="15"/>
        <v>85.464369505796185</v>
      </c>
      <c r="L100" s="19">
        <f t="shared" ca="1" si="16"/>
        <v>-1.974371505796185</v>
      </c>
      <c r="M100" s="19">
        <f t="shared" ca="1" si="17"/>
        <v>-3.5764370123418487</v>
      </c>
      <c r="AA100" s="37">
        <v>80</v>
      </c>
      <c r="AB100" s="37">
        <v>1.76562650608115</v>
      </c>
      <c r="AC100" s="37">
        <v>2.7880087092805268</v>
      </c>
      <c r="AD100" s="37">
        <v>3.3483885675134939</v>
      </c>
    </row>
    <row r="101" spans="2:30" x14ac:dyDescent="0.3">
      <c r="B101" s="28">
        <v>42776</v>
      </c>
      <c r="C101" s="25">
        <v>48.439999</v>
      </c>
      <c r="D101" s="18">
        <f t="shared" si="9"/>
        <v>2.561928858776219E-2</v>
      </c>
      <c r="E101" s="32">
        <f t="shared" ca="1" si="10"/>
        <v>9.999907298871482E-3</v>
      </c>
      <c r="F101" s="18">
        <f t="shared" ca="1" si="11"/>
        <v>58.8930956045971</v>
      </c>
      <c r="G101" s="19">
        <f t="shared" ca="1" si="12"/>
        <v>-0.58309460459710039</v>
      </c>
      <c r="H101" s="27">
        <v>64.860000999999997</v>
      </c>
      <c r="I101" s="19">
        <f t="shared" si="13"/>
        <v>2.7403769564331215E-2</v>
      </c>
      <c r="J101" s="19">
        <f t="shared" ca="1" si="14"/>
        <v>-4.4895416014250594E-2</v>
      </c>
      <c r="K101" s="19">
        <f t="shared" ca="1" si="15"/>
        <v>79.741679806761042</v>
      </c>
      <c r="L101" s="19">
        <f t="shared" ca="1" si="16"/>
        <v>3.7483181932389584</v>
      </c>
      <c r="M101" s="19">
        <f t="shared" ca="1" si="17"/>
        <v>3.165223588641858</v>
      </c>
      <c r="AA101" s="37">
        <v>81</v>
      </c>
      <c r="AB101" s="37">
        <v>1.8841111393006973</v>
      </c>
      <c r="AC101" s="37">
        <v>2.8185668085630944</v>
      </c>
      <c r="AD101" s="37">
        <v>3.4896943819355077</v>
      </c>
    </row>
    <row r="102" spans="2:30" x14ac:dyDescent="0.3">
      <c r="B102" s="28">
        <v>42779</v>
      </c>
      <c r="C102" s="25">
        <v>48.299999</v>
      </c>
      <c r="D102" s="18">
        <f t="shared" si="9"/>
        <v>-2.8901734700697013E-3</v>
      </c>
      <c r="E102" s="32">
        <f t="shared" ca="1" si="10"/>
        <v>1.9005691372595664E-2</v>
      </c>
      <c r="F102" s="18">
        <f t="shared" ca="1" si="11"/>
        <v>59.418222882941741</v>
      </c>
      <c r="G102" s="19">
        <f t="shared" ca="1" si="12"/>
        <v>-1.1082218829417414</v>
      </c>
      <c r="H102" s="27">
        <v>66.199996999999996</v>
      </c>
      <c r="I102" s="19">
        <f t="shared" si="13"/>
        <v>2.065982083472373E-2</v>
      </c>
      <c r="J102" s="19">
        <f t="shared" ca="1" si="14"/>
        <v>4.8746145721294517E-3</v>
      </c>
      <c r="K102" s="19">
        <f t="shared" ca="1" si="15"/>
        <v>83.896979560877853</v>
      </c>
      <c r="L102" s="19">
        <f t="shared" ca="1" si="16"/>
        <v>-0.40698156087785264</v>
      </c>
      <c r="M102" s="19">
        <f t="shared" ca="1" si="17"/>
        <v>-1.515203443819594</v>
      </c>
      <c r="AA102" s="37">
        <v>82</v>
      </c>
      <c r="AB102" s="37">
        <v>1.7452274304329931</v>
      </c>
      <c r="AC102" s="37">
        <v>2.9922698798262375</v>
      </c>
      <c r="AD102" s="37">
        <v>3.2096442690520557</v>
      </c>
    </row>
    <row r="103" spans="2:30" x14ac:dyDescent="0.3">
      <c r="B103" s="28">
        <v>42780</v>
      </c>
      <c r="C103" s="25">
        <v>47.52</v>
      </c>
      <c r="D103" s="18">
        <f t="shared" si="9"/>
        <v>-1.6149047953396334E-2</v>
      </c>
      <c r="E103" s="32">
        <f t="shared" ca="1" si="10"/>
        <v>-1.0996744413816812E-2</v>
      </c>
      <c r="F103" s="18">
        <f t="shared" ca="1" si="11"/>
        <v>57.6687808222336</v>
      </c>
      <c r="G103" s="19">
        <f t="shared" ca="1" si="12"/>
        <v>0.6412201777663995</v>
      </c>
      <c r="H103" s="27">
        <v>66.279999000000004</v>
      </c>
      <c r="I103" s="19">
        <f t="shared" si="13"/>
        <v>1.2084894807473656E-3</v>
      </c>
      <c r="J103" s="19">
        <f t="shared" ca="1" si="14"/>
        <v>-3.2121044766275095E-3</v>
      </c>
      <c r="K103" s="19">
        <f t="shared" ca="1" si="15"/>
        <v>83.22181940367058</v>
      </c>
      <c r="L103" s="19">
        <f t="shared" ca="1" si="16"/>
        <v>0.26817859632942032</v>
      </c>
      <c r="M103" s="19">
        <f t="shared" ca="1" si="17"/>
        <v>0.90939877409581982</v>
      </c>
      <c r="AA103" s="37">
        <v>83</v>
      </c>
      <c r="AB103" s="37">
        <v>1.8126003910036752</v>
      </c>
      <c r="AC103" s="37">
        <v>2.8511453646873988</v>
      </c>
      <c r="AD103" s="37">
        <v>3.4214883566634899</v>
      </c>
    </row>
    <row r="104" spans="2:30" x14ac:dyDescent="0.3">
      <c r="B104" s="28">
        <v>42781</v>
      </c>
      <c r="C104" s="25">
        <v>47.360000999999997</v>
      </c>
      <c r="D104" s="18">
        <f t="shared" si="9"/>
        <v>-3.3669823232324037E-3</v>
      </c>
      <c r="E104" s="32">
        <f t="shared" ca="1" si="10"/>
        <v>4.3549755373135136E-3</v>
      </c>
      <c r="F104" s="18">
        <f t="shared" ca="1" si="11"/>
        <v>58.563939627935731</v>
      </c>
      <c r="G104" s="19">
        <f t="shared" ca="1" si="12"/>
        <v>-0.25393862793573163</v>
      </c>
      <c r="H104" s="27">
        <v>64.510002</v>
      </c>
      <c r="I104" s="19">
        <f t="shared" si="13"/>
        <v>-2.6704843492831087E-2</v>
      </c>
      <c r="J104" s="19">
        <f t="shared" ca="1" si="14"/>
        <v>-4.2738157755767793E-3</v>
      </c>
      <c r="K104" s="19">
        <f t="shared" ca="1" si="15"/>
        <v>83.133177129444732</v>
      </c>
      <c r="L104" s="19">
        <f t="shared" ca="1" si="16"/>
        <v>0.35682087055526779</v>
      </c>
      <c r="M104" s="19">
        <f t="shared" ca="1" si="17"/>
        <v>0.10288224261953616</v>
      </c>
      <c r="AA104" s="37">
        <v>84</v>
      </c>
      <c r="AB104" s="37">
        <v>1.7392000242065797</v>
      </c>
      <c r="AC104" s="37">
        <v>2.8338711132243892</v>
      </c>
      <c r="AD104" s="37">
        <v>3.3878058609767621</v>
      </c>
    </row>
    <row r="105" spans="2:30" x14ac:dyDescent="0.3">
      <c r="B105" s="28">
        <v>42782</v>
      </c>
      <c r="C105" s="25">
        <v>47.799999</v>
      </c>
      <c r="D105" s="18">
        <f t="shared" si="9"/>
        <v>9.2904981146433308E-3</v>
      </c>
      <c r="E105" s="32">
        <f t="shared" ca="1" si="10"/>
        <v>7.9989172485973783E-3</v>
      </c>
      <c r="F105" s="18">
        <f t="shared" ca="1" si="11"/>
        <v>58.776417872764632</v>
      </c>
      <c r="G105" s="19">
        <f t="shared" ca="1" si="12"/>
        <v>-0.46641687276463273</v>
      </c>
      <c r="H105" s="27">
        <v>65.080001999999993</v>
      </c>
      <c r="I105" s="19">
        <f t="shared" si="13"/>
        <v>8.8358391308063222E-3</v>
      </c>
      <c r="J105" s="19">
        <f t="shared" ca="1" si="14"/>
        <v>1.9730249192920963E-3</v>
      </c>
      <c r="K105" s="19">
        <f t="shared" ca="1" si="15"/>
        <v>83.654725846565654</v>
      </c>
      <c r="L105" s="19">
        <f t="shared" ca="1" si="16"/>
        <v>-0.16472784656565409</v>
      </c>
      <c r="M105" s="19">
        <f t="shared" ca="1" si="17"/>
        <v>-0.63114471933028682</v>
      </c>
      <c r="AA105" s="37">
        <v>85</v>
      </c>
      <c r="AB105" s="37">
        <v>1.7723536411979472</v>
      </c>
      <c r="AC105" s="37">
        <v>2.9516493748304851</v>
      </c>
      <c r="AD105" s="37">
        <v>3.2861947602085406</v>
      </c>
    </row>
    <row r="106" spans="2:30" x14ac:dyDescent="0.3">
      <c r="B106" s="28">
        <v>42783</v>
      </c>
      <c r="C106" s="25">
        <v>47.560001</v>
      </c>
      <c r="D106" s="18">
        <f t="shared" si="9"/>
        <v>-5.0208787661272236E-3</v>
      </c>
      <c r="E106" s="32">
        <f t="shared" ca="1" si="10"/>
        <v>-4.7459451451153083E-3</v>
      </c>
      <c r="F106" s="18">
        <f t="shared" ca="1" si="11"/>
        <v>58.033264933842382</v>
      </c>
      <c r="G106" s="19">
        <f t="shared" ca="1" si="12"/>
        <v>0.2767360661576177</v>
      </c>
      <c r="H106" s="27">
        <v>64.330001999999993</v>
      </c>
      <c r="I106" s="19">
        <f t="shared" si="13"/>
        <v>-1.1524277457766519E-2</v>
      </c>
      <c r="J106" s="19">
        <f t="shared" ca="1" si="14"/>
        <v>-5.4786283035138494E-2</v>
      </c>
      <c r="K106" s="19">
        <f t="shared" ca="1" si="15"/>
        <v>78.915891338968862</v>
      </c>
      <c r="L106" s="19">
        <f t="shared" ca="1" si="16"/>
        <v>4.5741066610311378</v>
      </c>
      <c r="M106" s="19">
        <f t="shared" ca="1" si="17"/>
        <v>4.8508427271887555</v>
      </c>
      <c r="AA106" s="37">
        <v>86</v>
      </c>
      <c r="AB106" s="37">
        <v>1.9817695346988577</v>
      </c>
      <c r="AC106" s="37">
        <v>2.743062461479338</v>
      </c>
      <c r="AD106" s="37">
        <v>3.4380403572106428</v>
      </c>
    </row>
    <row r="107" spans="2:30" x14ac:dyDescent="0.3">
      <c r="B107" s="28">
        <v>42786</v>
      </c>
      <c r="C107" s="25">
        <v>47.970001000000003</v>
      </c>
      <c r="D107" s="18">
        <f t="shared" si="9"/>
        <v>8.6206894739131457E-3</v>
      </c>
      <c r="E107" s="32">
        <f t="shared" ca="1" si="10"/>
        <v>-8.4465631601162282E-3</v>
      </c>
      <c r="F107" s="18">
        <f t="shared" ca="1" si="11"/>
        <v>57.817481893687059</v>
      </c>
      <c r="G107" s="19">
        <f t="shared" ca="1" si="12"/>
        <v>0.49251910631294038</v>
      </c>
      <c r="H107" s="27">
        <v>65.010002</v>
      </c>
      <c r="I107" s="19">
        <f t="shared" si="13"/>
        <v>1.0570495551982306E-2</v>
      </c>
      <c r="J107" s="19">
        <f t="shared" ca="1" si="14"/>
        <v>-1.9388620130538232E-2</v>
      </c>
      <c r="K107" s="19">
        <f t="shared" ca="1" si="15"/>
        <v>81.871242144078607</v>
      </c>
      <c r="L107" s="19">
        <f t="shared" ca="1" si="16"/>
        <v>1.6187558559213926</v>
      </c>
      <c r="M107" s="19">
        <f t="shared" ca="1" si="17"/>
        <v>2.111274962234333</v>
      </c>
      <c r="AA107" s="37">
        <v>87</v>
      </c>
      <c r="AB107" s="37">
        <v>1.7524277145179714</v>
      </c>
      <c r="AC107" s="37">
        <v>2.7406368668764314</v>
      </c>
      <c r="AD107" s="37">
        <v>3.2311646377235617</v>
      </c>
    </row>
    <row r="108" spans="2:30" x14ac:dyDescent="0.3">
      <c r="B108" s="28">
        <v>42787</v>
      </c>
      <c r="C108" s="25">
        <v>48.110000999999997</v>
      </c>
      <c r="D108" s="18">
        <f t="shared" si="9"/>
        <v>2.9184906625288054E-3</v>
      </c>
      <c r="E108" s="32">
        <f t="shared" ca="1" si="10"/>
        <v>1.530105150810664E-2</v>
      </c>
      <c r="F108" s="18">
        <f t="shared" ca="1" si="11"/>
        <v>59.202205328738749</v>
      </c>
      <c r="G108" s="19">
        <f t="shared" ca="1" si="12"/>
        <v>-0.89220432873874955</v>
      </c>
      <c r="H108" s="27">
        <v>66.940002000000007</v>
      </c>
      <c r="I108" s="19">
        <f t="shared" si="13"/>
        <v>2.9687739434310467E-2</v>
      </c>
      <c r="J108" s="19">
        <f t="shared" ca="1" si="14"/>
        <v>2.8802187285016805E-2</v>
      </c>
      <c r="K108" s="19">
        <f t="shared" ca="1" si="15"/>
        <v>85.894692558821674</v>
      </c>
      <c r="L108" s="19">
        <f t="shared" ca="1" si="16"/>
        <v>-2.4046945588216744</v>
      </c>
      <c r="M108" s="19">
        <f t="shared" ca="1" si="17"/>
        <v>-3.2968988875604239</v>
      </c>
      <c r="AA108" s="37">
        <v>88</v>
      </c>
      <c r="AB108" s="37">
        <v>1.8072064941147721</v>
      </c>
      <c r="AC108" s="37">
        <v>2.8237592754256653</v>
      </c>
      <c r="AD108" s="37">
        <v>3.172705074459218</v>
      </c>
    </row>
    <row r="109" spans="2:30" x14ac:dyDescent="0.3">
      <c r="B109" s="28">
        <v>42788</v>
      </c>
      <c r="C109" s="25">
        <v>48.110000999999997</v>
      </c>
      <c r="D109" s="18">
        <f t="shared" si="9"/>
        <v>0</v>
      </c>
      <c r="E109" s="32">
        <f t="shared" ca="1" si="10"/>
        <v>2.811117529963475E-2</v>
      </c>
      <c r="F109" s="18">
        <f t="shared" ca="1" si="11"/>
        <v>59.949163659832884</v>
      </c>
      <c r="G109" s="19">
        <f t="shared" ca="1" si="12"/>
        <v>-1.6391626598328841</v>
      </c>
      <c r="H109" s="27">
        <v>64.800003000000004</v>
      </c>
      <c r="I109" s="19">
        <f t="shared" si="13"/>
        <v>-3.1968911503767239E-2</v>
      </c>
      <c r="J109" s="19">
        <f t="shared" ca="1" si="14"/>
        <v>2.8057669780337025E-2</v>
      </c>
      <c r="K109" s="19">
        <f t="shared" ca="1" si="15"/>
        <v>85.83253279384499</v>
      </c>
      <c r="L109" s="19">
        <f t="shared" ca="1" si="16"/>
        <v>-2.3425347938449903</v>
      </c>
      <c r="M109" s="19">
        <f t="shared" ca="1" si="17"/>
        <v>-3.9816974536778744</v>
      </c>
      <c r="AA109" s="37">
        <v>89</v>
      </c>
      <c r="AB109" s="37">
        <v>1.8747070383905813</v>
      </c>
      <c r="AC109" s="37">
        <v>2.844165688447168</v>
      </c>
      <c r="AD109" s="37">
        <v>3.3314370406920473</v>
      </c>
    </row>
    <row r="110" spans="2:30" x14ac:dyDescent="0.3">
      <c r="B110" s="28">
        <v>42789</v>
      </c>
      <c r="C110" s="25">
        <v>47.66</v>
      </c>
      <c r="D110" s="18">
        <f t="shared" si="9"/>
        <v>-9.3535853387324286E-3</v>
      </c>
      <c r="E110" s="32">
        <f t="shared" ca="1" si="10"/>
        <v>1.5265673704753483E-2</v>
      </c>
      <c r="F110" s="18">
        <f t="shared" ca="1" si="11"/>
        <v>59.200142448989844</v>
      </c>
      <c r="G110" s="19">
        <f t="shared" ca="1" si="12"/>
        <v>-0.89014144898984426</v>
      </c>
      <c r="H110" s="27">
        <v>63.029998999999997</v>
      </c>
      <c r="I110" s="19">
        <f t="shared" si="13"/>
        <v>-2.7314875278632411E-2</v>
      </c>
      <c r="J110" s="19">
        <f t="shared" ca="1" si="14"/>
        <v>-3.9395937772106378E-2</v>
      </c>
      <c r="K110" s="19">
        <f t="shared" ca="1" si="15"/>
        <v>80.200831234198716</v>
      </c>
      <c r="L110" s="19">
        <f t="shared" ca="1" si="16"/>
        <v>3.2891667658012835</v>
      </c>
      <c r="M110" s="19">
        <f t="shared" ca="1" si="17"/>
        <v>2.3990253168114393</v>
      </c>
      <c r="AA110" s="37">
        <v>90</v>
      </c>
      <c r="AB110" s="37">
        <v>1.8231867543100393</v>
      </c>
      <c r="AC110" s="37">
        <v>2.7777813505686195</v>
      </c>
      <c r="AD110" s="37">
        <v>3.2100502519456562</v>
      </c>
    </row>
    <row r="111" spans="2:30" x14ac:dyDescent="0.3">
      <c r="B111" s="28">
        <v>42790</v>
      </c>
      <c r="C111" s="25">
        <v>46.950001</v>
      </c>
      <c r="D111" s="18">
        <f t="shared" si="9"/>
        <v>-1.4897167436004999E-2</v>
      </c>
      <c r="E111" s="32">
        <f ca="1">NORMINV(RAND(),$E$3,$E$4)</f>
        <v>-1.9156493209293204E-2</v>
      </c>
      <c r="F111" s="18">
        <f t="shared" ca="1" si="11"/>
        <v>57.192985861809618</v>
      </c>
      <c r="G111" s="19">
        <f t="shared" ca="1" si="12"/>
        <v>1.1170151381903821</v>
      </c>
      <c r="H111" s="27">
        <v>62.23</v>
      </c>
      <c r="I111" s="19">
        <f t="shared" si="13"/>
        <v>-1.2692353049220229E-2</v>
      </c>
      <c r="J111" s="19">
        <f t="shared" ca="1" si="14"/>
        <v>3.7958587164076017E-3</v>
      </c>
      <c r="K111" s="19">
        <f t="shared" ca="1" si="15"/>
        <v>83.806914236641148</v>
      </c>
      <c r="L111" s="19">
        <f t="shared" ca="1" si="16"/>
        <v>-0.31691623664114843</v>
      </c>
      <c r="M111" s="19">
        <f t="shared" ca="1" si="17"/>
        <v>0.80009890154923369</v>
      </c>
      <c r="AA111" s="37">
        <v>91</v>
      </c>
      <c r="AB111" s="37">
        <v>1.855424765752167</v>
      </c>
      <c r="AC111" s="37">
        <v>2.8589774742988845</v>
      </c>
      <c r="AD111" s="37">
        <v>3.4930132687947646</v>
      </c>
    </row>
    <row r="112" spans="2:30" x14ac:dyDescent="0.3">
      <c r="B112" s="28">
        <v>42793</v>
      </c>
      <c r="C112" s="25">
        <v>47.330002</v>
      </c>
      <c r="D112" s="18">
        <f t="shared" si="9"/>
        <v>8.0937378467786925E-3</v>
      </c>
      <c r="E112" s="32">
        <f t="shared" ca="1" si="10"/>
        <v>-1.5423462361423137E-2</v>
      </c>
      <c r="F112" s="18">
        <f t="shared" ca="1" si="11"/>
        <v>57.410658894281958</v>
      </c>
      <c r="G112" s="19">
        <f t="shared" ca="1" si="12"/>
        <v>0.8993421057180413</v>
      </c>
      <c r="H112" s="27">
        <v>61.439999</v>
      </c>
      <c r="I112" s="19">
        <f t="shared" si="13"/>
        <v>-1.269485778563384E-2</v>
      </c>
      <c r="J112" s="19">
        <f t="shared" ca="1" si="14"/>
        <v>-7.6632540355973467E-3</v>
      </c>
      <c r="K112" s="19">
        <f t="shared" ca="1" si="15"/>
        <v>82.850192935894484</v>
      </c>
      <c r="L112" s="19">
        <f t="shared" ca="1" si="16"/>
        <v>0.63980506410551641</v>
      </c>
      <c r="M112" s="19">
        <f t="shared" ca="1" si="17"/>
        <v>1.5391471698235577</v>
      </c>
      <c r="AA112" s="37">
        <v>92</v>
      </c>
      <c r="AB112" s="37">
        <v>1.7804166350628032</v>
      </c>
      <c r="AC112" s="37">
        <v>2.9621754276921539</v>
      </c>
      <c r="AD112" s="37">
        <v>3.4901848868749887</v>
      </c>
    </row>
    <row r="113" spans="2:30" x14ac:dyDescent="0.3">
      <c r="B113" s="28">
        <v>42794</v>
      </c>
      <c r="C113" s="25">
        <v>47.419998</v>
      </c>
      <c r="D113" s="18">
        <f t="shared" si="9"/>
        <v>1.901457768795245E-3</v>
      </c>
      <c r="E113" s="32">
        <f t="shared" ca="1" si="10"/>
        <v>-1.0473572536837854E-2</v>
      </c>
      <c r="F113" s="18">
        <f t="shared" ca="1" si="11"/>
        <v>57.699286974903409</v>
      </c>
      <c r="G113" s="19">
        <f t="shared" ca="1" si="12"/>
        <v>0.61071402509659123</v>
      </c>
      <c r="H113" s="27">
        <v>60.939999</v>
      </c>
      <c r="I113" s="19">
        <f t="shared" si="13"/>
        <v>-8.1380209657880842E-3</v>
      </c>
      <c r="J113" s="19">
        <f t="shared" ca="1" si="14"/>
        <v>-2.7908004434624781E-3</v>
      </c>
      <c r="K113" s="19">
        <f t="shared" ca="1" si="15"/>
        <v>83.256994076556921</v>
      </c>
      <c r="L113" s="19">
        <f t="shared" ca="1" si="16"/>
        <v>0.23300392344307852</v>
      </c>
      <c r="M113" s="19">
        <f t="shared" ca="1" si="17"/>
        <v>0.84371794853966975</v>
      </c>
      <c r="AA113" s="37">
        <v>93</v>
      </c>
      <c r="AB113" s="37">
        <v>1.8025533872824986</v>
      </c>
      <c r="AC113" s="37">
        <v>2.8240924421920979</v>
      </c>
      <c r="AD113" s="37">
        <v>3.4226131041932426</v>
      </c>
    </row>
    <row r="114" spans="2:30" x14ac:dyDescent="0.3">
      <c r="B114" s="28">
        <v>42795</v>
      </c>
      <c r="C114" s="25">
        <v>46.48</v>
      </c>
      <c r="D114" s="18">
        <f t="shared" si="9"/>
        <v>-1.9822818212687499E-2</v>
      </c>
      <c r="E114" s="32">
        <f t="shared" ca="1" si="10"/>
        <v>9.4290028939028464E-3</v>
      </c>
      <c r="F114" s="18">
        <f t="shared" ca="1" si="11"/>
        <v>58.859806168172476</v>
      </c>
      <c r="G114" s="19">
        <f t="shared" ca="1" si="12"/>
        <v>-0.54980516817247604</v>
      </c>
      <c r="H114" s="27">
        <v>61.889999000000003</v>
      </c>
      <c r="I114" s="19">
        <f t="shared" si="13"/>
        <v>1.5589104292568212E-2</v>
      </c>
      <c r="J114" s="19">
        <f t="shared" ca="1" si="14"/>
        <v>8.1733818973240037E-3</v>
      </c>
      <c r="K114" s="19">
        <f t="shared" ca="1" si="15"/>
        <v>84.172393638260814</v>
      </c>
      <c r="L114" s="19">
        <f t="shared" ca="1" si="16"/>
        <v>-0.68239563826081451</v>
      </c>
      <c r="M114" s="19">
        <f t="shared" ca="1" si="17"/>
        <v>-1.2322008064332906</v>
      </c>
      <c r="AA114" s="37">
        <v>94</v>
      </c>
      <c r="AB114" s="37">
        <v>1.7914839708143562</v>
      </c>
      <c r="AC114" s="37">
        <v>2.7930540805861028</v>
      </c>
      <c r="AD114" s="37">
        <v>3.1527158034084697</v>
      </c>
    </row>
    <row r="115" spans="2:30" x14ac:dyDescent="0.3">
      <c r="B115" s="28">
        <v>42796</v>
      </c>
      <c r="C115" s="25">
        <v>46.799999</v>
      </c>
      <c r="D115" s="18">
        <f t="shared" si="9"/>
        <v>6.884660068846804E-3</v>
      </c>
      <c r="E115" s="32">
        <f t="shared" ca="1" si="10"/>
        <v>3.3092992188484889E-2</v>
      </c>
      <c r="F115" s="18">
        <f t="shared" ca="1" si="11"/>
        <v>60.239653407603541</v>
      </c>
      <c r="G115" s="19">
        <f t="shared" ca="1" si="12"/>
        <v>-1.9296524076035411</v>
      </c>
      <c r="H115" s="27">
        <v>63.360000999999997</v>
      </c>
      <c r="I115" s="19">
        <f t="shared" si="13"/>
        <v>2.3751850440327127E-2</v>
      </c>
      <c r="J115" s="19">
        <f t="shared" ca="1" si="14"/>
        <v>-4.8036831161469788E-3</v>
      </c>
      <c r="K115" s="19">
        <f t="shared" ca="1" si="15"/>
        <v>83.088938506240254</v>
      </c>
      <c r="L115" s="19">
        <f t="shared" ca="1" si="16"/>
        <v>0.40105949375974603</v>
      </c>
      <c r="M115" s="19">
        <f t="shared" ca="1" si="17"/>
        <v>-1.528592913843795</v>
      </c>
      <c r="AA115" s="37">
        <v>95</v>
      </c>
      <c r="AB115" s="37">
        <v>1.7396718408236616</v>
      </c>
      <c r="AC115" s="37">
        <v>2.7851154360278798</v>
      </c>
      <c r="AD115" s="37">
        <v>3.3565694517779465</v>
      </c>
    </row>
    <row r="116" spans="2:30" x14ac:dyDescent="0.3">
      <c r="B116" s="28">
        <v>42797</v>
      </c>
      <c r="C116" s="25">
        <v>46.939999</v>
      </c>
      <c r="D116" s="18">
        <f t="shared" si="9"/>
        <v>2.9914530553729612E-3</v>
      </c>
      <c r="E116" s="32">
        <f t="shared" ca="1" si="10"/>
        <v>6.4150748396967338E-3</v>
      </c>
      <c r="F116" s="18">
        <f t="shared" ca="1" si="11"/>
        <v>58.684064020317791</v>
      </c>
      <c r="G116" s="19">
        <f t="shared" ca="1" si="12"/>
        <v>-0.37406302031779148</v>
      </c>
      <c r="H116" s="27">
        <v>62.900002000000001</v>
      </c>
      <c r="I116" s="19">
        <f t="shared" si="13"/>
        <v>-7.2600851126879418E-3</v>
      </c>
      <c r="J116" s="19">
        <f t="shared" ca="1" si="14"/>
        <v>-8.7135066291873092E-3</v>
      </c>
      <c r="K116" s="19">
        <f t="shared" ca="1" si="15"/>
        <v>82.762507348956163</v>
      </c>
      <c r="L116" s="19">
        <f t="shared" ca="1" si="16"/>
        <v>0.72749065104383703</v>
      </c>
      <c r="M116" s="19">
        <f t="shared" ca="1" si="17"/>
        <v>0.35342763072604555</v>
      </c>
      <c r="AA116" s="37">
        <v>96</v>
      </c>
      <c r="AB116" s="37">
        <v>1.7739286715721032</v>
      </c>
      <c r="AC116" s="37">
        <v>2.8358382843705532</v>
      </c>
      <c r="AD116" s="37">
        <v>3.4005510744230865</v>
      </c>
    </row>
    <row r="117" spans="2:30" x14ac:dyDescent="0.3">
      <c r="B117" s="28">
        <v>42800</v>
      </c>
      <c r="C117" s="25">
        <v>47.43</v>
      </c>
      <c r="D117" s="18">
        <f t="shared" si="9"/>
        <v>1.043887964292467E-2</v>
      </c>
      <c r="E117" s="32">
        <f t="shared" ca="1" si="10"/>
        <v>2.5675469750254764E-2</v>
      </c>
      <c r="F117" s="18">
        <f t="shared" ca="1" si="11"/>
        <v>59.807137666812828</v>
      </c>
      <c r="G117" s="19">
        <f t="shared" ca="1" si="12"/>
        <v>-1.4971366668128283</v>
      </c>
      <c r="H117" s="27">
        <v>62.41</v>
      </c>
      <c r="I117" s="19">
        <f t="shared" si="13"/>
        <v>-7.790174633062863E-3</v>
      </c>
      <c r="J117" s="19">
        <f t="shared" ca="1" si="14"/>
        <v>-2.8700698976622561E-2</v>
      </c>
      <c r="K117" s="19">
        <f t="shared" ca="1" si="15"/>
        <v>81.09377669984319</v>
      </c>
      <c r="L117" s="19">
        <f t="shared" ca="1" si="16"/>
        <v>2.3962213001568102</v>
      </c>
      <c r="M117" s="19">
        <f t="shared" ca="1" si="17"/>
        <v>0.89908463334398192</v>
      </c>
      <c r="AA117" s="37">
        <v>97</v>
      </c>
      <c r="AB117" s="37">
        <v>1.8160953758935905</v>
      </c>
      <c r="AC117" s="37">
        <v>2.8977842650363268</v>
      </c>
      <c r="AD117" s="37">
        <v>3.3234875202107204</v>
      </c>
    </row>
    <row r="118" spans="2:30" x14ac:dyDescent="0.3">
      <c r="B118" s="28">
        <v>42801</v>
      </c>
      <c r="C118" s="25">
        <v>46.950001</v>
      </c>
      <c r="D118" s="18">
        <f t="shared" si="9"/>
        <v>-1.0120156019396975E-2</v>
      </c>
      <c r="E118" s="32">
        <f t="shared" ca="1" si="10"/>
        <v>-7.2807843584992036E-3</v>
      </c>
      <c r="F118" s="18">
        <f t="shared" ca="1" si="11"/>
        <v>57.885458456775126</v>
      </c>
      <c r="G118" s="19">
        <f t="shared" ca="1" si="12"/>
        <v>0.42454254322487373</v>
      </c>
      <c r="H118" s="27">
        <v>60.740001999999997</v>
      </c>
      <c r="I118" s="19">
        <f t="shared" si="13"/>
        <v>-2.6758500240346095E-2</v>
      </c>
      <c r="J118" s="19">
        <f t="shared" ca="1" si="14"/>
        <v>3.69626579743342E-2</v>
      </c>
      <c r="K118" s="19">
        <f t="shared" ca="1" si="15"/>
        <v>86.576010240351849</v>
      </c>
      <c r="L118" s="19">
        <f t="shared" ca="1" si="16"/>
        <v>-3.0860122403518488</v>
      </c>
      <c r="M118" s="19">
        <f t="shared" ca="1" si="17"/>
        <v>-2.6614696971269751</v>
      </c>
      <c r="AA118" s="37">
        <v>98</v>
      </c>
      <c r="AB118" s="37">
        <v>1.6784138645621678</v>
      </c>
      <c r="AC118" s="37">
        <v>2.8390641885641505</v>
      </c>
      <c r="AD118" s="37">
        <v>3.1455083689881831</v>
      </c>
    </row>
    <row r="119" spans="2:30" x14ac:dyDescent="0.3">
      <c r="B119" s="28">
        <v>42802</v>
      </c>
      <c r="C119" s="25">
        <v>46.689999</v>
      </c>
      <c r="D119" s="18">
        <f t="shared" si="9"/>
        <v>-5.5378486573408603E-3</v>
      </c>
      <c r="E119" s="32">
        <f t="shared" ca="1" si="10"/>
        <v>-2.8082872565871619E-2</v>
      </c>
      <c r="F119" s="18">
        <f t="shared" ca="1" si="11"/>
        <v>56.672488672601155</v>
      </c>
      <c r="G119" s="19">
        <f t="shared" ca="1" si="12"/>
        <v>1.637512327398845</v>
      </c>
      <c r="H119" s="27">
        <v>59.720001000000003</v>
      </c>
      <c r="I119" s="19">
        <f t="shared" si="13"/>
        <v>-1.679290362881436E-2</v>
      </c>
      <c r="J119" s="19">
        <f t="shared" ca="1" si="14"/>
        <v>3.3888799529372682E-2</v>
      </c>
      <c r="K119" s="19">
        <f t="shared" ca="1" si="15"/>
        <v>86.319373804929725</v>
      </c>
      <c r="L119" s="19">
        <f t="shared" ca="1" si="16"/>
        <v>-2.8293758049297253</v>
      </c>
      <c r="M119" s="19">
        <f t="shared" ca="1" si="17"/>
        <v>-1.1918634775308803</v>
      </c>
      <c r="AA119" s="37">
        <v>99</v>
      </c>
      <c r="AB119" s="37">
        <v>1.8916059296116776</v>
      </c>
      <c r="AC119" s="37">
        <v>2.8636907142486696</v>
      </c>
      <c r="AD119" s="37">
        <v>3.4060389970791345</v>
      </c>
    </row>
    <row r="120" spans="2:30" x14ac:dyDescent="0.3">
      <c r="B120" s="28">
        <v>42803</v>
      </c>
      <c r="C120" s="25">
        <v>46.669998</v>
      </c>
      <c r="D120" s="18">
        <f t="shared" si="9"/>
        <v>-4.2837867698397591E-4</v>
      </c>
      <c r="E120" s="32">
        <f t="shared" ca="1" si="10"/>
        <v>1.5835872760898508E-2</v>
      </c>
      <c r="F120" s="18">
        <f t="shared" ca="1" si="11"/>
        <v>59.23339075652386</v>
      </c>
      <c r="G120" s="19">
        <f t="shared" ca="1" si="12"/>
        <v>-0.92338975652386068</v>
      </c>
      <c r="H120" s="27">
        <v>59.259998000000003</v>
      </c>
      <c r="I120" s="19">
        <f t="shared" si="13"/>
        <v>-7.7026622956687385E-3</v>
      </c>
      <c r="J120" s="19">
        <f t="shared" ca="1" si="14"/>
        <v>-1.8289905794720476E-2</v>
      </c>
      <c r="K120" s="19">
        <f t="shared" ca="1" si="15"/>
        <v>81.962973801778602</v>
      </c>
      <c r="L120" s="19">
        <f t="shared" ca="1" si="16"/>
        <v>1.5270241982213975</v>
      </c>
      <c r="M120" s="19">
        <f t="shared" ca="1" si="17"/>
        <v>0.60363444169753677</v>
      </c>
      <c r="AA120" s="37">
        <v>100</v>
      </c>
      <c r="AB120" s="37">
        <v>1.7643863255770362</v>
      </c>
      <c r="AC120" s="37">
        <v>2.7548458725167526</v>
      </c>
      <c r="AD120" s="37">
        <v>3.5154149280794713</v>
      </c>
    </row>
    <row r="121" spans="2:30" x14ac:dyDescent="0.3">
      <c r="B121" s="28">
        <v>42804</v>
      </c>
      <c r="C121" s="25">
        <v>46.52</v>
      </c>
      <c r="D121" s="18">
        <f t="shared" si="9"/>
        <v>-3.2140134224989403E-3</v>
      </c>
      <c r="E121" s="32">
        <f t="shared" ca="1" si="10"/>
        <v>-2.142497256712849E-2</v>
      </c>
      <c r="F121" s="18">
        <f t="shared" ca="1" si="11"/>
        <v>57.060710828185762</v>
      </c>
      <c r="G121" s="19">
        <f t="shared" ca="1" si="12"/>
        <v>1.2492901718142377</v>
      </c>
      <c r="H121" s="27">
        <v>59.16</v>
      </c>
      <c r="I121" s="19">
        <f t="shared" si="13"/>
        <v>-1.6874452138861962E-3</v>
      </c>
      <c r="J121" s="19">
        <f t="shared" ca="1" si="14"/>
        <v>1.6967982974653389E-2</v>
      </c>
      <c r="K121" s="19">
        <f t="shared" ca="1" si="15"/>
        <v>84.906654864617849</v>
      </c>
      <c r="L121" s="19">
        <f t="shared" ca="1" si="16"/>
        <v>-1.416656864617849</v>
      </c>
      <c r="M121" s="19">
        <f t="shared" ca="1" si="17"/>
        <v>-0.16736669280361127</v>
      </c>
      <c r="AA121" s="37">
        <v>101</v>
      </c>
      <c r="AB121" s="37">
        <v>1.815340534675979</v>
      </c>
      <c r="AC121" s="37">
        <v>2.8757046772585411</v>
      </c>
      <c r="AD121" s="37">
        <v>3.0331178304817734</v>
      </c>
    </row>
    <row r="122" spans="2:30" x14ac:dyDescent="0.3">
      <c r="B122" s="28">
        <v>42807</v>
      </c>
      <c r="C122" s="25">
        <v>46.32</v>
      </c>
      <c r="D122" s="18">
        <f t="shared" si="9"/>
        <v>-4.2992261392950093E-3</v>
      </c>
      <c r="E122" s="32">
        <f t="shared" ca="1" si="10"/>
        <v>-2.1176437084927915E-2</v>
      </c>
      <c r="F122" s="18">
        <f t="shared" ca="1" si="11"/>
        <v>57.075202932401417</v>
      </c>
      <c r="G122" s="19">
        <f t="shared" ca="1" si="12"/>
        <v>1.2347980675985823</v>
      </c>
      <c r="H122" s="27">
        <v>59.34</v>
      </c>
      <c r="I122" s="19">
        <f t="shared" si="13"/>
        <v>3.0425963488844854E-3</v>
      </c>
      <c r="J122" s="19">
        <f t="shared" ca="1" si="14"/>
        <v>1.5275464034407969E-2</v>
      </c>
      <c r="K122" s="19">
        <f t="shared" ca="1" si="15"/>
        <v>84.765346461681787</v>
      </c>
      <c r="L122" s="19">
        <f t="shared" ca="1" si="16"/>
        <v>-1.2753484616817872</v>
      </c>
      <c r="M122" s="19">
        <f t="shared" ca="1" si="17"/>
        <v>-4.0550394083204822E-2</v>
      </c>
      <c r="AA122" s="37">
        <v>102</v>
      </c>
      <c r="AB122" s="37">
        <v>1.7007562627637143</v>
      </c>
      <c r="AC122" s="37">
        <v>2.9705070748995612</v>
      </c>
      <c r="AD122" s="37">
        <v>3.5459923045717945</v>
      </c>
    </row>
    <row r="123" spans="2:30" x14ac:dyDescent="0.3">
      <c r="B123" s="28">
        <v>42808</v>
      </c>
      <c r="C123" s="25">
        <v>45.450001</v>
      </c>
      <c r="D123" s="18">
        <f t="shared" si="9"/>
        <v>-1.8782361830742667E-2</v>
      </c>
      <c r="E123" s="32">
        <f t="shared" ca="1" si="10"/>
        <v>-1.7100127737021683E-2</v>
      </c>
      <c r="F123" s="18">
        <f t="shared" ca="1" si="11"/>
        <v>57.312892534554138</v>
      </c>
      <c r="G123" s="19">
        <f t="shared" ca="1" si="12"/>
        <v>0.99710846544586218</v>
      </c>
      <c r="H123" s="27">
        <v>59.310001</v>
      </c>
      <c r="I123" s="19">
        <f t="shared" si="13"/>
        <v>-5.0554432086291623E-4</v>
      </c>
      <c r="J123" s="19">
        <f t="shared" ca="1" si="14"/>
        <v>2.553135561734868E-3</v>
      </c>
      <c r="K123" s="19">
        <f t="shared" ca="1" si="15"/>
        <v>83.703159282942977</v>
      </c>
      <c r="L123" s="19">
        <f t="shared" ca="1" si="16"/>
        <v>-0.21316128294297698</v>
      </c>
      <c r="M123" s="19">
        <f t="shared" ca="1" si="17"/>
        <v>0.7839471825028852</v>
      </c>
      <c r="AA123" s="37">
        <v>103</v>
      </c>
      <c r="AB123" s="37">
        <v>1.717757800567751</v>
      </c>
      <c r="AC123" s="37">
        <v>2.7354524746859541</v>
      </c>
      <c r="AD123" s="37">
        <v>3.4506565224162933</v>
      </c>
    </row>
    <row r="124" spans="2:30" x14ac:dyDescent="0.3">
      <c r="B124" s="28">
        <v>42809</v>
      </c>
      <c r="C124" s="25">
        <v>45.490001999999997</v>
      </c>
      <c r="D124" s="18">
        <f t="shared" si="9"/>
        <v>8.8010999163667947E-4</v>
      </c>
      <c r="E124" s="32">
        <f t="shared" ca="1" si="10"/>
        <v>4.408221337801066E-2</v>
      </c>
      <c r="F124" s="18">
        <f t="shared" ca="1" si="11"/>
        <v>60.880434906154022</v>
      </c>
      <c r="G124" s="19">
        <f t="shared" ca="1" si="12"/>
        <v>-2.5704339061540225</v>
      </c>
      <c r="H124" s="27">
        <v>59.990001999999997</v>
      </c>
      <c r="I124" s="19">
        <f t="shared" si="13"/>
        <v>1.1465199604363541E-2</v>
      </c>
      <c r="J124" s="19">
        <f t="shared" ca="1" si="14"/>
        <v>-1.4569893135961265E-2</v>
      </c>
      <c r="K124" s="19">
        <f t="shared" ca="1" si="15"/>
        <v>82.273557651218383</v>
      </c>
      <c r="L124" s="19">
        <f t="shared" ca="1" si="16"/>
        <v>1.2164403487816173</v>
      </c>
      <c r="M124" s="19">
        <f t="shared" ca="1" si="17"/>
        <v>-1.3539935573724051</v>
      </c>
      <c r="AA124" s="37">
        <v>104</v>
      </c>
      <c r="AB124" s="37">
        <v>1.8879934061837094</v>
      </c>
      <c r="AC124" s="37">
        <v>2.942587531054178</v>
      </c>
      <c r="AD124" s="37">
        <v>3.6187326182704154</v>
      </c>
    </row>
    <row r="125" spans="2:30" x14ac:dyDescent="0.3">
      <c r="B125" s="28">
        <v>42810</v>
      </c>
      <c r="C125" s="25">
        <v>46.290000999999997</v>
      </c>
      <c r="D125" s="18">
        <f t="shared" si="9"/>
        <v>1.7586259943448646E-2</v>
      </c>
      <c r="E125" s="32">
        <f t="shared" ca="1" si="10"/>
        <v>6.7393761266746283E-3</v>
      </c>
      <c r="F125" s="18">
        <f t="shared" ca="1" si="11"/>
        <v>58.702974028685766</v>
      </c>
      <c r="G125" s="19">
        <f t="shared" ca="1" si="12"/>
        <v>-0.39297302868576622</v>
      </c>
      <c r="H125" s="27">
        <v>59.18</v>
      </c>
      <c r="I125" s="19">
        <f t="shared" si="13"/>
        <v>-1.3502283263801096E-2</v>
      </c>
      <c r="J125" s="19">
        <f t="shared" ca="1" si="14"/>
        <v>-1.3034866708675343E-2</v>
      </c>
      <c r="K125" s="19">
        <f t="shared" ca="1" si="15"/>
        <v>82.401717004562428</v>
      </c>
      <c r="L125" s="19">
        <f t="shared" ca="1" si="16"/>
        <v>1.0882809954375716</v>
      </c>
      <c r="M125" s="19">
        <f t="shared" ca="1" si="17"/>
        <v>0.6953079667518054</v>
      </c>
      <c r="AA125" s="37">
        <v>105</v>
      </c>
      <c r="AB125" s="37">
        <v>1.8903089578642265</v>
      </c>
      <c r="AC125" s="37">
        <v>2.8705201928863473</v>
      </c>
      <c r="AD125" s="37">
        <v>3.525448483813387</v>
      </c>
    </row>
    <row r="126" spans="2:30" x14ac:dyDescent="0.3">
      <c r="B126" s="28">
        <v>42811</v>
      </c>
      <c r="C126" s="25">
        <v>47.32</v>
      </c>
      <c r="D126" s="18">
        <f t="shared" si="9"/>
        <v>2.2251004055930057E-2</v>
      </c>
      <c r="E126" s="32">
        <f t="shared" ca="1" si="10"/>
        <v>-1.4913413058222186E-2</v>
      </c>
      <c r="F126" s="18">
        <f t="shared" ca="1" si="11"/>
        <v>57.440399869661654</v>
      </c>
      <c r="G126" s="19">
        <f t="shared" ca="1" si="12"/>
        <v>0.86960113033834574</v>
      </c>
      <c r="H126" s="27">
        <v>59.299999</v>
      </c>
      <c r="I126" s="19">
        <f t="shared" si="13"/>
        <v>2.0276951672861809E-3</v>
      </c>
      <c r="J126" s="19">
        <f t="shared" ca="1" si="14"/>
        <v>-7.1172616698874909E-4</v>
      </c>
      <c r="K126" s="19">
        <f t="shared" ca="1" si="15"/>
        <v>83.430575983741562</v>
      </c>
      <c r="L126" s="19">
        <f t="shared" ca="1" si="16"/>
        <v>5.9422016258437793E-2</v>
      </c>
      <c r="M126" s="19">
        <f t="shared" ca="1" si="17"/>
        <v>0.92902314659678353</v>
      </c>
      <c r="AA126" s="37">
        <v>106</v>
      </c>
      <c r="AB126" s="37">
        <v>1.8048798258290009</v>
      </c>
      <c r="AC126" s="37">
        <v>2.8182693899549052</v>
      </c>
      <c r="AD126" s="37">
        <v>3.3150007118687541</v>
      </c>
    </row>
    <row r="127" spans="2:30" x14ac:dyDescent="0.3">
      <c r="B127" s="28">
        <v>42815</v>
      </c>
      <c r="C127" s="25">
        <v>46.73</v>
      </c>
      <c r="D127" s="18">
        <f t="shared" si="9"/>
        <v>-1.2468300929839415E-2</v>
      </c>
      <c r="E127" s="32">
        <f t="shared" ca="1" si="10"/>
        <v>2.9507749128545879E-2</v>
      </c>
      <c r="F127" s="18">
        <f t="shared" ca="1" si="11"/>
        <v>60.030597881193252</v>
      </c>
      <c r="G127" s="19">
        <f t="shared" ca="1" si="12"/>
        <v>-1.7205968811932522</v>
      </c>
      <c r="H127" s="27">
        <v>58.889999000000003</v>
      </c>
      <c r="I127" s="19">
        <f t="shared" si="13"/>
        <v>-6.9139967439122429E-3</v>
      </c>
      <c r="J127" s="19">
        <f t="shared" ca="1" si="14"/>
        <v>1.1646905468952929E-3</v>
      </c>
      <c r="K127" s="19">
        <f t="shared" ca="1" si="15"/>
        <v>83.587238011430912</v>
      </c>
      <c r="L127" s="19">
        <f t="shared" ca="1" si="16"/>
        <v>-9.7240011430912432E-2</v>
      </c>
      <c r="M127" s="19">
        <f t="shared" ca="1" si="17"/>
        <v>-1.8178368926241646</v>
      </c>
      <c r="AA127" s="37">
        <v>107</v>
      </c>
      <c r="AB127" s="37">
        <v>1.8163354163761252</v>
      </c>
      <c r="AC127" s="37">
        <v>3.0170910381740494</v>
      </c>
      <c r="AD127" s="37">
        <v>3.5064938129377472</v>
      </c>
    </row>
    <row r="128" spans="2:30" x14ac:dyDescent="0.3">
      <c r="B128" s="28">
        <v>42816</v>
      </c>
      <c r="C128" s="25">
        <v>48.029998999999997</v>
      </c>
      <c r="D128" s="18">
        <f t="shared" si="9"/>
        <v>2.7819366573935467E-2</v>
      </c>
      <c r="E128" s="32">
        <f t="shared" ca="1" si="10"/>
        <v>-1.1419457674372153E-2</v>
      </c>
      <c r="F128" s="18">
        <f t="shared" ca="1" si="11"/>
        <v>57.644132411587904</v>
      </c>
      <c r="G128" s="19">
        <f t="shared" ca="1" si="12"/>
        <v>0.66586858841209562</v>
      </c>
      <c r="H128" s="27">
        <v>59.77</v>
      </c>
      <c r="I128" s="19">
        <f t="shared" si="13"/>
        <v>1.4943131515420705E-2</v>
      </c>
      <c r="J128" s="19">
        <f t="shared" ca="1" si="14"/>
        <v>4.4422403812572731E-2</v>
      </c>
      <c r="K128" s="19">
        <f t="shared" ca="1" si="15"/>
        <v>87.19882440546688</v>
      </c>
      <c r="L128" s="19">
        <f t="shared" ca="1" si="16"/>
        <v>-3.7088264054668798</v>
      </c>
      <c r="M128" s="19">
        <f t="shared" ca="1" si="17"/>
        <v>-3.0429578170547842</v>
      </c>
      <c r="AA128" s="37">
        <v>108</v>
      </c>
      <c r="AB128" s="37">
        <v>1.8105821437561711</v>
      </c>
      <c r="AC128" s="37">
        <v>2.780035890510685</v>
      </c>
      <c r="AD128" s="37">
        <v>3.1363572145434584</v>
      </c>
    </row>
    <row r="129" spans="2:30" x14ac:dyDescent="0.3">
      <c r="B129" s="28">
        <v>42817</v>
      </c>
      <c r="C129" s="25">
        <v>47.119999</v>
      </c>
      <c r="D129" s="18">
        <f t="shared" si="9"/>
        <v>-1.8946492170445306E-2</v>
      </c>
      <c r="E129" s="32">
        <f t="shared" ca="1" si="10"/>
        <v>1.5409457115849314E-2</v>
      </c>
      <c r="F129" s="18">
        <f t="shared" ca="1" si="11"/>
        <v>59.208526459834637</v>
      </c>
      <c r="G129" s="19">
        <f t="shared" ca="1" si="12"/>
        <v>-0.89852545983463727</v>
      </c>
      <c r="H129" s="27">
        <v>60.389999000000003</v>
      </c>
      <c r="I129" s="19">
        <f t="shared" si="13"/>
        <v>1.0373080140538837E-2</v>
      </c>
      <c r="J129" s="19">
        <f t="shared" ca="1" si="14"/>
        <v>2.8761097945444698E-2</v>
      </c>
      <c r="K129" s="19">
        <f t="shared" ca="1" si="15"/>
        <v>85.891262009942977</v>
      </c>
      <c r="L129" s="19">
        <f t="shared" ca="1" si="16"/>
        <v>-2.4012640099429774</v>
      </c>
      <c r="M129" s="19">
        <f t="shared" ca="1" si="17"/>
        <v>-3.2997894697776147</v>
      </c>
      <c r="AA129" s="37">
        <v>109</v>
      </c>
      <c r="AB129" s="37">
        <v>1.7494407135780754</v>
      </c>
      <c r="AC129" s="37">
        <v>2.9184951630916971</v>
      </c>
      <c r="AD129" s="37">
        <v>3.4604298612173325</v>
      </c>
    </row>
    <row r="130" spans="2:30" x14ac:dyDescent="0.3">
      <c r="B130" s="28">
        <v>42818</v>
      </c>
      <c r="C130" s="25">
        <v>47.57</v>
      </c>
      <c r="D130" s="18">
        <f t="shared" si="9"/>
        <v>9.5501063147305221E-3</v>
      </c>
      <c r="E130" s="32">
        <f t="shared" ca="1" si="10"/>
        <v>1.8210563940781795E-2</v>
      </c>
      <c r="F130" s="18">
        <f t="shared" ca="1" si="11"/>
        <v>59.371859001597542</v>
      </c>
      <c r="G130" s="19">
        <f t="shared" ca="1" si="12"/>
        <v>-1.0618580015975425</v>
      </c>
      <c r="H130" s="27">
        <v>60.16</v>
      </c>
      <c r="I130" s="19">
        <f t="shared" si="13"/>
        <v>-3.8085610831026795E-3</v>
      </c>
      <c r="J130" s="19">
        <f t="shared" ca="1" si="14"/>
        <v>1.7074029478463291E-2</v>
      </c>
      <c r="K130" s="19">
        <f t="shared" ca="1" si="15"/>
        <v>84.915508687008838</v>
      </c>
      <c r="L130" s="19">
        <f t="shared" ca="1" si="16"/>
        <v>-1.4255106870088383</v>
      </c>
      <c r="M130" s="19">
        <f t="shared" ca="1" si="17"/>
        <v>-2.4873686886063808</v>
      </c>
      <c r="AA130" s="37">
        <v>110</v>
      </c>
      <c r="AB130" s="37">
        <v>1.8097516750498852</v>
      </c>
      <c r="AC130" s="37">
        <v>2.8194534364743924</v>
      </c>
      <c r="AD130" s="37">
        <v>3.3613865859727574</v>
      </c>
    </row>
    <row r="131" spans="2:30" x14ac:dyDescent="0.3">
      <c r="B131" s="28">
        <v>42821</v>
      </c>
      <c r="C131" s="25">
        <v>48.169998</v>
      </c>
      <c r="D131" s="18">
        <f t="shared" si="9"/>
        <v>1.261294933781798E-2</v>
      </c>
      <c r="E131" s="32">
        <f t="shared" ca="1" si="10"/>
        <v>-3.6323648694399149E-2</v>
      </c>
      <c r="F131" s="18">
        <f t="shared" ca="1" si="11"/>
        <v>56.191969008305932</v>
      </c>
      <c r="G131" s="19">
        <f t="shared" ca="1" si="12"/>
        <v>2.1180319916940675</v>
      </c>
      <c r="H131" s="27">
        <v>58.220001000000003</v>
      </c>
      <c r="I131" s="19">
        <f t="shared" si="13"/>
        <v>-3.2247323803191397E-2</v>
      </c>
      <c r="J131" s="19">
        <f t="shared" ca="1" si="14"/>
        <v>-1.2458953652959967E-2</v>
      </c>
      <c r="K131" s="19">
        <f t="shared" ca="1" si="15"/>
        <v>82.449799984432275</v>
      </c>
      <c r="L131" s="19">
        <f t="shared" ca="1" si="16"/>
        <v>1.0401980155677251</v>
      </c>
      <c r="M131" s="19">
        <f t="shared" ca="1" si="17"/>
        <v>3.1582300072617926</v>
      </c>
      <c r="AA131" s="37">
        <v>111</v>
      </c>
      <c r="AB131" s="37">
        <v>1.6928543485717424</v>
      </c>
      <c r="AC131" s="37">
        <v>2.9754651183272727</v>
      </c>
      <c r="AD131" s="37">
        <v>3.1989674578702836</v>
      </c>
    </row>
    <row r="132" spans="2:30" x14ac:dyDescent="0.3">
      <c r="B132" s="28">
        <v>42822</v>
      </c>
      <c r="C132" s="25">
        <v>48.509998000000003</v>
      </c>
      <c r="D132" s="18">
        <f t="shared" si="9"/>
        <v>7.0583353563768991E-3</v>
      </c>
      <c r="E132" s="32">
        <f t="shared" ca="1" si="10"/>
        <v>2.7636851195226235E-2</v>
      </c>
      <c r="F132" s="18">
        <f t="shared" ca="1" si="11"/>
        <v>59.921505820830497</v>
      </c>
      <c r="G132" s="19">
        <f t="shared" ca="1" si="12"/>
        <v>-1.611504820830497</v>
      </c>
      <c r="H132" s="27">
        <v>56.610000999999997</v>
      </c>
      <c r="I132" s="19">
        <f t="shared" si="13"/>
        <v>-2.7653726766511122E-2</v>
      </c>
      <c r="J132" s="19">
        <f t="shared" ca="1" si="14"/>
        <v>-4.0379520543030629E-3</v>
      </c>
      <c r="K132" s="19">
        <f t="shared" ca="1" si="15"/>
        <v>83.15286939106214</v>
      </c>
      <c r="L132" s="19">
        <f t="shared" ca="1" si="16"/>
        <v>0.33712860893786001</v>
      </c>
      <c r="M132" s="19">
        <f t="shared" ca="1" si="17"/>
        <v>-1.2743762118926369</v>
      </c>
      <c r="AA132" s="37">
        <v>112</v>
      </c>
      <c r="AB132" s="37">
        <v>1.8152975339117206</v>
      </c>
      <c r="AC132" s="37">
        <v>2.6339681874472909</v>
      </c>
      <c r="AD132" s="37">
        <v>3.2246947532776655</v>
      </c>
    </row>
    <row r="133" spans="2:30" x14ac:dyDescent="0.3">
      <c r="B133" s="28">
        <v>42823</v>
      </c>
      <c r="C133" s="25">
        <v>47.509998000000003</v>
      </c>
      <c r="D133" s="18">
        <f t="shared" si="9"/>
        <v>-2.0614307178491331E-2</v>
      </c>
      <c r="E133" s="32">
        <f t="shared" ca="1" si="10"/>
        <v>-1.5203202357791264E-2</v>
      </c>
      <c r="F133" s="18">
        <f t="shared" ca="1" si="11"/>
        <v>57.423502255313991</v>
      </c>
      <c r="G133" s="19">
        <f t="shared" ca="1" si="12"/>
        <v>0.88649874468600842</v>
      </c>
      <c r="H133" s="27">
        <v>58.169998</v>
      </c>
      <c r="I133" s="19">
        <f t="shared" si="13"/>
        <v>2.7556915252483494E-2</v>
      </c>
      <c r="J133" s="19">
        <f t="shared" ca="1" si="14"/>
        <v>1.3571582502510162E-2</v>
      </c>
      <c r="K133" s="19">
        <f t="shared" ca="1" si="15"/>
        <v>84.623089395991414</v>
      </c>
      <c r="L133" s="19">
        <f t="shared" ca="1" si="16"/>
        <v>-1.1330913959914142</v>
      </c>
      <c r="M133" s="19">
        <f t="shared" ca="1" si="17"/>
        <v>-0.24659265130540575</v>
      </c>
      <c r="AA133" s="37">
        <v>113</v>
      </c>
      <c r="AB133" s="37">
        <v>1.6525778098402466</v>
      </c>
      <c r="AC133" s="37">
        <v>2.7782007919856206</v>
      </c>
      <c r="AD133" s="37">
        <v>3.3624741645222782</v>
      </c>
    </row>
    <row r="134" spans="2:30" x14ac:dyDescent="0.3">
      <c r="B134" s="28">
        <v>42824</v>
      </c>
      <c r="C134" s="25">
        <v>46.959999000000003</v>
      </c>
      <c r="D134" s="18">
        <f t="shared" si="9"/>
        <v>-1.157648964750535E-2</v>
      </c>
      <c r="E134" s="32">
        <f t="shared" ca="1" si="10"/>
        <v>1.1132765031799942E-2</v>
      </c>
      <c r="F134" s="18">
        <f t="shared" ca="1" si="11"/>
        <v>58.959152540137026</v>
      </c>
      <c r="G134" s="19">
        <f t="shared" ca="1" si="12"/>
        <v>-0.64915154013702647</v>
      </c>
      <c r="H134" s="27">
        <v>57.540000999999997</v>
      </c>
      <c r="I134" s="19">
        <f t="shared" si="13"/>
        <v>-1.0830273709137916E-2</v>
      </c>
      <c r="J134" s="19">
        <f t="shared" ca="1" si="14"/>
        <v>-1.4465006293397633E-3</v>
      </c>
      <c r="K134" s="19">
        <f t="shared" ca="1" si="15"/>
        <v>83.369229665349422</v>
      </c>
      <c r="L134" s="19">
        <f t="shared" ca="1" si="16"/>
        <v>0.12076833465057746</v>
      </c>
      <c r="M134" s="19">
        <f t="shared" ca="1" si="17"/>
        <v>-0.52838320548644901</v>
      </c>
      <c r="AA134" s="37">
        <v>114</v>
      </c>
      <c r="AB134" s="37">
        <v>1.8527724004136781</v>
      </c>
      <c r="AC134" s="37">
        <v>2.749482474126999</v>
      </c>
      <c r="AD134" s="37">
        <v>3.5008097731979828</v>
      </c>
    </row>
    <row r="135" spans="2:30" x14ac:dyDescent="0.3">
      <c r="B135" s="28">
        <v>42825</v>
      </c>
      <c r="C135" s="25">
        <v>46.59</v>
      </c>
      <c r="D135" s="18">
        <f t="shared" si="9"/>
        <v>-7.8790248696555265E-3</v>
      </c>
      <c r="E135" s="32">
        <f t="shared" ca="1" si="10"/>
        <v>-1.6404524904098407E-3</v>
      </c>
      <c r="F135" s="18">
        <f t="shared" ca="1" si="11"/>
        <v>58.214346213643744</v>
      </c>
      <c r="G135" s="19">
        <f t="shared" ca="1" si="12"/>
        <v>9.5654786356256238E-2</v>
      </c>
      <c r="H135" s="27">
        <v>56.279998999999997</v>
      </c>
      <c r="I135" s="19">
        <f t="shared" si="13"/>
        <v>-2.1897844596839633E-2</v>
      </c>
      <c r="J135" s="19">
        <f t="shared" ca="1" si="14"/>
        <v>-3.4790875243012095E-2</v>
      </c>
      <c r="K135" s="19">
        <f t="shared" ca="1" si="15"/>
        <v>80.58530789554267</v>
      </c>
      <c r="L135" s="19">
        <f t="shared" ca="1" si="16"/>
        <v>2.9046901044573303</v>
      </c>
      <c r="M135" s="19">
        <f t="shared" ca="1" si="17"/>
        <v>3.0003448908135866</v>
      </c>
      <c r="AA135" s="37">
        <v>115</v>
      </c>
      <c r="AB135" s="37">
        <v>1.7482910621901182</v>
      </c>
      <c r="AC135" s="37">
        <v>2.910954109113443</v>
      </c>
      <c r="AD135" s="37">
        <v>3.2623517555363764</v>
      </c>
    </row>
    <row r="136" spans="2:30" x14ac:dyDescent="0.3">
      <c r="B136" s="28">
        <v>42828</v>
      </c>
      <c r="C136" s="25">
        <v>46.509998000000003</v>
      </c>
      <c r="D136" s="18">
        <f t="shared" ref="D136:D199" si="18">C136/C135-1</f>
        <v>-1.7171496029191324E-3</v>
      </c>
      <c r="E136" s="32">
        <f t="shared" ref="E136:E199" ca="1" si="19">NORMINV(RAND(),$E$3,$E$4)</f>
        <v>-1.2980089611303407E-2</v>
      </c>
      <c r="F136" s="18">
        <f t="shared" ref="F136:F199" ca="1" si="20">$C$1261*(1+E136)</f>
        <v>57.553131961784814</v>
      </c>
      <c r="G136" s="19">
        <f t="shared" ref="G136:G199" ca="1" si="21">$C$1261-F136</f>
        <v>0.7568690382151857</v>
      </c>
      <c r="H136" s="27">
        <v>56.369999</v>
      </c>
      <c r="I136" s="19">
        <f t="shared" ref="I136:I199" si="22">H136/H135-1</f>
        <v>1.5991471499494647E-3</v>
      </c>
      <c r="J136" s="19">
        <f t="shared" ref="J136:J199" ca="1" si="23">NORMINV(RAND(),$J$3,$J$4)</f>
        <v>1.7577264466497499E-2</v>
      </c>
      <c r="K136" s="19">
        <f t="shared" ref="K136:K199" ca="1" si="24">$H$1261*(1+J136)</f>
        <v>84.957523775153348</v>
      </c>
      <c r="L136" s="19">
        <f t="shared" ref="L136:L199" ca="1" si="25">$H$1261-K136</f>
        <v>-1.4675257751533479</v>
      </c>
      <c r="M136" s="19">
        <f t="shared" ref="M136:M199" ca="1" si="26">SUM(G136,L136)</f>
        <v>-0.71065673693816223</v>
      </c>
      <c r="AA136" s="37">
        <v>116</v>
      </c>
      <c r="AB136" s="37">
        <v>1.7496669354436747</v>
      </c>
      <c r="AC136" s="37">
        <v>2.8572940933008066</v>
      </c>
      <c r="AD136" s="37">
        <v>3.540197273932816</v>
      </c>
    </row>
    <row r="137" spans="2:30" x14ac:dyDescent="0.3">
      <c r="B137" s="28">
        <v>42829</v>
      </c>
      <c r="C137" s="25">
        <v>47.580002</v>
      </c>
      <c r="D137" s="18">
        <f t="shared" si="18"/>
        <v>2.3005892195480104E-2</v>
      </c>
      <c r="E137" s="32">
        <f t="shared" ca="1" si="19"/>
        <v>-1.7861296215538182E-4</v>
      </c>
      <c r="F137" s="18">
        <f t="shared" ca="1" si="20"/>
        <v>58.299586077998107</v>
      </c>
      <c r="G137" s="19">
        <f t="shared" ca="1" si="21"/>
        <v>1.0414922001892535E-2</v>
      </c>
      <c r="H137" s="27">
        <v>57.990001999999997</v>
      </c>
      <c r="I137" s="19">
        <f t="shared" si="22"/>
        <v>2.8738744522596171E-2</v>
      </c>
      <c r="J137" s="19">
        <f t="shared" ca="1" si="23"/>
        <v>-5.6407729334671695E-3</v>
      </c>
      <c r="K137" s="19">
        <f t="shared" ca="1" si="24"/>
        <v>83.019049879066372</v>
      </c>
      <c r="L137" s="19">
        <f t="shared" ca="1" si="25"/>
        <v>0.47094812093362748</v>
      </c>
      <c r="M137" s="19">
        <f t="shared" ca="1" si="26"/>
        <v>0.48136304293552001</v>
      </c>
      <c r="AA137" s="37">
        <v>117</v>
      </c>
      <c r="AB137" s="37">
        <v>1.6818780571732537</v>
      </c>
      <c r="AC137" s="37">
        <v>2.711569896191881</v>
      </c>
      <c r="AD137" s="37">
        <v>3.5150777060472556</v>
      </c>
    </row>
    <row r="138" spans="2:30" x14ac:dyDescent="0.3">
      <c r="B138" s="28">
        <v>42830</v>
      </c>
      <c r="C138" s="25">
        <v>47.799999</v>
      </c>
      <c r="D138" s="18">
        <f t="shared" si="18"/>
        <v>4.6237282629790766E-3</v>
      </c>
      <c r="E138" s="32">
        <f t="shared" ca="1" si="19"/>
        <v>1.3641308467470114E-2</v>
      </c>
      <c r="F138" s="18">
        <f t="shared" ca="1" si="20"/>
        <v>59.105425710379485</v>
      </c>
      <c r="G138" s="19">
        <f t="shared" ca="1" si="21"/>
        <v>-0.79542471037948559</v>
      </c>
      <c r="H138" s="27">
        <v>58.16</v>
      </c>
      <c r="I138" s="19">
        <f t="shared" si="22"/>
        <v>2.9315053308671679E-3</v>
      </c>
      <c r="J138" s="19">
        <f t="shared" ca="1" si="23"/>
        <v>5.8413454450472323E-2</v>
      </c>
      <c r="K138" s="19">
        <f t="shared" ca="1" si="24"/>
        <v>88.36693719524304</v>
      </c>
      <c r="L138" s="19">
        <f t="shared" ca="1" si="25"/>
        <v>-4.8769391952430396</v>
      </c>
      <c r="M138" s="19">
        <f t="shared" ca="1" si="26"/>
        <v>-5.6723639056225252</v>
      </c>
      <c r="AA138" s="37">
        <v>118</v>
      </c>
      <c r="AB138" s="37">
        <v>1.7894775763937509</v>
      </c>
      <c r="AC138" s="37">
        <v>2.8960730024431771</v>
      </c>
      <c r="AD138" s="37">
        <v>3.356836614122332</v>
      </c>
    </row>
    <row r="139" spans="2:30" x14ac:dyDescent="0.3">
      <c r="B139" s="28">
        <v>42831</v>
      </c>
      <c r="C139" s="25">
        <v>47.060001</v>
      </c>
      <c r="D139" s="18">
        <f t="shared" si="18"/>
        <v>-1.5481130030985946E-2</v>
      </c>
      <c r="E139" s="32">
        <f t="shared" ca="1" si="19"/>
        <v>-8.9885663424191468E-3</v>
      </c>
      <c r="F139" s="18">
        <f t="shared" ca="1" si="20"/>
        <v>57.785877687584971</v>
      </c>
      <c r="G139" s="19">
        <f t="shared" ca="1" si="21"/>
        <v>0.52412331241502841</v>
      </c>
      <c r="H139" s="27">
        <v>57.610000999999997</v>
      </c>
      <c r="I139" s="19">
        <f t="shared" si="22"/>
        <v>-9.4566540577716296E-3</v>
      </c>
      <c r="J139" s="19">
        <f t="shared" ca="1" si="23"/>
        <v>-7.3375180545999707E-3</v>
      </c>
      <c r="K139" s="19">
        <f t="shared" ca="1" si="24"/>
        <v>82.877388632296487</v>
      </c>
      <c r="L139" s="19">
        <f t="shared" ca="1" si="25"/>
        <v>0.61260936770351293</v>
      </c>
      <c r="M139" s="19">
        <f t="shared" ca="1" si="26"/>
        <v>1.1367326801185413</v>
      </c>
      <c r="AA139" s="37">
        <v>119</v>
      </c>
      <c r="AB139" s="37">
        <v>1.6965810018771341</v>
      </c>
      <c r="AC139" s="37">
        <v>2.6942839844512387</v>
      </c>
      <c r="AD139" s="37">
        <v>3.3490206601063504</v>
      </c>
    </row>
    <row r="140" spans="2:30" x14ac:dyDescent="0.3">
      <c r="B140" s="28">
        <v>42832</v>
      </c>
      <c r="C140" s="25">
        <v>47.02</v>
      </c>
      <c r="D140" s="18">
        <f t="shared" si="18"/>
        <v>-8.4999998193791004E-4</v>
      </c>
      <c r="E140" s="32">
        <f t="shared" ca="1" si="19"/>
        <v>1.9590271885961512E-2</v>
      </c>
      <c r="F140" s="18">
        <f t="shared" ca="1" si="20"/>
        <v>59.452309773260687</v>
      </c>
      <c r="G140" s="19">
        <f t="shared" ca="1" si="21"/>
        <v>-1.1423087732606874</v>
      </c>
      <c r="H140" s="27">
        <v>56.779998999999997</v>
      </c>
      <c r="I140" s="19">
        <f t="shared" si="22"/>
        <v>-1.4407255434694455E-2</v>
      </c>
      <c r="J140" s="19">
        <f t="shared" ca="1" si="23"/>
        <v>5.1466611472083717E-3</v>
      </c>
      <c r="K140" s="19">
        <f t="shared" ca="1" si="24"/>
        <v>83.919692728887114</v>
      </c>
      <c r="L140" s="19">
        <f t="shared" ca="1" si="25"/>
        <v>-0.4296947288871138</v>
      </c>
      <c r="M140" s="19">
        <f t="shared" ca="1" si="26"/>
        <v>-1.5720035021478012</v>
      </c>
      <c r="AA140" s="37">
        <v>120</v>
      </c>
      <c r="AB140" s="37">
        <v>1.8284226714341629</v>
      </c>
      <c r="AC140" s="37">
        <v>2.9216558692004679</v>
      </c>
      <c r="AD140" s="37">
        <v>3.3025530777502641</v>
      </c>
    </row>
    <row r="141" spans="2:30" x14ac:dyDescent="0.3">
      <c r="B141" s="28">
        <v>42835</v>
      </c>
      <c r="C141" s="25">
        <v>46.529998999999997</v>
      </c>
      <c r="D141" s="18">
        <f t="shared" si="18"/>
        <v>-1.0421118672905294E-2</v>
      </c>
      <c r="E141" s="32">
        <f t="shared" ca="1" si="19"/>
        <v>1.8570652606599763E-2</v>
      </c>
      <c r="F141" s="18">
        <f t="shared" ca="1" si="20"/>
        <v>59.392855772061488</v>
      </c>
      <c r="G141" s="19">
        <f t="shared" ca="1" si="21"/>
        <v>-1.0828547720614878</v>
      </c>
      <c r="H141" s="27">
        <v>57.099997999999999</v>
      </c>
      <c r="I141" s="19">
        <f t="shared" si="22"/>
        <v>5.6357697364524117E-3</v>
      </c>
      <c r="J141" s="19">
        <f t="shared" ca="1" si="23"/>
        <v>1.4620137255125967E-2</v>
      </c>
      <c r="K141" s="19">
        <f t="shared" ca="1" si="24"/>
        <v>84.710633230190197</v>
      </c>
      <c r="L141" s="19">
        <f t="shared" ca="1" si="25"/>
        <v>-1.2206352301901973</v>
      </c>
      <c r="M141" s="19">
        <f t="shared" ca="1" si="26"/>
        <v>-2.3034900022516851</v>
      </c>
      <c r="AA141" s="37">
        <v>121</v>
      </c>
      <c r="AB141" s="37">
        <v>1.730648922531651</v>
      </c>
      <c r="AC141" s="37">
        <v>2.9423606782153171</v>
      </c>
      <c r="AD141" s="37">
        <v>3.2820108108880941</v>
      </c>
    </row>
    <row r="142" spans="2:30" x14ac:dyDescent="0.3">
      <c r="B142" s="28">
        <v>42836</v>
      </c>
      <c r="C142" s="25">
        <v>46.07</v>
      </c>
      <c r="D142" s="18">
        <f t="shared" si="18"/>
        <v>-9.8860737134337517E-3</v>
      </c>
      <c r="E142" s="32">
        <f t="shared" ca="1" si="19"/>
        <v>-1.8479637003708219E-3</v>
      </c>
      <c r="F142" s="18">
        <f t="shared" ca="1" si="20"/>
        <v>58.202246234783416</v>
      </c>
      <c r="G142" s="19">
        <f t="shared" ca="1" si="21"/>
        <v>0.10775476521658334</v>
      </c>
      <c r="H142" s="27">
        <v>57.200001</v>
      </c>
      <c r="I142" s="19">
        <f t="shared" si="22"/>
        <v>1.7513660858621272E-3</v>
      </c>
      <c r="J142" s="19">
        <f t="shared" ca="1" si="23"/>
        <v>3.0889846988229705E-2</v>
      </c>
      <c r="K142" s="19">
        <f t="shared" ca="1" si="24"/>
        <v>86.068991263267606</v>
      </c>
      <c r="L142" s="19">
        <f t="shared" ca="1" si="25"/>
        <v>-2.5789932632676056</v>
      </c>
      <c r="M142" s="19">
        <f t="shared" ca="1" si="26"/>
        <v>-2.4712384980510222</v>
      </c>
      <c r="AA142" s="37">
        <v>122</v>
      </c>
      <c r="AB142" s="37">
        <v>1.7872818843393015</v>
      </c>
      <c r="AC142" s="37">
        <v>2.6989074338904908</v>
      </c>
      <c r="AD142" s="37">
        <v>3.4412979218950319</v>
      </c>
    </row>
    <row r="143" spans="2:30" x14ac:dyDescent="0.3">
      <c r="B143" s="28">
        <v>42837</v>
      </c>
      <c r="C143" s="25">
        <v>45.279998999999997</v>
      </c>
      <c r="D143" s="18">
        <f t="shared" si="18"/>
        <v>-1.7147840243108448E-2</v>
      </c>
      <c r="E143" s="32">
        <f t="shared" ca="1" si="19"/>
        <v>1.7948869068834878E-2</v>
      </c>
      <c r="F143" s="18">
        <f t="shared" ca="1" si="20"/>
        <v>59.356599573352639</v>
      </c>
      <c r="G143" s="19">
        <f t="shared" ca="1" si="21"/>
        <v>-1.0465985733526395</v>
      </c>
      <c r="H143" s="27">
        <v>55.849997999999999</v>
      </c>
      <c r="I143" s="19">
        <f t="shared" si="22"/>
        <v>-2.3601450636338339E-2</v>
      </c>
      <c r="J143" s="19">
        <f t="shared" ca="1" si="23"/>
        <v>4.1912466122102287E-3</v>
      </c>
      <c r="K143" s="19">
        <f t="shared" ca="1" si="24"/>
        <v>83.839925171270949</v>
      </c>
      <c r="L143" s="19">
        <f t="shared" ca="1" si="25"/>
        <v>-0.34992717127094863</v>
      </c>
      <c r="M143" s="19">
        <f t="shared" ca="1" si="26"/>
        <v>-1.3965257446235881</v>
      </c>
      <c r="AA143" s="37">
        <v>123</v>
      </c>
      <c r="AB143" s="37">
        <v>1.8110331017474364</v>
      </c>
      <c r="AC143" s="37">
        <v>2.9407157572512563</v>
      </c>
      <c r="AD143" s="37">
        <v>3.3868206545898873</v>
      </c>
    </row>
    <row r="144" spans="2:30" x14ac:dyDescent="0.3">
      <c r="B144" s="28">
        <v>42842</v>
      </c>
      <c r="C144" s="25">
        <v>45.599997999999999</v>
      </c>
      <c r="D144" s="18">
        <f t="shared" si="18"/>
        <v>7.0671158804576084E-3</v>
      </c>
      <c r="E144" s="32">
        <f t="shared" ca="1" si="19"/>
        <v>-1.4008873372042011E-4</v>
      </c>
      <c r="F144" s="18">
        <f t="shared" ca="1" si="20"/>
        <v>58.301832425796675</v>
      </c>
      <c r="G144" s="19">
        <f t="shared" ca="1" si="21"/>
        <v>8.1685742033243969E-3</v>
      </c>
      <c r="H144" s="27">
        <v>55.189999</v>
      </c>
      <c r="I144" s="19">
        <f t="shared" si="22"/>
        <v>-1.1817350467944521E-2</v>
      </c>
      <c r="J144" s="19">
        <f t="shared" ca="1" si="23"/>
        <v>7.0218880599093054E-3</v>
      </c>
      <c r="K144" s="19">
        <f t="shared" ca="1" si="24"/>
        <v>84.076255420078056</v>
      </c>
      <c r="L144" s="19">
        <f t="shared" ca="1" si="25"/>
        <v>-0.5862574200780557</v>
      </c>
      <c r="M144" s="19">
        <f t="shared" ca="1" si="26"/>
        <v>-0.57808884587473131</v>
      </c>
      <c r="AA144" s="37">
        <v>124</v>
      </c>
      <c r="AB144" s="37">
        <v>1.7247110556980791</v>
      </c>
      <c r="AC144" s="37">
        <v>2.9537435822463283</v>
      </c>
      <c r="AD144" s="37">
        <v>3.2892209120740383</v>
      </c>
    </row>
    <row r="145" spans="2:30" x14ac:dyDescent="0.3">
      <c r="B145" s="28">
        <v>42843</v>
      </c>
      <c r="C145" s="25">
        <v>45.169998</v>
      </c>
      <c r="D145" s="18">
        <f t="shared" si="18"/>
        <v>-9.4298249749923402E-3</v>
      </c>
      <c r="E145" s="32">
        <f t="shared" ca="1" si="19"/>
        <v>-3.9211374321920102E-2</v>
      </c>
      <c r="F145" s="18">
        <f t="shared" ca="1" si="20"/>
        <v>56.023585724077464</v>
      </c>
      <c r="G145" s="19">
        <f t="shared" ca="1" si="21"/>
        <v>2.2864152759225362</v>
      </c>
      <c r="H145" s="27">
        <v>54.959999000000003</v>
      </c>
      <c r="I145" s="19">
        <f t="shared" si="22"/>
        <v>-4.167421709864394E-3</v>
      </c>
      <c r="J145" s="19">
        <f t="shared" ca="1" si="23"/>
        <v>1.1662904090972589E-2</v>
      </c>
      <c r="K145" s="19">
        <f t="shared" ca="1" si="24"/>
        <v>84.463733839229491</v>
      </c>
      <c r="L145" s="19">
        <f t="shared" ca="1" si="25"/>
        <v>-0.97373583922949081</v>
      </c>
      <c r="M145" s="19">
        <f t="shared" ca="1" si="26"/>
        <v>1.3126794366930454</v>
      </c>
      <c r="AA145" s="37">
        <v>125</v>
      </c>
      <c r="AB145" s="37">
        <v>1.8517761536772639</v>
      </c>
      <c r="AC145" s="37">
        <v>2.7961695225209633</v>
      </c>
      <c r="AD145" s="37">
        <v>3.3901998833020079</v>
      </c>
    </row>
    <row r="146" spans="2:30" x14ac:dyDescent="0.3">
      <c r="B146" s="28">
        <v>42844</v>
      </c>
      <c r="C146" s="25">
        <v>45.369999</v>
      </c>
      <c r="D146" s="18">
        <f t="shared" si="18"/>
        <v>4.4277398462582163E-3</v>
      </c>
      <c r="E146" s="32">
        <f t="shared" ca="1" si="19"/>
        <v>2.9045223268550798E-2</v>
      </c>
      <c r="F146" s="18">
        <f t="shared" ca="1" si="20"/>
        <v>60.003627997834414</v>
      </c>
      <c r="G146" s="19">
        <f t="shared" ca="1" si="21"/>
        <v>-1.6936269978344143</v>
      </c>
      <c r="H146" s="27">
        <v>55.5</v>
      </c>
      <c r="I146" s="19">
        <f t="shared" si="22"/>
        <v>9.8253458847405994E-3</v>
      </c>
      <c r="J146" s="19">
        <f t="shared" ca="1" si="23"/>
        <v>-3.6281834719964247E-3</v>
      </c>
      <c r="K146" s="19">
        <f t="shared" ca="1" si="24"/>
        <v>83.187080969179377</v>
      </c>
      <c r="L146" s="19">
        <f t="shared" ca="1" si="25"/>
        <v>0.30291703082062327</v>
      </c>
      <c r="M146" s="19">
        <f t="shared" ca="1" si="26"/>
        <v>-1.390709967013791</v>
      </c>
      <c r="AA146" s="37">
        <v>126</v>
      </c>
      <c r="AB146" s="37">
        <v>1.8472041311490477</v>
      </c>
      <c r="AC146" s="37">
        <v>2.9110926680302418</v>
      </c>
      <c r="AD146" s="37">
        <v>3.360536020547769</v>
      </c>
    </row>
    <row r="147" spans="2:30" x14ac:dyDescent="0.3">
      <c r="B147" s="28">
        <v>42845</v>
      </c>
      <c r="C147" s="25">
        <v>46.75</v>
      </c>
      <c r="D147" s="18">
        <f t="shared" si="18"/>
        <v>3.0416597540590562E-2</v>
      </c>
      <c r="E147" s="32">
        <f t="shared" ca="1" si="19"/>
        <v>1.7100013718399119E-2</v>
      </c>
      <c r="F147" s="18">
        <f t="shared" ca="1" si="20"/>
        <v>59.307102817019867</v>
      </c>
      <c r="G147" s="19">
        <f t="shared" ca="1" si="21"/>
        <v>-0.99710181701986755</v>
      </c>
      <c r="H147" s="27">
        <v>56.990001999999997</v>
      </c>
      <c r="I147" s="19">
        <f t="shared" si="22"/>
        <v>2.6846882882882728E-2</v>
      </c>
      <c r="J147" s="19">
        <f t="shared" ca="1" si="23"/>
        <v>9.4079765887230965E-3</v>
      </c>
      <c r="K147" s="19">
        <f t="shared" ca="1" si="24"/>
        <v>84.27546994657655</v>
      </c>
      <c r="L147" s="19">
        <f t="shared" ca="1" si="25"/>
        <v>-0.78547194657654984</v>
      </c>
      <c r="M147" s="19">
        <f t="shared" ca="1" si="26"/>
        <v>-1.7825737635964174</v>
      </c>
      <c r="AA147" s="37">
        <v>127</v>
      </c>
      <c r="AB147" s="37">
        <v>1.8229304615122011</v>
      </c>
      <c r="AC147" s="37">
        <v>2.9022763878462818</v>
      </c>
      <c r="AD147" s="37">
        <v>3.4828250074837834</v>
      </c>
    </row>
    <row r="148" spans="2:30" x14ac:dyDescent="0.3">
      <c r="B148" s="28">
        <v>42846</v>
      </c>
      <c r="C148" s="25">
        <v>46.950001</v>
      </c>
      <c r="D148" s="18">
        <f t="shared" si="18"/>
        <v>4.278096256684405E-3</v>
      </c>
      <c r="E148" s="32">
        <f t="shared" ca="1" si="19"/>
        <v>-2.5932849398368138E-3</v>
      </c>
      <c r="F148" s="18">
        <f t="shared" ca="1" si="20"/>
        <v>58.158786552564834</v>
      </c>
      <c r="G148" s="19">
        <f t="shared" ca="1" si="21"/>
        <v>0.15121444743516577</v>
      </c>
      <c r="H148" s="27">
        <v>56.48</v>
      </c>
      <c r="I148" s="19">
        <f t="shared" si="22"/>
        <v>-8.9489731900693759E-3</v>
      </c>
      <c r="J148" s="19">
        <f t="shared" ca="1" si="23"/>
        <v>-5.8128619906719957E-3</v>
      </c>
      <c r="K148" s="19">
        <f t="shared" ca="1" si="24"/>
        <v>83.004682164024516</v>
      </c>
      <c r="L148" s="19">
        <f t="shared" ca="1" si="25"/>
        <v>0.48531583597548433</v>
      </c>
      <c r="M148" s="19">
        <f t="shared" ca="1" si="26"/>
        <v>0.6365302834106501</v>
      </c>
      <c r="AA148" s="37">
        <v>128</v>
      </c>
      <c r="AB148" s="37">
        <v>1.7820836353907272</v>
      </c>
      <c r="AC148" s="37">
        <v>3.031313929453245</v>
      </c>
      <c r="AD148" s="37">
        <v>3.2019498227595315</v>
      </c>
    </row>
    <row r="149" spans="2:30" x14ac:dyDescent="0.3">
      <c r="B149" s="28">
        <v>42849</v>
      </c>
      <c r="C149" s="25">
        <v>47.459999000000003</v>
      </c>
      <c r="D149" s="18">
        <f t="shared" si="18"/>
        <v>1.0862576978432958E-2</v>
      </c>
      <c r="E149" s="32">
        <f t="shared" ca="1" si="19"/>
        <v>-1.8373225995395693E-2</v>
      </c>
      <c r="F149" s="18">
        <f t="shared" ca="1" si="20"/>
        <v>57.238658173835248</v>
      </c>
      <c r="G149" s="19">
        <f t="shared" ca="1" si="21"/>
        <v>1.0713428261647522</v>
      </c>
      <c r="H149" s="27">
        <v>55.580002</v>
      </c>
      <c r="I149" s="19">
        <f t="shared" si="22"/>
        <v>-1.5934808781869592E-2</v>
      </c>
      <c r="J149" s="19">
        <f t="shared" ca="1" si="23"/>
        <v>-1.1567007081122483E-2</v>
      </c>
      <c r="K149" s="19">
        <f t="shared" ca="1" si="24"/>
        <v>82.524268601931098</v>
      </c>
      <c r="L149" s="19">
        <f t="shared" ca="1" si="25"/>
        <v>0.9657293980689019</v>
      </c>
      <c r="M149" s="19">
        <f t="shared" ca="1" si="26"/>
        <v>2.0370722242336541</v>
      </c>
      <c r="AA149" s="37">
        <v>129</v>
      </c>
      <c r="AB149" s="37">
        <v>1.8791973408486153</v>
      </c>
      <c r="AC149" s="37">
        <v>2.9056676742412413</v>
      </c>
      <c r="AD149" s="37">
        <v>3.4134807211401381</v>
      </c>
    </row>
    <row r="150" spans="2:30" x14ac:dyDescent="0.3">
      <c r="B150" s="28">
        <v>42850</v>
      </c>
      <c r="C150" s="25">
        <v>47.610000999999997</v>
      </c>
      <c r="D150" s="18">
        <f t="shared" si="18"/>
        <v>3.1605984652463004E-3</v>
      </c>
      <c r="E150" s="32">
        <f t="shared" ca="1" si="19"/>
        <v>1.0563004423533869E-2</v>
      </c>
      <c r="F150" s="18">
        <f t="shared" ca="1" si="20"/>
        <v>58.925929798499261</v>
      </c>
      <c r="G150" s="19">
        <f t="shared" ca="1" si="21"/>
        <v>-0.61592879849926163</v>
      </c>
      <c r="H150" s="27">
        <v>56.040000999999997</v>
      </c>
      <c r="I150" s="19">
        <f t="shared" si="22"/>
        <v>8.2763401124021918E-3</v>
      </c>
      <c r="J150" s="19">
        <f t="shared" ca="1" si="23"/>
        <v>1.8726192143995565E-2</v>
      </c>
      <c r="K150" s="19">
        <f t="shared" ca="1" si="24"/>
        <v>85.053447744649816</v>
      </c>
      <c r="L150" s="19">
        <f t="shared" ca="1" si="25"/>
        <v>-1.5634497446498159</v>
      </c>
      <c r="M150" s="19">
        <f t="shared" ca="1" si="26"/>
        <v>-2.1793785431490775</v>
      </c>
      <c r="AA150" s="37">
        <v>130</v>
      </c>
      <c r="AB150" s="37">
        <v>1.7852463901236881</v>
      </c>
      <c r="AC150" s="37">
        <v>2.7603447708293394</v>
      </c>
      <c r="AD150" s="37">
        <v>3.2011029065611889</v>
      </c>
    </row>
    <row r="151" spans="2:30" x14ac:dyDescent="0.3">
      <c r="B151" s="28">
        <v>42851</v>
      </c>
      <c r="C151" s="25">
        <v>46.43</v>
      </c>
      <c r="D151" s="18">
        <f t="shared" si="18"/>
        <v>-2.4784729578140485E-2</v>
      </c>
      <c r="E151" s="32">
        <f t="shared" ca="1" si="19"/>
        <v>1.1021752721563404E-2</v>
      </c>
      <c r="F151" s="18">
        <f t="shared" ca="1" si="20"/>
        <v>58.952679412216121</v>
      </c>
      <c r="G151" s="19">
        <f t="shared" ca="1" si="21"/>
        <v>-0.64267841221612088</v>
      </c>
      <c r="H151" s="27">
        <v>55.580002</v>
      </c>
      <c r="I151" s="19">
        <f t="shared" si="22"/>
        <v>-8.2084045644467141E-3</v>
      </c>
      <c r="J151" s="19">
        <f t="shared" ca="1" si="23"/>
        <v>9.843234863531336E-3</v>
      </c>
      <c r="K151" s="19">
        <f t="shared" ca="1" si="24"/>
        <v>84.311809659069766</v>
      </c>
      <c r="L151" s="19">
        <f t="shared" ca="1" si="25"/>
        <v>-0.82181165906976616</v>
      </c>
      <c r="M151" s="19">
        <f t="shared" ca="1" si="26"/>
        <v>-1.464490071285887</v>
      </c>
      <c r="AA151" s="37">
        <v>131</v>
      </c>
      <c r="AB151" s="37">
        <v>1.7023422478407191</v>
      </c>
      <c r="AC151" s="37">
        <v>2.9452163549507087</v>
      </c>
      <c r="AD151" s="37">
        <v>3.0739022872221167</v>
      </c>
    </row>
    <row r="152" spans="2:30" x14ac:dyDescent="0.3">
      <c r="B152" s="28">
        <v>42852</v>
      </c>
      <c r="C152" s="25">
        <v>46.290000999999997</v>
      </c>
      <c r="D152" s="18">
        <f t="shared" si="18"/>
        <v>-3.0152702993754277E-3</v>
      </c>
      <c r="E152" s="32">
        <f t="shared" ca="1" si="19"/>
        <v>-1.7910189014736608E-2</v>
      </c>
      <c r="F152" s="18">
        <f t="shared" ca="1" si="20"/>
        <v>57.265657860640516</v>
      </c>
      <c r="G152" s="19">
        <f t="shared" ca="1" si="21"/>
        <v>1.0443431393594835</v>
      </c>
      <c r="H152" s="27">
        <v>55.57</v>
      </c>
      <c r="I152" s="19">
        <f t="shared" si="22"/>
        <v>-1.7995681252402917E-4</v>
      </c>
      <c r="J152" s="19">
        <f t="shared" ca="1" si="23"/>
        <v>-5.4777287620413262E-3</v>
      </c>
      <c r="K152" s="19">
        <f t="shared" ca="1" si="24"/>
        <v>83.032662436612625</v>
      </c>
      <c r="L152" s="19">
        <f t="shared" ca="1" si="25"/>
        <v>0.45733556338737458</v>
      </c>
      <c r="M152" s="19">
        <f t="shared" ca="1" si="26"/>
        <v>1.5016787027468581</v>
      </c>
      <c r="AA152" s="37">
        <v>132</v>
      </c>
      <c r="AB152" s="37">
        <v>1.8448547767844763</v>
      </c>
      <c r="AC152" s="37">
        <v>2.8037622619698825</v>
      </c>
      <c r="AD152" s="37">
        <v>3.3507552181157041</v>
      </c>
    </row>
    <row r="153" spans="2:30" x14ac:dyDescent="0.3">
      <c r="B153" s="28">
        <v>42853</v>
      </c>
      <c r="C153" s="25">
        <v>46.080002</v>
      </c>
      <c r="D153" s="18">
        <f t="shared" si="18"/>
        <v>-4.5365952789674369E-3</v>
      </c>
      <c r="E153" s="32">
        <f t="shared" ca="1" si="19"/>
        <v>1.891918813535472E-2</v>
      </c>
      <c r="F153" s="18">
        <f t="shared" ca="1" si="20"/>
        <v>59.413178879091724</v>
      </c>
      <c r="G153" s="19">
        <f t="shared" ca="1" si="21"/>
        <v>-1.1031778790917244</v>
      </c>
      <c r="H153" s="27">
        <v>55.369999</v>
      </c>
      <c r="I153" s="19">
        <f t="shared" si="22"/>
        <v>-3.5990822386179344E-3</v>
      </c>
      <c r="J153" s="19">
        <f t="shared" ca="1" si="23"/>
        <v>1.2119255082783919E-2</v>
      </c>
      <c r="K153" s="19">
        <f t="shared" ca="1" si="24"/>
        <v>84.501834582623133</v>
      </c>
      <c r="L153" s="19">
        <f t="shared" ca="1" si="25"/>
        <v>-1.0118365826231326</v>
      </c>
      <c r="M153" s="19">
        <f t="shared" ca="1" si="26"/>
        <v>-2.115014461714857</v>
      </c>
      <c r="AA153" s="37">
        <v>133</v>
      </c>
      <c r="AB153" s="37">
        <v>1.8479959264847274</v>
      </c>
      <c r="AC153" s="37">
        <v>2.8103327682034269</v>
      </c>
      <c r="AD153" s="37">
        <v>3.4113317792887812</v>
      </c>
    </row>
    <row r="154" spans="2:30" x14ac:dyDescent="0.3">
      <c r="B154" s="28">
        <v>42857</v>
      </c>
      <c r="C154" s="25">
        <v>46.75</v>
      </c>
      <c r="D154" s="18">
        <f t="shared" si="18"/>
        <v>1.4539886521706347E-2</v>
      </c>
      <c r="E154" s="32">
        <f t="shared" ca="1" si="19"/>
        <v>3.302322947748508E-2</v>
      </c>
      <c r="F154" s="18">
        <f t="shared" ca="1" si="20"/>
        <v>60.235585543855379</v>
      </c>
      <c r="G154" s="19">
        <f t="shared" ca="1" si="21"/>
        <v>-1.9255845438553791</v>
      </c>
      <c r="H154" s="27">
        <v>55.110000999999997</v>
      </c>
      <c r="I154" s="19">
        <f t="shared" si="22"/>
        <v>-4.6956475473297621E-3</v>
      </c>
      <c r="J154" s="19">
        <f t="shared" ca="1" si="23"/>
        <v>-1.9664793282871504E-2</v>
      </c>
      <c r="K154" s="19">
        <f t="shared" ca="1" si="24"/>
        <v>81.848184448142646</v>
      </c>
      <c r="L154" s="19">
        <f t="shared" ca="1" si="25"/>
        <v>1.6418135518573536</v>
      </c>
      <c r="M154" s="19">
        <f t="shared" ca="1" si="26"/>
        <v>-0.28377099199802558</v>
      </c>
      <c r="AA154" s="37">
        <v>134</v>
      </c>
      <c r="AB154" s="37">
        <v>1.7320883163733982</v>
      </c>
      <c r="AC154" s="37">
        <v>2.8984268443373247</v>
      </c>
      <c r="AD154" s="37">
        <v>3.4888629230816606</v>
      </c>
    </row>
    <row r="155" spans="2:30" x14ac:dyDescent="0.3">
      <c r="B155" s="28">
        <v>42858</v>
      </c>
      <c r="C155" s="25">
        <v>45.299999</v>
      </c>
      <c r="D155" s="18">
        <f t="shared" si="18"/>
        <v>-3.1016064171123015E-2</v>
      </c>
      <c r="E155" s="32">
        <f t="shared" ca="1" si="19"/>
        <v>9.0464253671517069E-3</v>
      </c>
      <c r="F155" s="18">
        <f t="shared" ca="1" si="20"/>
        <v>58.837498072205037</v>
      </c>
      <c r="G155" s="19">
        <f t="shared" ca="1" si="21"/>
        <v>-0.52749707220503694</v>
      </c>
      <c r="H155" s="27">
        <v>53.939999</v>
      </c>
      <c r="I155" s="19">
        <f t="shared" si="22"/>
        <v>-2.1230302645067978E-2</v>
      </c>
      <c r="J155" s="19">
        <f t="shared" ca="1" si="23"/>
        <v>2.7857842215221655E-3</v>
      </c>
      <c r="K155" s="19">
        <f t="shared" ca="1" si="24"/>
        <v>83.722583119083325</v>
      </c>
      <c r="L155" s="19">
        <f t="shared" ca="1" si="25"/>
        <v>-0.2325851190833248</v>
      </c>
      <c r="M155" s="19">
        <f t="shared" ca="1" si="26"/>
        <v>-0.76008219128836174</v>
      </c>
      <c r="AA155" s="37">
        <v>135</v>
      </c>
      <c r="AB155" s="37">
        <v>1.7769792486107665</v>
      </c>
      <c r="AC155" s="37">
        <v>2.8572183562494149</v>
      </c>
      <c r="AD155" s="37">
        <v>3.2710602360318486</v>
      </c>
    </row>
    <row r="156" spans="2:30" x14ac:dyDescent="0.3">
      <c r="B156" s="28">
        <v>42859</v>
      </c>
      <c r="C156" s="25">
        <v>44.939999</v>
      </c>
      <c r="D156" s="18">
        <f t="shared" si="18"/>
        <v>-7.9470200429805349E-3</v>
      </c>
      <c r="E156" s="32">
        <f t="shared" ca="1" si="19"/>
        <v>6.5905236710897433E-4</v>
      </c>
      <c r="F156" s="18">
        <f t="shared" ca="1" si="20"/>
        <v>58.348430344185182</v>
      </c>
      <c r="G156" s="19">
        <f t="shared" ca="1" si="21"/>
        <v>-3.8429344185182401E-2</v>
      </c>
      <c r="H156" s="27">
        <v>53.360000999999997</v>
      </c>
      <c r="I156" s="19">
        <f t="shared" si="22"/>
        <v>-1.0752651293152615E-2</v>
      </c>
      <c r="J156" s="19">
        <f t="shared" ca="1" si="23"/>
        <v>2.3788296208910049E-2</v>
      </c>
      <c r="K156" s="19">
        <f t="shared" ca="1" si="24"/>
        <v>85.476082802905296</v>
      </c>
      <c r="L156" s="19">
        <f t="shared" ca="1" si="25"/>
        <v>-1.986084802905296</v>
      </c>
      <c r="M156" s="19">
        <f t="shared" ca="1" si="26"/>
        <v>-2.0245141470904784</v>
      </c>
      <c r="AA156" s="37">
        <v>136</v>
      </c>
      <c r="AB156" s="37">
        <v>1.821668187937916</v>
      </c>
      <c r="AC156" s="37">
        <v>2.7850084690013772</v>
      </c>
      <c r="AD156" s="37">
        <v>3.2801212296705784</v>
      </c>
    </row>
    <row r="157" spans="2:30" x14ac:dyDescent="0.3">
      <c r="B157" s="28">
        <v>42860</v>
      </c>
      <c r="C157" s="25">
        <v>45.139999000000003</v>
      </c>
      <c r="D157" s="18">
        <f t="shared" si="18"/>
        <v>4.4503783811833397E-3</v>
      </c>
      <c r="E157" s="32">
        <f t="shared" ca="1" si="19"/>
        <v>1.85588331700236E-2</v>
      </c>
      <c r="F157" s="18">
        <f t="shared" ca="1" si="20"/>
        <v>59.392166580702906</v>
      </c>
      <c r="G157" s="19">
        <f t="shared" ca="1" si="21"/>
        <v>-1.082165580702906</v>
      </c>
      <c r="H157" s="27">
        <v>53.48</v>
      </c>
      <c r="I157" s="19">
        <f t="shared" si="22"/>
        <v>2.2488567794443082E-3</v>
      </c>
      <c r="J157" s="19">
        <f t="shared" ca="1" si="23"/>
        <v>1.7555481659684465E-2</v>
      </c>
      <c r="K157" s="19">
        <f t="shared" ca="1" si="24"/>
        <v>84.955705128656106</v>
      </c>
      <c r="L157" s="19">
        <f t="shared" ca="1" si="25"/>
        <v>-1.4657071286561063</v>
      </c>
      <c r="M157" s="19">
        <f t="shared" ca="1" si="26"/>
        <v>-2.5478727093590123</v>
      </c>
      <c r="AA157" s="37">
        <v>137</v>
      </c>
      <c r="AB157" s="37">
        <v>1.9148173501044132</v>
      </c>
      <c r="AC157" s="37">
        <v>2.7865194627708703</v>
      </c>
      <c r="AD157" s="37">
        <v>3.2840288208399642</v>
      </c>
    </row>
    <row r="158" spans="2:30" x14ac:dyDescent="0.3">
      <c r="B158" s="28">
        <v>42863</v>
      </c>
      <c r="C158" s="25">
        <v>45.110000999999997</v>
      </c>
      <c r="D158" s="18">
        <f t="shared" si="18"/>
        <v>-6.6455473337534432E-4</v>
      </c>
      <c r="E158" s="32">
        <f t="shared" ca="1" si="19"/>
        <v>2.7022077605146719E-3</v>
      </c>
      <c r="F158" s="18">
        <f t="shared" ca="1" si="20"/>
        <v>58.467566737217822</v>
      </c>
      <c r="G158" s="19">
        <f t="shared" ca="1" si="21"/>
        <v>-0.15756573721782274</v>
      </c>
      <c r="H158" s="27">
        <v>53.299999</v>
      </c>
      <c r="I158" s="19">
        <f t="shared" si="22"/>
        <v>-3.365762902019398E-3</v>
      </c>
      <c r="J158" s="19">
        <f t="shared" ca="1" si="23"/>
        <v>1.5954107343998949E-2</v>
      </c>
      <c r="K158" s="19">
        <f t="shared" ca="1" si="24"/>
        <v>84.822006390242265</v>
      </c>
      <c r="L158" s="19">
        <f t="shared" ca="1" si="25"/>
        <v>-1.3320083902422652</v>
      </c>
      <c r="M158" s="19">
        <f t="shared" ca="1" si="26"/>
        <v>-1.489574127460088</v>
      </c>
      <c r="AA158" s="37">
        <v>138</v>
      </c>
      <c r="AB158" s="37">
        <v>1.8432893477235699</v>
      </c>
      <c r="AC158" s="37">
        <v>2.6312963396036335</v>
      </c>
      <c r="AD158" s="37">
        <v>3.4486868386573186</v>
      </c>
    </row>
    <row r="159" spans="2:30" x14ac:dyDescent="0.3">
      <c r="B159" s="28">
        <v>42864</v>
      </c>
      <c r="C159" s="25">
        <v>45.310001</v>
      </c>
      <c r="D159" s="18">
        <f t="shared" si="18"/>
        <v>4.4336066407979491E-3</v>
      </c>
      <c r="E159" s="32">
        <f t="shared" ca="1" si="19"/>
        <v>-1.7873228276479524E-3</v>
      </c>
      <c r="F159" s="18">
        <f t="shared" ca="1" si="20"/>
        <v>58.205782204132525</v>
      </c>
      <c r="G159" s="19">
        <f t="shared" ca="1" si="21"/>
        <v>0.10421879586747451</v>
      </c>
      <c r="H159" s="27">
        <v>53.970001000000003</v>
      </c>
      <c r="I159" s="19">
        <f t="shared" si="22"/>
        <v>1.2570394232090054E-2</v>
      </c>
      <c r="J159" s="19">
        <f t="shared" ca="1" si="23"/>
        <v>-4.3353884581441592E-2</v>
      </c>
      <c r="K159" s="19">
        <f t="shared" ca="1" si="24"/>
        <v>79.870382263003208</v>
      </c>
      <c r="L159" s="19">
        <f t="shared" ca="1" si="25"/>
        <v>3.6196157369967921</v>
      </c>
      <c r="M159" s="19">
        <f t="shared" ca="1" si="26"/>
        <v>3.7238345328642666</v>
      </c>
      <c r="AA159" s="37">
        <v>139</v>
      </c>
      <c r="AB159" s="37">
        <v>1.777425897437644</v>
      </c>
      <c r="AC159" s="37">
        <v>2.7404604223808118</v>
      </c>
      <c r="AD159" s="37">
        <v>3.2933317506449566</v>
      </c>
    </row>
    <row r="160" spans="2:30" x14ac:dyDescent="0.3">
      <c r="B160" s="28">
        <v>42865</v>
      </c>
      <c r="C160" s="25">
        <v>45.290000999999997</v>
      </c>
      <c r="D160" s="18">
        <f t="shared" si="18"/>
        <v>-4.4140365390865632E-4</v>
      </c>
      <c r="E160" s="32">
        <f t="shared" ca="1" si="19"/>
        <v>-1.5766391897040204E-2</v>
      </c>
      <c r="F160" s="18">
        <f t="shared" ca="1" si="20"/>
        <v>57.390662672717191</v>
      </c>
      <c r="G160" s="19">
        <f t="shared" ca="1" si="21"/>
        <v>0.91933832728280862</v>
      </c>
      <c r="H160" s="27">
        <v>54.099997999999999</v>
      </c>
      <c r="I160" s="19">
        <f t="shared" si="22"/>
        <v>2.4086899683399832E-3</v>
      </c>
      <c r="J160" s="19">
        <f t="shared" ca="1" si="23"/>
        <v>-1.6946850423815829E-2</v>
      </c>
      <c r="K160" s="19">
        <f t="shared" ca="1" si="24"/>
        <v>82.075105492009314</v>
      </c>
      <c r="L160" s="19">
        <f t="shared" ca="1" si="25"/>
        <v>1.414892507990686</v>
      </c>
      <c r="M160" s="19">
        <f t="shared" ca="1" si="26"/>
        <v>2.3342308352734946</v>
      </c>
      <c r="AA160" s="37">
        <v>140</v>
      </c>
      <c r="AB160" s="37">
        <v>1.7496943537863618</v>
      </c>
      <c r="AC160" s="37">
        <v>2.7194384325645466</v>
      </c>
      <c r="AD160" s="37">
        <v>3.2386573229360791</v>
      </c>
    </row>
    <row r="161" spans="2:30" x14ac:dyDescent="0.3">
      <c r="B161" s="28">
        <v>42866</v>
      </c>
      <c r="C161" s="25">
        <v>46.290000999999997</v>
      </c>
      <c r="D161" s="18">
        <f t="shared" si="18"/>
        <v>2.2079928856702846E-2</v>
      </c>
      <c r="E161" s="32">
        <f t="shared" ca="1" si="19"/>
        <v>-2.6339722115160592E-2</v>
      </c>
      <c r="F161" s="18">
        <f t="shared" ca="1" si="20"/>
        <v>56.774131777125262</v>
      </c>
      <c r="G161" s="19">
        <f t="shared" ca="1" si="21"/>
        <v>1.5358692228747373</v>
      </c>
      <c r="H161" s="27">
        <v>53.970001000000003</v>
      </c>
      <c r="I161" s="19">
        <f t="shared" si="22"/>
        <v>-2.4029021221034785E-3</v>
      </c>
      <c r="J161" s="19">
        <f t="shared" ca="1" si="23"/>
        <v>3.3983380633781216E-3</v>
      </c>
      <c r="K161" s="19">
        <f t="shared" ca="1" si="24"/>
        <v>83.773725238114764</v>
      </c>
      <c r="L161" s="19">
        <f t="shared" ca="1" si="25"/>
        <v>-0.28372723811476419</v>
      </c>
      <c r="M161" s="19">
        <f t="shared" ca="1" si="26"/>
        <v>1.2521419847599731</v>
      </c>
      <c r="AA161" s="37">
        <v>141</v>
      </c>
      <c r="AB161" s="37">
        <v>1.866990728977403</v>
      </c>
      <c r="AC161" s="37">
        <v>2.809036871778424</v>
      </c>
      <c r="AD161" s="37">
        <v>3.3739137946981788</v>
      </c>
    </row>
    <row r="162" spans="2:30" x14ac:dyDescent="0.3">
      <c r="B162" s="28">
        <v>42867</v>
      </c>
      <c r="C162" s="25">
        <v>45.84</v>
      </c>
      <c r="D162" s="18">
        <f t="shared" si="18"/>
        <v>-9.7213434927337916E-3</v>
      </c>
      <c r="E162" s="32">
        <f t="shared" ca="1" si="19"/>
        <v>1.0963951444702066E-2</v>
      </c>
      <c r="F162" s="18">
        <f t="shared" ca="1" si="20"/>
        <v>58.949309019704522</v>
      </c>
      <c r="G162" s="19">
        <f t="shared" ca="1" si="21"/>
        <v>-0.63930801970452222</v>
      </c>
      <c r="H162" s="27">
        <v>53.59</v>
      </c>
      <c r="I162" s="19">
        <f t="shared" si="22"/>
        <v>-7.0409670735415153E-3</v>
      </c>
      <c r="J162" s="19">
        <f t="shared" ca="1" si="23"/>
        <v>1.2722607327805126E-3</v>
      </c>
      <c r="K162" s="19">
        <f t="shared" ca="1" si="24"/>
        <v>83.596219046035316</v>
      </c>
      <c r="L162" s="19">
        <f t="shared" ca="1" si="25"/>
        <v>-0.10622104603531568</v>
      </c>
      <c r="M162" s="19">
        <f t="shared" ca="1" si="26"/>
        <v>-0.7455290657398379</v>
      </c>
      <c r="AA162" s="37">
        <v>142</v>
      </c>
      <c r="AB162" s="37">
        <v>1.7884410714191268</v>
      </c>
      <c r="AC162" s="37">
        <v>2.8870214626678035</v>
      </c>
      <c r="AD162" s="37">
        <v>3.3456366963984463</v>
      </c>
    </row>
    <row r="163" spans="2:30" x14ac:dyDescent="0.3">
      <c r="B163" s="28">
        <v>42870</v>
      </c>
      <c r="C163" s="25">
        <v>46.110000999999997</v>
      </c>
      <c r="D163" s="18">
        <f t="shared" si="18"/>
        <v>5.8900741710294913E-3</v>
      </c>
      <c r="E163" s="32">
        <f t="shared" ca="1" si="19"/>
        <v>5.9838955149552455E-3</v>
      </c>
      <c r="F163" s="18">
        <f t="shared" ca="1" si="20"/>
        <v>58.658921953460933</v>
      </c>
      <c r="G163" s="19">
        <f t="shared" ca="1" si="21"/>
        <v>-0.34892095346093299</v>
      </c>
      <c r="H163" s="27">
        <v>53.509998000000003</v>
      </c>
      <c r="I163" s="19">
        <f t="shared" si="22"/>
        <v>-1.4928531442433002E-3</v>
      </c>
      <c r="J163" s="19">
        <f t="shared" ca="1" si="23"/>
        <v>1.552023944126271E-2</v>
      </c>
      <c r="K163" s="19">
        <f t="shared" ca="1" si="24"/>
        <v>84.785782759910546</v>
      </c>
      <c r="L163" s="19">
        <f t="shared" ca="1" si="25"/>
        <v>-1.2957847599105463</v>
      </c>
      <c r="M163" s="19">
        <f t="shared" ca="1" si="26"/>
        <v>-1.6447057133714793</v>
      </c>
      <c r="AA163" s="37">
        <v>143</v>
      </c>
      <c r="AB163" s="37">
        <v>1.8168031634583732</v>
      </c>
      <c r="AC163" s="37">
        <v>2.7587571465702618</v>
      </c>
      <c r="AD163" s="37">
        <v>3.2000120214217476</v>
      </c>
    </row>
    <row r="164" spans="2:30" x14ac:dyDescent="0.3">
      <c r="B164" s="28">
        <v>42871</v>
      </c>
      <c r="C164" s="25">
        <v>45.84</v>
      </c>
      <c r="D164" s="18">
        <f t="shared" si="18"/>
        <v>-5.8555843449231704E-3</v>
      </c>
      <c r="E164" s="32">
        <f t="shared" ca="1" si="19"/>
        <v>7.3624582410162396E-3</v>
      </c>
      <c r="F164" s="18">
        <f t="shared" ca="1" si="20"/>
        <v>58.739305947396119</v>
      </c>
      <c r="G164" s="19">
        <f t="shared" ca="1" si="21"/>
        <v>-0.42930494739611902</v>
      </c>
      <c r="H164" s="27">
        <v>52.43</v>
      </c>
      <c r="I164" s="19">
        <f t="shared" si="22"/>
        <v>-2.0183106715870203E-2</v>
      </c>
      <c r="J164" s="19">
        <f t="shared" ca="1" si="23"/>
        <v>-1.5465900198303895E-2</v>
      </c>
      <c r="K164" s="19">
        <f t="shared" ca="1" si="24"/>
        <v>82.19875002337541</v>
      </c>
      <c r="L164" s="19">
        <f t="shared" ca="1" si="25"/>
        <v>1.2912479766245895</v>
      </c>
      <c r="M164" s="19">
        <f t="shared" ca="1" si="26"/>
        <v>0.86194302922847044</v>
      </c>
      <c r="AA164" s="37">
        <v>144</v>
      </c>
      <c r="AB164" s="37">
        <v>1.6951885706928513</v>
      </c>
      <c r="AC164" s="37">
        <v>2.8614242363936122</v>
      </c>
      <c r="AD164" s="37">
        <v>3.2541242820498337</v>
      </c>
    </row>
    <row r="165" spans="2:30" x14ac:dyDescent="0.3">
      <c r="B165" s="28">
        <v>42872</v>
      </c>
      <c r="C165" s="25">
        <v>45.099997999999999</v>
      </c>
      <c r="D165" s="18">
        <f t="shared" si="18"/>
        <v>-1.6143150087260083E-2</v>
      </c>
      <c r="E165" s="32">
        <f t="shared" ca="1" si="19"/>
        <v>4.2650897739485841E-2</v>
      </c>
      <c r="F165" s="18">
        <f t="shared" ca="1" si="20"/>
        <v>60.796974889840321</v>
      </c>
      <c r="G165" s="19">
        <f t="shared" ca="1" si="21"/>
        <v>-2.4869738898403213</v>
      </c>
      <c r="H165" s="27">
        <v>51.279998999999997</v>
      </c>
      <c r="I165" s="19">
        <f t="shared" si="22"/>
        <v>-2.1934026320808764E-2</v>
      </c>
      <c r="J165" s="19">
        <f t="shared" ca="1" si="23"/>
        <v>1.3808397169696666E-2</v>
      </c>
      <c r="K165" s="19">
        <f t="shared" ca="1" si="24"/>
        <v>84.642861052081187</v>
      </c>
      <c r="L165" s="19">
        <f t="shared" ca="1" si="25"/>
        <v>-1.1528630520811873</v>
      </c>
      <c r="M165" s="19">
        <f t="shared" ca="1" si="26"/>
        <v>-3.6398369419215086</v>
      </c>
      <c r="AA165" s="37">
        <v>145</v>
      </c>
      <c r="AB165" s="37">
        <v>1.8185370973609074</v>
      </c>
      <c r="AC165" s="37">
        <v>2.8011790955277136</v>
      </c>
      <c r="AD165" s="37">
        <v>3.3590894607811714</v>
      </c>
    </row>
    <row r="166" spans="2:30" x14ac:dyDescent="0.3">
      <c r="B166" s="28">
        <v>42873</v>
      </c>
      <c r="C166" s="25">
        <v>45.389999000000003</v>
      </c>
      <c r="D166" s="18">
        <f t="shared" si="18"/>
        <v>6.430177668744097E-3</v>
      </c>
      <c r="E166" s="32">
        <f t="shared" ca="1" si="19"/>
        <v>2.7223189296721798E-2</v>
      </c>
      <c r="F166" s="18">
        <f t="shared" ca="1" si="20"/>
        <v>59.897385195115042</v>
      </c>
      <c r="G166" s="19">
        <f t="shared" ca="1" si="21"/>
        <v>-1.5873841951150425</v>
      </c>
      <c r="H166" s="27">
        <v>50.779998999999997</v>
      </c>
      <c r="I166" s="19">
        <f t="shared" si="22"/>
        <v>-9.7503902057408665E-3</v>
      </c>
      <c r="J166" s="19">
        <f t="shared" ca="1" si="23"/>
        <v>-2.6172661612535884E-4</v>
      </c>
      <c r="K166" s="19">
        <f t="shared" ca="1" si="24"/>
        <v>83.468146445343152</v>
      </c>
      <c r="L166" s="19">
        <f t="shared" ca="1" si="25"/>
        <v>2.1851554656848293E-2</v>
      </c>
      <c r="M166" s="19">
        <f t="shared" ca="1" si="26"/>
        <v>-1.5655326404581942</v>
      </c>
      <c r="AA166" s="37">
        <v>146</v>
      </c>
      <c r="AB166" s="37">
        <v>1.7810068425351442</v>
      </c>
      <c r="AC166" s="37">
        <v>2.868344971747578</v>
      </c>
      <c r="AD166" s="37">
        <v>3.2681439682599165</v>
      </c>
    </row>
    <row r="167" spans="2:30" x14ac:dyDescent="0.3">
      <c r="B167" s="28">
        <v>42874</v>
      </c>
      <c r="C167" s="25">
        <v>45.59</v>
      </c>
      <c r="D167" s="18">
        <f t="shared" si="18"/>
        <v>4.4062790131367269E-3</v>
      </c>
      <c r="E167" s="32">
        <f t="shared" ca="1" si="19"/>
        <v>1.8114591855699477E-3</v>
      </c>
      <c r="F167" s="18">
        <f t="shared" ca="1" si="20"/>
        <v>58.415627186922045</v>
      </c>
      <c r="G167" s="19">
        <f t="shared" ca="1" si="21"/>
        <v>-0.10562618692204495</v>
      </c>
      <c r="H167" s="27">
        <v>53.27</v>
      </c>
      <c r="I167" s="19">
        <f t="shared" si="22"/>
        <v>4.9035073828969766E-2</v>
      </c>
      <c r="J167" s="19">
        <f t="shared" ca="1" si="23"/>
        <v>1.0029459628328723E-2</v>
      </c>
      <c r="K167" s="19">
        <f t="shared" ca="1" si="24"/>
        <v>84.327357564310248</v>
      </c>
      <c r="L167" s="19">
        <f t="shared" ca="1" si="25"/>
        <v>-0.83735956431024761</v>
      </c>
      <c r="M167" s="19">
        <f t="shared" ca="1" si="26"/>
        <v>-0.94298575123229256</v>
      </c>
      <c r="AA167" s="37">
        <v>147</v>
      </c>
      <c r="AB167" s="37">
        <v>1.7715700699701407</v>
      </c>
      <c r="AC167" s="37">
        <v>2.9186535918620971</v>
      </c>
      <c r="AD167" s="37">
        <v>3.3041967794622153</v>
      </c>
    </row>
    <row r="168" spans="2:30" x14ac:dyDescent="0.3">
      <c r="B168" s="28">
        <v>42877</v>
      </c>
      <c r="C168" s="25">
        <v>44.700001</v>
      </c>
      <c r="D168" s="18">
        <f t="shared" si="18"/>
        <v>-1.95218030269797E-2</v>
      </c>
      <c r="E168" s="32">
        <f t="shared" ca="1" si="19"/>
        <v>-1.9978822620686783E-2</v>
      </c>
      <c r="F168" s="18">
        <f t="shared" ca="1" si="20"/>
        <v>57.145035833008933</v>
      </c>
      <c r="G168" s="19">
        <f t="shared" ca="1" si="21"/>
        <v>1.1649651669910668</v>
      </c>
      <c r="H168" s="27">
        <v>52.049999</v>
      </c>
      <c r="I168" s="19">
        <f t="shared" si="22"/>
        <v>-2.2902215130467529E-2</v>
      </c>
      <c r="J168" s="19">
        <f t="shared" ca="1" si="23"/>
        <v>-3.2703612018004972E-2</v>
      </c>
      <c r="K168" s="19">
        <f t="shared" ca="1" si="24"/>
        <v>80.759573498023983</v>
      </c>
      <c r="L168" s="19">
        <f t="shared" ca="1" si="25"/>
        <v>2.7304245019760174</v>
      </c>
      <c r="M168" s="19">
        <f t="shared" ca="1" si="26"/>
        <v>3.8953896689670842</v>
      </c>
      <c r="AA168" s="37">
        <v>148</v>
      </c>
      <c r="AB168" s="37">
        <v>1.7578026308355883</v>
      </c>
      <c r="AC168" s="37">
        <v>2.7752741279335873</v>
      </c>
      <c r="AD168" s="37">
        <v>3.2907022318410268</v>
      </c>
    </row>
    <row r="169" spans="2:30" x14ac:dyDescent="0.3">
      <c r="B169" s="28">
        <v>42878</v>
      </c>
      <c r="C169" s="25">
        <v>43.759998000000003</v>
      </c>
      <c r="D169" s="18">
        <f t="shared" si="18"/>
        <v>-2.1029149417692294E-2</v>
      </c>
      <c r="E169" s="32">
        <f t="shared" ca="1" si="19"/>
        <v>3.0878479029357475E-2</v>
      </c>
      <c r="F169" s="18">
        <f t="shared" ca="1" si="20"/>
        <v>60.110525143080316</v>
      </c>
      <c r="G169" s="19">
        <f t="shared" ca="1" si="21"/>
        <v>-1.8005241430803167</v>
      </c>
      <c r="H169" s="27">
        <v>51.759998000000003</v>
      </c>
      <c r="I169" s="19">
        <f t="shared" si="22"/>
        <v>-5.5715851214520606E-3</v>
      </c>
      <c r="J169" s="19">
        <f t="shared" ca="1" si="23"/>
        <v>-2.267430469026117E-2</v>
      </c>
      <c r="K169" s="19">
        <f t="shared" ca="1" si="24"/>
        <v>81.596920346758694</v>
      </c>
      <c r="L169" s="19">
        <f t="shared" ca="1" si="25"/>
        <v>1.8930776532413063</v>
      </c>
      <c r="M169" s="19">
        <f t="shared" ca="1" si="26"/>
        <v>9.2553510160989561E-2</v>
      </c>
      <c r="AA169" s="37">
        <v>149</v>
      </c>
      <c r="AB169" s="37">
        <v>1.84378883710074</v>
      </c>
      <c r="AC169" s="37">
        <v>2.8083098906835144</v>
      </c>
      <c r="AD169" s="37">
        <v>3.528210217966552</v>
      </c>
    </row>
    <row r="170" spans="2:30" x14ac:dyDescent="0.3">
      <c r="B170" s="28">
        <v>42879</v>
      </c>
      <c r="C170" s="25">
        <v>44.34</v>
      </c>
      <c r="D170" s="18">
        <f t="shared" si="18"/>
        <v>1.3254159655126108E-2</v>
      </c>
      <c r="E170" s="32">
        <f t="shared" ca="1" si="19"/>
        <v>-1.0985668280367757E-3</v>
      </c>
      <c r="F170" s="18">
        <f t="shared" ca="1" si="20"/>
        <v>58.245943567158612</v>
      </c>
      <c r="G170" s="19">
        <f t="shared" ca="1" si="21"/>
        <v>6.4057432841387651E-2</v>
      </c>
      <c r="H170" s="27">
        <v>52.52</v>
      </c>
      <c r="I170" s="19">
        <f t="shared" si="22"/>
        <v>1.4683192221143448E-2</v>
      </c>
      <c r="J170" s="19">
        <f t="shared" ca="1" si="23"/>
        <v>1.8131700768265861E-2</v>
      </c>
      <c r="K170" s="19">
        <f t="shared" ca="1" si="24"/>
        <v>85.003813660879104</v>
      </c>
      <c r="L170" s="19">
        <f t="shared" ca="1" si="25"/>
        <v>-1.5138156608791036</v>
      </c>
      <c r="M170" s="19">
        <f t="shared" ca="1" si="26"/>
        <v>-1.4497582280377159</v>
      </c>
      <c r="AA170" s="37">
        <v>150</v>
      </c>
      <c r="AB170" s="37">
        <v>1.774365498250009</v>
      </c>
      <c r="AC170" s="37">
        <v>2.8864781241301904</v>
      </c>
      <c r="AD170" s="37">
        <v>3.2062117682019946</v>
      </c>
    </row>
    <row r="171" spans="2:30" x14ac:dyDescent="0.3">
      <c r="B171" s="28">
        <v>42880</v>
      </c>
      <c r="C171" s="25">
        <v>44.48</v>
      </c>
      <c r="D171" s="18">
        <f t="shared" si="18"/>
        <v>3.1574199368513689E-3</v>
      </c>
      <c r="E171" s="32">
        <f t="shared" ca="1" si="19"/>
        <v>7.6894537845295392E-3</v>
      </c>
      <c r="F171" s="18">
        <f t="shared" ca="1" si="20"/>
        <v>58.75837305786537</v>
      </c>
      <c r="G171" s="19">
        <f t="shared" ca="1" si="21"/>
        <v>-0.44837205786537027</v>
      </c>
      <c r="H171" s="27">
        <v>53.299999</v>
      </c>
      <c r="I171" s="19">
        <f t="shared" si="22"/>
        <v>1.4851466108149136E-2</v>
      </c>
      <c r="J171" s="19">
        <f t="shared" ca="1" si="23"/>
        <v>5.7418133343291843E-4</v>
      </c>
      <c r="K171" s="19">
        <f t="shared" ca="1" si="24"/>
        <v>83.537936398379955</v>
      </c>
      <c r="L171" s="19">
        <f t="shared" ca="1" si="25"/>
        <v>-4.7938398379955061E-2</v>
      </c>
      <c r="M171" s="19">
        <f t="shared" ca="1" si="26"/>
        <v>-0.49631045624532533</v>
      </c>
      <c r="AA171" s="37">
        <v>151</v>
      </c>
      <c r="AB171" s="37">
        <v>1.8185972167980879</v>
      </c>
      <c r="AC171" s="37">
        <v>2.8199237544561675</v>
      </c>
      <c r="AD171" s="37">
        <v>3.3758327541194939</v>
      </c>
    </row>
    <row r="172" spans="2:30" x14ac:dyDescent="0.3">
      <c r="B172" s="28">
        <v>42881</v>
      </c>
      <c r="C172" s="25">
        <v>44.82</v>
      </c>
      <c r="D172" s="18">
        <f t="shared" si="18"/>
        <v>7.6438848920863389E-3</v>
      </c>
      <c r="E172" s="32">
        <f t="shared" ca="1" si="19"/>
        <v>4.4480701889804131E-3</v>
      </c>
      <c r="F172" s="18">
        <f t="shared" ca="1" si="20"/>
        <v>58.569367977167516</v>
      </c>
      <c r="G172" s="19">
        <f t="shared" ca="1" si="21"/>
        <v>-0.25936697716751667</v>
      </c>
      <c r="H172" s="27">
        <v>53.389999000000003</v>
      </c>
      <c r="I172" s="19">
        <f t="shared" si="22"/>
        <v>1.6885553787722163E-3</v>
      </c>
      <c r="J172" s="19">
        <f t="shared" ca="1" si="23"/>
        <v>2.5537155430797515E-2</v>
      </c>
      <c r="K172" s="19">
        <f t="shared" ca="1" si="24"/>
        <v>85.622095055842976</v>
      </c>
      <c r="L172" s="19">
        <f t="shared" ca="1" si="25"/>
        <v>-2.1320970558429764</v>
      </c>
      <c r="M172" s="19">
        <f t="shared" ca="1" si="26"/>
        <v>-2.391464033010493</v>
      </c>
      <c r="AA172" s="37">
        <v>152</v>
      </c>
      <c r="AB172" s="37">
        <v>1.7994276401236848</v>
      </c>
      <c r="AC172" s="37">
        <v>2.9457110254950787</v>
      </c>
      <c r="AD172" s="37">
        <v>3.5298693976044291</v>
      </c>
    </row>
    <row r="173" spans="2:30" x14ac:dyDescent="0.3">
      <c r="B173" s="28">
        <v>42884</v>
      </c>
      <c r="C173" s="25">
        <v>44.860000999999997</v>
      </c>
      <c r="D173" s="18">
        <f t="shared" si="18"/>
        <v>8.9248103525196854E-4</v>
      </c>
      <c r="E173" s="32">
        <f t="shared" ca="1" si="19"/>
        <v>1.2642417112554401E-2</v>
      </c>
      <c r="F173" s="18">
        <f t="shared" ca="1" si="20"/>
        <v>59.047180354475458</v>
      </c>
      <c r="G173" s="19">
        <f t="shared" ca="1" si="21"/>
        <v>-0.73717935447545813</v>
      </c>
      <c r="H173" s="27">
        <v>52.57</v>
      </c>
      <c r="I173" s="19">
        <f t="shared" si="22"/>
        <v>-1.5358662958581459E-2</v>
      </c>
      <c r="J173" s="19">
        <f t="shared" ca="1" si="23"/>
        <v>4.080871913921153E-3</v>
      </c>
      <c r="K173" s="19">
        <f t="shared" ca="1" si="24"/>
        <v>83.830709987931527</v>
      </c>
      <c r="L173" s="19">
        <f t="shared" ca="1" si="25"/>
        <v>-0.34071198793152746</v>
      </c>
      <c r="M173" s="19">
        <f t="shared" ca="1" si="26"/>
        <v>-1.0778913424069856</v>
      </c>
      <c r="AA173" s="37">
        <v>153</v>
      </c>
      <c r="AB173" s="37">
        <v>1.7998201750769554</v>
      </c>
      <c r="AC173" s="37">
        <v>2.8385833062348444</v>
      </c>
      <c r="AD173" s="37">
        <v>3.2376110665517372</v>
      </c>
    </row>
    <row r="174" spans="2:30" x14ac:dyDescent="0.3">
      <c r="B174" s="28">
        <v>42885</v>
      </c>
      <c r="C174" s="25">
        <v>44.16</v>
      </c>
      <c r="D174" s="18">
        <f t="shared" si="18"/>
        <v>-1.560412359330976E-2</v>
      </c>
      <c r="E174" s="32">
        <f t="shared" ca="1" si="19"/>
        <v>3.2125555071411967E-2</v>
      </c>
      <c r="F174" s="18">
        <f t="shared" ca="1" si="20"/>
        <v>60.183242148339581</v>
      </c>
      <c r="G174" s="19">
        <f t="shared" ca="1" si="21"/>
        <v>-1.8732411483395808</v>
      </c>
      <c r="H174" s="27">
        <v>51.959999000000003</v>
      </c>
      <c r="I174" s="19">
        <f t="shared" si="22"/>
        <v>-1.1603595206391426E-2</v>
      </c>
      <c r="J174" s="19">
        <f t="shared" ca="1" si="23"/>
        <v>2.0011163265859534E-2</v>
      </c>
      <c r="K174" s="19">
        <f t="shared" ca="1" si="24"/>
        <v>85.160729981044284</v>
      </c>
      <c r="L174" s="19">
        <f t="shared" ca="1" si="25"/>
        <v>-1.670731981044284</v>
      </c>
      <c r="M174" s="19">
        <f t="shared" ca="1" si="26"/>
        <v>-3.5439731293838648</v>
      </c>
      <c r="AA174" s="37">
        <v>154</v>
      </c>
      <c r="AB174" s="37">
        <v>1.8189949448174714</v>
      </c>
      <c r="AC174" s="37">
        <v>2.9150371870601171</v>
      </c>
      <c r="AD174" s="37">
        <v>3.4876527230625416</v>
      </c>
    </row>
    <row r="175" spans="2:30" x14ac:dyDescent="0.3">
      <c r="B175" s="28">
        <v>42886</v>
      </c>
      <c r="C175" s="25">
        <v>43.029998999999997</v>
      </c>
      <c r="D175" s="18">
        <f t="shared" si="18"/>
        <v>-2.5588790760869617E-2</v>
      </c>
      <c r="E175" s="32">
        <f t="shared" ca="1" si="19"/>
        <v>7.2473680721278954E-3</v>
      </c>
      <c r="F175" s="18">
        <f t="shared" ca="1" si="20"/>
        <v>58.732595039533145</v>
      </c>
      <c r="G175" s="19">
        <f t="shared" ca="1" si="21"/>
        <v>-0.42259403953314489</v>
      </c>
      <c r="H175" s="27">
        <v>50.5</v>
      </c>
      <c r="I175" s="19">
        <f t="shared" si="22"/>
        <v>-2.809851863161128E-2</v>
      </c>
      <c r="J175" s="19">
        <f t="shared" ca="1" si="23"/>
        <v>-5.3813442650684652E-3</v>
      </c>
      <c r="K175" s="19">
        <f t="shared" ca="1" si="24"/>
        <v>83.040709578072125</v>
      </c>
      <c r="L175" s="19">
        <f t="shared" ca="1" si="25"/>
        <v>0.44928842192787499</v>
      </c>
      <c r="M175" s="19">
        <f t="shared" ca="1" si="26"/>
        <v>2.6694382394730098E-2</v>
      </c>
      <c r="AA175" s="37">
        <v>155</v>
      </c>
      <c r="AB175" s="37">
        <v>1.846998826343943</v>
      </c>
      <c r="AC175" s="37">
        <v>2.7956848760706086</v>
      </c>
      <c r="AD175" s="37">
        <v>3.3663153611945789</v>
      </c>
    </row>
    <row r="176" spans="2:30" x14ac:dyDescent="0.3">
      <c r="B176" s="28">
        <v>42887</v>
      </c>
      <c r="C176" s="25">
        <v>46.41</v>
      </c>
      <c r="D176" s="18">
        <f t="shared" si="18"/>
        <v>7.8549874007666221E-2</v>
      </c>
      <c r="E176" s="32">
        <f t="shared" ca="1" si="19"/>
        <v>2.3158738172706621E-2</v>
      </c>
      <c r="F176" s="18">
        <f t="shared" ca="1" si="20"/>
        <v>59.660387046009255</v>
      </c>
      <c r="G176" s="19">
        <f t="shared" ca="1" si="21"/>
        <v>-1.3503860460092554</v>
      </c>
      <c r="H176" s="27">
        <v>51.09</v>
      </c>
      <c r="I176" s="19">
        <f t="shared" si="22"/>
        <v>1.1683168316831694E-2</v>
      </c>
      <c r="J176" s="19">
        <f t="shared" ca="1" si="23"/>
        <v>-8.3866934820903925E-3</v>
      </c>
      <c r="K176" s="19">
        <f t="shared" ca="1" si="24"/>
        <v>82.789792977953653</v>
      </c>
      <c r="L176" s="19">
        <f t="shared" ca="1" si="25"/>
        <v>0.70020502204634738</v>
      </c>
      <c r="M176" s="19">
        <f t="shared" ca="1" si="26"/>
        <v>-0.650181023962908</v>
      </c>
      <c r="AA176" s="37">
        <v>156</v>
      </c>
      <c r="AB176" s="37">
        <v>1.8858105044858426</v>
      </c>
      <c r="AC176" s="37">
        <v>2.8125565074781047</v>
      </c>
      <c r="AD176" s="37">
        <v>3.5673986874366777</v>
      </c>
    </row>
    <row r="177" spans="2:30" x14ac:dyDescent="0.3">
      <c r="B177" s="28">
        <v>42888</v>
      </c>
      <c r="C177" s="25">
        <v>46.380001</v>
      </c>
      <c r="D177" s="18">
        <f t="shared" si="18"/>
        <v>-6.4639086403783796E-4</v>
      </c>
      <c r="E177" s="32">
        <f t="shared" ca="1" si="19"/>
        <v>1.7652851353055356E-2</v>
      </c>
      <c r="F177" s="18">
        <f t="shared" ca="1" si="20"/>
        <v>59.339338780049509</v>
      </c>
      <c r="G177" s="19">
        <f t="shared" ca="1" si="21"/>
        <v>-1.0293377800495094</v>
      </c>
      <c r="H177" s="27">
        <v>50.849997999999999</v>
      </c>
      <c r="I177" s="19">
        <f t="shared" si="22"/>
        <v>-4.6976316304561117E-3</v>
      </c>
      <c r="J177" s="19">
        <f t="shared" ca="1" si="23"/>
        <v>1.336528002356997E-3</v>
      </c>
      <c r="K177" s="19">
        <f t="shared" ca="1" si="24"/>
        <v>83.601584720243721</v>
      </c>
      <c r="L177" s="19">
        <f t="shared" ca="1" si="25"/>
        <v>-0.11158672024372152</v>
      </c>
      <c r="M177" s="19">
        <f t="shared" ca="1" si="26"/>
        <v>-1.1409245002932309</v>
      </c>
      <c r="AA177" s="37">
        <v>157</v>
      </c>
      <c r="AB177" s="37">
        <v>1.744165585480365</v>
      </c>
      <c r="AC177" s="37">
        <v>2.706303615352855</v>
      </c>
      <c r="AD177" s="37">
        <v>3.2527361635234575</v>
      </c>
    </row>
    <row r="178" spans="2:30" x14ac:dyDescent="0.3">
      <c r="B178" s="28">
        <v>42891</v>
      </c>
      <c r="C178" s="25">
        <v>46.189999</v>
      </c>
      <c r="D178" s="18">
        <f t="shared" si="18"/>
        <v>-4.0966363929142435E-3</v>
      </c>
      <c r="E178" s="32">
        <f t="shared" ca="1" si="19"/>
        <v>-1.8327884322010216E-3</v>
      </c>
      <c r="F178" s="18">
        <f t="shared" ca="1" si="20"/>
        <v>58.203131104685568</v>
      </c>
      <c r="G178" s="19">
        <f t="shared" ca="1" si="21"/>
        <v>0.10686989531443203</v>
      </c>
      <c r="H178" s="27">
        <v>51.150002000000001</v>
      </c>
      <c r="I178" s="19">
        <f t="shared" si="22"/>
        <v>5.899783909529388E-3</v>
      </c>
      <c r="J178" s="19">
        <f t="shared" ca="1" si="23"/>
        <v>7.7157004996783679E-3</v>
      </c>
      <c r="K178" s="19">
        <f t="shared" ca="1" si="24"/>
        <v>84.134181819286752</v>
      </c>
      <c r="L178" s="19">
        <f t="shared" ca="1" si="25"/>
        <v>-0.64418381928675217</v>
      </c>
      <c r="M178" s="19">
        <f t="shared" ca="1" si="26"/>
        <v>-0.53731392397232014</v>
      </c>
      <c r="AA178" s="37">
        <v>158</v>
      </c>
      <c r="AB178" s="37">
        <v>1.7439956406202903</v>
      </c>
      <c r="AC178" s="37">
        <v>2.7989521337923646</v>
      </c>
      <c r="AD178" s="37">
        <v>3.3518481362003394</v>
      </c>
    </row>
    <row r="179" spans="2:30" x14ac:dyDescent="0.3">
      <c r="B179" s="28">
        <v>42892</v>
      </c>
      <c r="C179" s="25">
        <v>45.849997999999999</v>
      </c>
      <c r="D179" s="18">
        <f t="shared" si="18"/>
        <v>-7.3609224369111104E-3</v>
      </c>
      <c r="E179" s="32">
        <f t="shared" ca="1" si="19"/>
        <v>1.3846254438217324E-2</v>
      </c>
      <c r="F179" s="18">
        <f t="shared" ca="1" si="20"/>
        <v>59.117376110138714</v>
      </c>
      <c r="G179" s="19">
        <f t="shared" ca="1" si="21"/>
        <v>-0.80737511013871455</v>
      </c>
      <c r="H179" s="27">
        <v>50.639999000000003</v>
      </c>
      <c r="I179" s="19">
        <f t="shared" si="22"/>
        <v>-9.9707327479673369E-3</v>
      </c>
      <c r="J179" s="19">
        <f t="shared" ca="1" si="23"/>
        <v>-1.1158699202312028E-2</v>
      </c>
      <c r="K179" s="19">
        <f t="shared" ca="1" si="24"/>
        <v>82.558358225916365</v>
      </c>
      <c r="L179" s="19">
        <f t="shared" ca="1" si="25"/>
        <v>0.93163977408363507</v>
      </c>
      <c r="M179" s="19">
        <f t="shared" ca="1" si="26"/>
        <v>0.12426466394492053</v>
      </c>
      <c r="AA179" s="37">
        <v>159</v>
      </c>
      <c r="AB179" s="37">
        <v>1.8238974264782268</v>
      </c>
      <c r="AC179" s="37">
        <v>3.0366711427823936</v>
      </c>
      <c r="AD179" s="37">
        <v>3.1303093976645053</v>
      </c>
    </row>
    <row r="180" spans="2:30" x14ac:dyDescent="0.3">
      <c r="B180" s="28">
        <v>42893</v>
      </c>
      <c r="C180" s="25">
        <v>46.189999</v>
      </c>
      <c r="D180" s="18">
        <f t="shared" si="18"/>
        <v>7.4155074117996378E-3</v>
      </c>
      <c r="E180" s="32">
        <f t="shared" ca="1" si="19"/>
        <v>3.1022197282054623E-3</v>
      </c>
      <c r="F180" s="18">
        <f t="shared" ca="1" si="20"/>
        <v>58.490891435453889</v>
      </c>
      <c r="G180" s="19">
        <f t="shared" ca="1" si="21"/>
        <v>-0.18089043545388961</v>
      </c>
      <c r="H180" s="27">
        <v>50.540000999999997</v>
      </c>
      <c r="I180" s="19">
        <f t="shared" si="22"/>
        <v>-1.9746840832285395E-3</v>
      </c>
      <c r="J180" s="19">
        <f t="shared" ca="1" si="23"/>
        <v>7.2462296622747557E-3</v>
      </c>
      <c r="K180" s="19">
        <f t="shared" ca="1" si="24"/>
        <v>84.094985700010866</v>
      </c>
      <c r="L180" s="19">
        <f t="shared" ca="1" si="25"/>
        <v>-0.60498770001086655</v>
      </c>
      <c r="M180" s="19">
        <f t="shared" ca="1" si="26"/>
        <v>-0.78587813546475616</v>
      </c>
      <c r="AA180" s="37">
        <v>160</v>
      </c>
      <c r="AB180" s="37">
        <v>1.7804493688690268</v>
      </c>
      <c r="AC180" s="37">
        <v>2.9109524142417613</v>
      </c>
      <c r="AD180" s="37">
        <v>3.2945702724145307</v>
      </c>
    </row>
    <row r="181" spans="2:30" x14ac:dyDescent="0.3">
      <c r="B181" s="28">
        <v>42894</v>
      </c>
      <c r="C181" s="25">
        <v>46.27</v>
      </c>
      <c r="D181" s="18">
        <f t="shared" si="18"/>
        <v>1.7319983055206212E-3</v>
      </c>
      <c r="E181" s="32">
        <f t="shared" ca="1" si="19"/>
        <v>1.57192793895793E-4</v>
      </c>
      <c r="F181" s="18">
        <f t="shared" ca="1" si="20"/>
        <v>58.319166911969248</v>
      </c>
      <c r="G181" s="19">
        <f t="shared" ca="1" si="21"/>
        <v>-9.1659119692479862E-3</v>
      </c>
      <c r="H181" s="27">
        <v>50.27</v>
      </c>
      <c r="I181" s="19">
        <f t="shared" si="22"/>
        <v>-5.3423228068395501E-3</v>
      </c>
      <c r="J181" s="19">
        <f t="shared" ca="1" si="23"/>
        <v>-2.5981421085601145E-2</v>
      </c>
      <c r="K181" s="19">
        <f t="shared" ca="1" si="24"/>
        <v>81.320809205526004</v>
      </c>
      <c r="L181" s="19">
        <f t="shared" ca="1" si="25"/>
        <v>2.169188794473996</v>
      </c>
      <c r="M181" s="19">
        <f t="shared" ca="1" si="26"/>
        <v>2.1600228825047481</v>
      </c>
      <c r="AA181" s="37">
        <v>161</v>
      </c>
      <c r="AB181" s="37">
        <v>1.7680139250384248</v>
      </c>
      <c r="AC181" s="37">
        <v>2.9795884752013269</v>
      </c>
      <c r="AD181" s="37">
        <v>3.3032769910198643</v>
      </c>
    </row>
    <row r="182" spans="2:30" x14ac:dyDescent="0.3">
      <c r="B182" s="28">
        <v>42895</v>
      </c>
      <c r="C182" s="25">
        <v>45.82</v>
      </c>
      <c r="D182" s="18">
        <f t="shared" si="18"/>
        <v>-9.7255240976875657E-3</v>
      </c>
      <c r="E182" s="32">
        <f t="shared" ca="1" si="19"/>
        <v>2.6916061452077391E-2</v>
      </c>
      <c r="F182" s="18">
        <f t="shared" ca="1" si="20"/>
        <v>59.879476570186689</v>
      </c>
      <c r="G182" s="19">
        <f t="shared" ca="1" si="21"/>
        <v>-1.5694755701866896</v>
      </c>
      <c r="H182" s="27">
        <v>50.580002</v>
      </c>
      <c r="I182" s="19">
        <f t="shared" si="22"/>
        <v>6.1667396061269031E-3</v>
      </c>
      <c r="J182" s="19">
        <f t="shared" ca="1" si="23"/>
        <v>-3.6445184804689681E-2</v>
      </c>
      <c r="K182" s="19">
        <f t="shared" ca="1" si="24"/>
        <v>80.447189593546824</v>
      </c>
      <c r="L182" s="19">
        <f t="shared" ca="1" si="25"/>
        <v>3.042808406453176</v>
      </c>
      <c r="M182" s="19">
        <f t="shared" ca="1" si="26"/>
        <v>1.4733328362664864</v>
      </c>
      <c r="AA182" s="37">
        <v>162</v>
      </c>
      <c r="AB182" s="37">
        <v>1.7523636930334798</v>
      </c>
      <c r="AC182" s="37">
        <v>2.913710989364652</v>
      </c>
      <c r="AD182" s="37">
        <v>3.1443129056656711</v>
      </c>
    </row>
    <row r="183" spans="2:30" x14ac:dyDescent="0.3">
      <c r="B183" s="28">
        <v>42898</v>
      </c>
      <c r="C183" s="25">
        <v>46.919998</v>
      </c>
      <c r="D183" s="18">
        <f t="shared" si="18"/>
        <v>2.4006940200785643E-2</v>
      </c>
      <c r="E183" s="32">
        <f t="shared" ca="1" si="19"/>
        <v>-1.3247546831949213E-2</v>
      </c>
      <c r="F183" s="18">
        <f t="shared" ca="1" si="20"/>
        <v>57.537536530981498</v>
      </c>
      <c r="G183" s="19">
        <f t="shared" ca="1" si="21"/>
        <v>0.77246446901850163</v>
      </c>
      <c r="H183" s="27">
        <v>49.919998</v>
      </c>
      <c r="I183" s="19">
        <f t="shared" si="22"/>
        <v>-1.3048714391114546E-2</v>
      </c>
      <c r="J183" s="19">
        <f t="shared" ca="1" si="23"/>
        <v>9.8459489405424636E-3</v>
      </c>
      <c r="K183" s="19">
        <f t="shared" ca="1" si="24"/>
        <v>84.312036257353995</v>
      </c>
      <c r="L183" s="19">
        <f t="shared" ca="1" si="25"/>
        <v>-0.82203825735399505</v>
      </c>
      <c r="M183" s="19">
        <f t="shared" ca="1" si="26"/>
        <v>-4.9573788335493418E-2</v>
      </c>
      <c r="AA183" s="37">
        <v>163</v>
      </c>
      <c r="AB183" s="37">
        <v>1.6371118863374958</v>
      </c>
      <c r="AC183" s="37">
        <v>2.8069884748191303</v>
      </c>
      <c r="AD183" s="37">
        <v>3.0736290705593543</v>
      </c>
    </row>
    <row r="184" spans="2:30" x14ac:dyDescent="0.3">
      <c r="B184" s="28">
        <v>42899</v>
      </c>
      <c r="C184" s="25">
        <v>46.130001</v>
      </c>
      <c r="D184" s="18">
        <f t="shared" si="18"/>
        <v>-1.6837106429544169E-2</v>
      </c>
      <c r="E184" s="32">
        <f t="shared" ca="1" si="19"/>
        <v>-1.1374880454392127E-2</v>
      </c>
      <c r="F184" s="18">
        <f t="shared" ca="1" si="20"/>
        <v>57.646731709329515</v>
      </c>
      <c r="G184" s="19">
        <f t="shared" ca="1" si="21"/>
        <v>0.66326929067048468</v>
      </c>
      <c r="H184" s="27">
        <v>49.91</v>
      </c>
      <c r="I184" s="19">
        <f t="shared" si="22"/>
        <v>-2.0028045674203021E-4</v>
      </c>
      <c r="J184" s="19">
        <f t="shared" ca="1" si="23"/>
        <v>2.9069908934557499E-2</v>
      </c>
      <c r="K184" s="19">
        <f t="shared" ca="1" si="24"/>
        <v>85.917044638806374</v>
      </c>
      <c r="L184" s="19">
        <f t="shared" ca="1" si="25"/>
        <v>-2.4270466388063738</v>
      </c>
      <c r="M184" s="19">
        <f t="shared" ca="1" si="26"/>
        <v>-1.7637773481358892</v>
      </c>
      <c r="AA184" s="37">
        <v>164</v>
      </c>
      <c r="AB184" s="37">
        <v>1.8117429286725442</v>
      </c>
      <c r="AC184" s="37">
        <v>2.87492876691319</v>
      </c>
      <c r="AD184" s="37">
        <v>2.9510525914689123</v>
      </c>
    </row>
    <row r="185" spans="2:30" x14ac:dyDescent="0.3">
      <c r="B185" s="28">
        <v>42900</v>
      </c>
      <c r="C185" s="25">
        <v>46.759998000000003</v>
      </c>
      <c r="D185" s="18">
        <f t="shared" si="18"/>
        <v>1.3656990816020231E-2</v>
      </c>
      <c r="E185" s="32">
        <f t="shared" ca="1" si="19"/>
        <v>4.006310068537508E-3</v>
      </c>
      <c r="F185" s="18">
        <f t="shared" ca="1" si="20"/>
        <v>58.543608944102729</v>
      </c>
      <c r="G185" s="19">
        <f t="shared" ca="1" si="21"/>
        <v>-0.23360794410272945</v>
      </c>
      <c r="H185" s="27">
        <v>50.060001</v>
      </c>
      <c r="I185" s="19">
        <f t="shared" si="22"/>
        <v>3.0054297735926383E-3</v>
      </c>
      <c r="J185" s="19">
        <f t="shared" ca="1" si="23"/>
        <v>1.1901164221202198E-2</v>
      </c>
      <c r="K185" s="19">
        <f t="shared" ca="1" si="24"/>
        <v>84.48362617702584</v>
      </c>
      <c r="L185" s="19">
        <f t="shared" ca="1" si="25"/>
        <v>-0.99362817702584039</v>
      </c>
      <c r="M185" s="19">
        <f t="shared" ca="1" si="26"/>
        <v>-1.2272361211285698</v>
      </c>
      <c r="AA185" s="37">
        <v>165</v>
      </c>
      <c r="AB185" s="37">
        <v>1.7704220134890374</v>
      </c>
      <c r="AC185" s="37">
        <v>2.7540224975283247</v>
      </c>
      <c r="AD185" s="37">
        <v>3.4604153803146884</v>
      </c>
    </row>
    <row r="186" spans="2:30" x14ac:dyDescent="0.3">
      <c r="B186" s="28">
        <v>42901</v>
      </c>
      <c r="C186" s="25">
        <v>47.07</v>
      </c>
      <c r="D186" s="18">
        <f t="shared" si="18"/>
        <v>6.6296410021231544E-3</v>
      </c>
      <c r="E186" s="32">
        <f t="shared" ca="1" si="19"/>
        <v>5.7844675181788312E-3</v>
      </c>
      <c r="F186" s="18">
        <f t="shared" ca="1" si="20"/>
        <v>58.647293306769477</v>
      </c>
      <c r="G186" s="19">
        <f t="shared" ca="1" si="21"/>
        <v>-0.33729230676947708</v>
      </c>
      <c r="H186" s="27">
        <v>49.169998</v>
      </c>
      <c r="I186" s="19">
        <f t="shared" si="22"/>
        <v>-1.7778725174216414E-2</v>
      </c>
      <c r="J186" s="19">
        <f t="shared" ca="1" si="23"/>
        <v>-3.7303137364230604E-2</v>
      </c>
      <c r="K186" s="19">
        <f t="shared" ca="1" si="24"/>
        <v>80.375559136066656</v>
      </c>
      <c r="L186" s="19">
        <f t="shared" ca="1" si="25"/>
        <v>3.1144388639333442</v>
      </c>
      <c r="M186" s="19">
        <f t="shared" ca="1" si="26"/>
        <v>2.7771465571638672</v>
      </c>
      <c r="AA186" s="37">
        <v>166</v>
      </c>
      <c r="AB186" s="37">
        <v>1.752257440940588</v>
      </c>
      <c r="AC186" s="37">
        <v>2.6732071340000338</v>
      </c>
      <c r="AD186" s="37">
        <v>3.4188638217193996</v>
      </c>
    </row>
    <row r="187" spans="2:30" x14ac:dyDescent="0.3">
      <c r="B187" s="28">
        <v>42902</v>
      </c>
      <c r="C187" s="25">
        <v>47.119999</v>
      </c>
      <c r="D187" s="18">
        <f t="shared" si="18"/>
        <v>1.0622264712130125E-3</v>
      </c>
      <c r="E187" s="32">
        <f t="shared" ca="1" si="19"/>
        <v>-1.812102109404827E-2</v>
      </c>
      <c r="F187" s="18">
        <f t="shared" ca="1" si="20"/>
        <v>57.253364241885023</v>
      </c>
      <c r="G187" s="19">
        <f t="shared" ca="1" si="21"/>
        <v>1.0566367581149763</v>
      </c>
      <c r="H187" s="27">
        <v>50.200001</v>
      </c>
      <c r="I187" s="19">
        <f t="shared" si="22"/>
        <v>2.0947794221996885E-2</v>
      </c>
      <c r="J187" s="19">
        <f t="shared" ca="1" si="23"/>
        <v>6.001825432507147E-3</v>
      </c>
      <c r="K187" s="19">
        <f t="shared" ca="1" si="24"/>
        <v>83.991090393356373</v>
      </c>
      <c r="L187" s="19">
        <f t="shared" ca="1" si="25"/>
        <v>-0.50109239335637312</v>
      </c>
      <c r="M187" s="19">
        <f t="shared" ca="1" si="26"/>
        <v>0.55554436475860314</v>
      </c>
      <c r="AA187" s="37">
        <v>167</v>
      </c>
      <c r="AB187" s="37">
        <v>1.8242072416707364</v>
      </c>
      <c r="AC187" s="37">
        <v>2.7351240929636176</v>
      </c>
      <c r="AD187" s="37">
        <v>3.316096525219502</v>
      </c>
    </row>
    <row r="188" spans="2:30" x14ac:dyDescent="0.3">
      <c r="B188" s="28">
        <v>42905</v>
      </c>
      <c r="C188" s="25">
        <v>46.07</v>
      </c>
      <c r="D188" s="18">
        <f t="shared" si="18"/>
        <v>-2.228351065966705E-2</v>
      </c>
      <c r="E188" s="32">
        <f t="shared" ca="1" si="19"/>
        <v>-6.2564852359846504E-2</v>
      </c>
      <c r="F188" s="18">
        <f t="shared" ca="1" si="20"/>
        <v>54.661844396332498</v>
      </c>
      <c r="G188" s="19">
        <f t="shared" ca="1" si="21"/>
        <v>3.6481566036675019</v>
      </c>
      <c r="H188" s="27">
        <v>49.57</v>
      </c>
      <c r="I188" s="19">
        <f t="shared" si="22"/>
        <v>-1.2549820467135042E-2</v>
      </c>
      <c r="J188" s="19">
        <f t="shared" ca="1" si="23"/>
        <v>-1.4844605876734024E-2</v>
      </c>
      <c r="K188" s="19">
        <f t="shared" ca="1" si="24"/>
        <v>82.250621885040687</v>
      </c>
      <c r="L188" s="19">
        <f t="shared" ca="1" si="25"/>
        <v>1.2393761149593132</v>
      </c>
      <c r="M188" s="19">
        <f t="shared" ca="1" si="26"/>
        <v>4.8875327186268152</v>
      </c>
      <c r="AA188" s="37">
        <v>168</v>
      </c>
      <c r="AB188" s="37">
        <v>1.8145778300726565</v>
      </c>
      <c r="AC188" s="37">
        <v>2.8496328671431823</v>
      </c>
      <c r="AD188" s="37">
        <v>3.3190328034509902</v>
      </c>
    </row>
    <row r="189" spans="2:30" x14ac:dyDescent="0.3">
      <c r="B189" s="28">
        <v>42906</v>
      </c>
      <c r="C189" s="25">
        <v>46.150002000000001</v>
      </c>
      <c r="D189" s="18">
        <f t="shared" si="18"/>
        <v>1.7365313653137093E-3</v>
      </c>
      <c r="E189" s="32">
        <f t="shared" ca="1" si="19"/>
        <v>-1.0766224007721118E-2</v>
      </c>
      <c r="F189" s="18">
        <f t="shared" ca="1" si="20"/>
        <v>57.682222467343557</v>
      </c>
      <c r="G189" s="19">
        <f t="shared" ca="1" si="21"/>
        <v>0.62777853265644268</v>
      </c>
      <c r="H189" s="27">
        <v>49.009998000000003</v>
      </c>
      <c r="I189" s="19">
        <f t="shared" si="22"/>
        <v>-1.1297195884607536E-2</v>
      </c>
      <c r="J189" s="19">
        <f t="shared" ca="1" si="23"/>
        <v>-4.2185266100476055E-3</v>
      </c>
      <c r="K189" s="19">
        <f t="shared" ca="1" si="24"/>
        <v>83.13779322176417</v>
      </c>
      <c r="L189" s="19">
        <f t="shared" ca="1" si="25"/>
        <v>0.35220477823582996</v>
      </c>
      <c r="M189" s="19">
        <f t="shared" ca="1" si="26"/>
        <v>0.97998331089227264</v>
      </c>
      <c r="AA189" s="37">
        <v>169</v>
      </c>
      <c r="AB189" s="37">
        <v>1.8188789473855704</v>
      </c>
      <c r="AC189" s="37">
        <v>3.0198793145371705</v>
      </c>
      <c r="AD189" s="37">
        <v>3.4577118579443722</v>
      </c>
    </row>
    <row r="190" spans="2:30" x14ac:dyDescent="0.3">
      <c r="B190" s="28">
        <v>42907</v>
      </c>
      <c r="C190" s="25">
        <v>46.709999000000003</v>
      </c>
      <c r="D190" s="18">
        <f t="shared" si="18"/>
        <v>1.2134278997431025E-2</v>
      </c>
      <c r="E190" s="32">
        <f t="shared" ca="1" si="19"/>
        <v>-1.7049287060668522E-2</v>
      </c>
      <c r="F190" s="18">
        <f t="shared" ca="1" si="20"/>
        <v>57.315857054443129</v>
      </c>
      <c r="G190" s="19">
        <f t="shared" ca="1" si="21"/>
        <v>0.99414394555687124</v>
      </c>
      <c r="H190" s="27">
        <v>48.720001000000003</v>
      </c>
      <c r="I190" s="19">
        <f t="shared" si="22"/>
        <v>-5.917098792781017E-3</v>
      </c>
      <c r="J190" s="19">
        <f t="shared" ca="1" si="23"/>
        <v>-1.2109503595820859E-2</v>
      </c>
      <c r="K190" s="19">
        <f t="shared" ca="1" si="24"/>
        <v>82.478975569003921</v>
      </c>
      <c r="L190" s="19">
        <f t="shared" ca="1" si="25"/>
        <v>1.0110224309960785</v>
      </c>
      <c r="M190" s="19">
        <f t="shared" ca="1" si="26"/>
        <v>2.0051663765529497</v>
      </c>
      <c r="AA190" s="37">
        <v>170</v>
      </c>
      <c r="AB190" s="37">
        <v>1.6826697713682215</v>
      </c>
      <c r="AC190" s="37">
        <v>2.9041600405427954</v>
      </c>
      <c r="AD190" s="37">
        <v>3.3169728663863074</v>
      </c>
    </row>
    <row r="191" spans="2:30" x14ac:dyDescent="0.3">
      <c r="B191" s="28">
        <v>42908</v>
      </c>
      <c r="C191" s="25">
        <v>46.560001</v>
      </c>
      <c r="D191" s="18">
        <f t="shared" si="18"/>
        <v>-3.2112610407035724E-3</v>
      </c>
      <c r="E191" s="32">
        <f t="shared" ca="1" si="19"/>
        <v>1.7224548729446232E-2</v>
      </c>
      <c r="F191" s="18">
        <f t="shared" ca="1" si="20"/>
        <v>59.314364453638561</v>
      </c>
      <c r="G191" s="19">
        <f t="shared" ca="1" si="21"/>
        <v>-1.0043634536385611</v>
      </c>
      <c r="H191" s="27">
        <v>48.200001</v>
      </c>
      <c r="I191" s="19">
        <f t="shared" si="22"/>
        <v>-1.0673234592092906E-2</v>
      </c>
      <c r="J191" s="19">
        <f t="shared" ca="1" si="23"/>
        <v>-4.4088914823390751E-2</v>
      </c>
      <c r="K191" s="19">
        <f t="shared" ca="1" si="24"/>
        <v>79.809014589572939</v>
      </c>
      <c r="L191" s="19">
        <f t="shared" ca="1" si="25"/>
        <v>3.6809834104270607</v>
      </c>
      <c r="M191" s="19">
        <f t="shared" ca="1" si="26"/>
        <v>2.6766199567884996</v>
      </c>
      <c r="AA191" s="37">
        <v>171</v>
      </c>
      <c r="AB191" s="37">
        <v>1.7641710239187736</v>
      </c>
      <c r="AC191" s="37">
        <v>2.8867857871285736</v>
      </c>
      <c r="AD191" s="37">
        <v>3.2855268552332872</v>
      </c>
    </row>
    <row r="192" spans="2:30" x14ac:dyDescent="0.3">
      <c r="B192" s="28">
        <v>42909</v>
      </c>
      <c r="C192" s="25">
        <v>46.169998</v>
      </c>
      <c r="D192" s="18">
        <f t="shared" si="18"/>
        <v>-8.3763529128789704E-3</v>
      </c>
      <c r="E192" s="32">
        <f t="shared" ca="1" si="19"/>
        <v>-2.0790048883333273E-2</v>
      </c>
      <c r="F192" s="18">
        <f t="shared" ca="1" si="20"/>
        <v>57.09773322882279</v>
      </c>
      <c r="G192" s="19">
        <f t="shared" ca="1" si="21"/>
        <v>1.2122677711772099</v>
      </c>
      <c r="H192" s="27">
        <v>48.310001</v>
      </c>
      <c r="I192" s="19">
        <f t="shared" si="22"/>
        <v>2.2821576290008583E-3</v>
      </c>
      <c r="J192" s="19">
        <f t="shared" ca="1" si="23"/>
        <v>1.9762012087944519E-2</v>
      </c>
      <c r="K192" s="19">
        <f t="shared" ca="1" si="24"/>
        <v>85.139928349698465</v>
      </c>
      <c r="L192" s="19">
        <f t="shared" ca="1" si="25"/>
        <v>-1.6499303496984652</v>
      </c>
      <c r="M192" s="19">
        <f t="shared" ca="1" si="26"/>
        <v>-0.43766257852125534</v>
      </c>
      <c r="AA192" s="37">
        <v>172</v>
      </c>
      <c r="AB192" s="37">
        <v>1.8170641907638088</v>
      </c>
      <c r="AC192" s="37">
        <v>2.7201976040477152</v>
      </c>
      <c r="AD192" s="37">
        <v>3.4199110800918811</v>
      </c>
    </row>
    <row r="193" spans="2:30" x14ac:dyDescent="0.3">
      <c r="B193" s="28">
        <v>42912</v>
      </c>
      <c r="C193" s="25">
        <v>45.93</v>
      </c>
      <c r="D193" s="18">
        <f t="shared" si="18"/>
        <v>-5.1981375437789579E-3</v>
      </c>
      <c r="E193" s="32">
        <f t="shared" ca="1" si="19"/>
        <v>-2.0086325770653658E-2</v>
      </c>
      <c r="F193" s="18">
        <f t="shared" ca="1" si="20"/>
        <v>57.138767324226862</v>
      </c>
      <c r="G193" s="19">
        <f t="shared" ca="1" si="21"/>
        <v>1.1712336757731379</v>
      </c>
      <c r="H193" s="27">
        <v>48.549999</v>
      </c>
      <c r="I193" s="19">
        <f t="shared" si="22"/>
        <v>4.9678740433063417E-3</v>
      </c>
      <c r="J193" s="19">
        <f t="shared" ca="1" si="23"/>
        <v>-9.1836323632247426E-3</v>
      </c>
      <c r="K193" s="19">
        <f t="shared" ca="1" si="24"/>
        <v>82.723256552361633</v>
      </c>
      <c r="L193" s="19">
        <f t="shared" ca="1" si="25"/>
        <v>0.76674144763836694</v>
      </c>
      <c r="M193" s="19">
        <f t="shared" ca="1" si="26"/>
        <v>1.9379751234115048</v>
      </c>
      <c r="AA193" s="37">
        <v>173</v>
      </c>
      <c r="AB193" s="37">
        <v>1.8320965638883504</v>
      </c>
      <c r="AC193" s="37">
        <v>2.7244746519483725</v>
      </c>
      <c r="AD193" s="37">
        <v>3.2688079545944317</v>
      </c>
    </row>
    <row r="194" spans="2:30" x14ac:dyDescent="0.3">
      <c r="B194" s="28">
        <v>42913</v>
      </c>
      <c r="C194" s="25">
        <v>45.540000999999997</v>
      </c>
      <c r="D194" s="18">
        <f t="shared" si="18"/>
        <v>-8.491160461572056E-3</v>
      </c>
      <c r="E194" s="32">
        <f t="shared" ca="1" si="19"/>
        <v>1.1911292631548349E-2</v>
      </c>
      <c r="F194" s="18">
        <f t="shared" ca="1" si="20"/>
        <v>59.004548485256876</v>
      </c>
      <c r="G194" s="19">
        <f t="shared" ca="1" si="21"/>
        <v>-0.69454748525687648</v>
      </c>
      <c r="H194" s="27">
        <v>49.25</v>
      </c>
      <c r="I194" s="19">
        <f t="shared" si="22"/>
        <v>1.4418146537963805E-2</v>
      </c>
      <c r="J194" s="19">
        <f t="shared" ca="1" si="23"/>
        <v>1.4340815837915397E-2</v>
      </c>
      <c r="K194" s="19">
        <f t="shared" ca="1" si="24"/>
        <v>84.687312685625926</v>
      </c>
      <c r="L194" s="19">
        <f t="shared" ca="1" si="25"/>
        <v>-1.1973146856259262</v>
      </c>
      <c r="M194" s="19">
        <f t="shared" ca="1" si="26"/>
        <v>-1.8918621708828027</v>
      </c>
      <c r="AA194" s="37">
        <v>174</v>
      </c>
      <c r="AB194" s="37">
        <v>1.8127963413802743</v>
      </c>
      <c r="AC194" s="37">
        <v>2.9371516493845502</v>
      </c>
      <c r="AD194" s="37">
        <v>3.4334848339099082</v>
      </c>
    </row>
    <row r="195" spans="2:30" x14ac:dyDescent="0.3">
      <c r="B195" s="28">
        <v>42914</v>
      </c>
      <c r="C195" s="25">
        <v>45.259998000000003</v>
      </c>
      <c r="D195" s="18">
        <f t="shared" si="18"/>
        <v>-6.1485066721890247E-3</v>
      </c>
      <c r="E195" s="32">
        <f t="shared" ca="1" si="19"/>
        <v>1.6257017970578606E-2</v>
      </c>
      <c r="F195" s="18">
        <f t="shared" ca="1" si="20"/>
        <v>59.257947734121451</v>
      </c>
      <c r="G195" s="19">
        <f t="shared" ca="1" si="21"/>
        <v>-0.94794673412145158</v>
      </c>
      <c r="H195" s="27">
        <v>50.220001000000003</v>
      </c>
      <c r="I195" s="19">
        <f t="shared" si="22"/>
        <v>1.9695451776649886E-2</v>
      </c>
      <c r="J195" s="19">
        <f t="shared" ca="1" si="23"/>
        <v>-4.2838403483086596E-2</v>
      </c>
      <c r="K195" s="19">
        <f t="shared" ca="1" si="24"/>
        <v>79.913419778873902</v>
      </c>
      <c r="L195" s="19">
        <f t="shared" ca="1" si="25"/>
        <v>3.5765782211260984</v>
      </c>
      <c r="M195" s="19">
        <f t="shared" ca="1" si="26"/>
        <v>2.6286314870046468</v>
      </c>
      <c r="AA195" s="37">
        <v>175</v>
      </c>
      <c r="AB195" s="37">
        <v>1.8509615298702222</v>
      </c>
      <c r="AC195" s="37">
        <v>2.8661234357045955</v>
      </c>
      <c r="AD195" s="37">
        <v>3.3866283192549789</v>
      </c>
    </row>
    <row r="196" spans="2:30" x14ac:dyDescent="0.3">
      <c r="B196" s="28">
        <v>42915</v>
      </c>
      <c r="C196" s="25">
        <v>44.790000999999997</v>
      </c>
      <c r="D196" s="18">
        <f t="shared" si="18"/>
        <v>-1.0384379601607763E-2</v>
      </c>
      <c r="E196" s="32">
        <f t="shared" ca="1" si="19"/>
        <v>5.2119434780389844E-3</v>
      </c>
      <c r="F196" s="18">
        <f t="shared" ca="1" si="20"/>
        <v>58.613909429416388</v>
      </c>
      <c r="G196" s="19">
        <f t="shared" ca="1" si="21"/>
        <v>-0.30390842941638851</v>
      </c>
      <c r="H196" s="27">
        <v>49.689999</v>
      </c>
      <c r="I196" s="19">
        <f t="shared" si="22"/>
        <v>-1.0553603931628852E-2</v>
      </c>
      <c r="J196" s="19">
        <f t="shared" ca="1" si="23"/>
        <v>-2.1847404355656797E-2</v>
      </c>
      <c r="K196" s="19">
        <f t="shared" ca="1" si="24"/>
        <v>81.665958254041016</v>
      </c>
      <c r="L196" s="19">
        <f t="shared" ca="1" si="25"/>
        <v>1.8240397459589843</v>
      </c>
      <c r="M196" s="19">
        <f t="shared" ca="1" si="26"/>
        <v>1.5201313165425958</v>
      </c>
      <c r="AA196" s="37">
        <v>176</v>
      </c>
      <c r="AB196" s="37">
        <v>1.8509627950985665</v>
      </c>
      <c r="AC196" s="37">
        <v>2.8894598103828129</v>
      </c>
      <c r="AD196" s="37">
        <v>3.4223593718759044</v>
      </c>
    </row>
    <row r="197" spans="2:30" x14ac:dyDescent="0.3">
      <c r="B197" s="28">
        <v>42916</v>
      </c>
      <c r="C197" s="25">
        <v>45.599997999999999</v>
      </c>
      <c r="D197" s="18">
        <f t="shared" si="18"/>
        <v>1.8084326454915756E-2</v>
      </c>
      <c r="E197" s="32">
        <f t="shared" ca="1" si="19"/>
        <v>-9.132262051556074E-3</v>
      </c>
      <c r="F197" s="18">
        <f t="shared" ca="1" si="20"/>
        <v>57.777498790641502</v>
      </c>
      <c r="G197" s="19">
        <f t="shared" ca="1" si="21"/>
        <v>0.53250220935849768</v>
      </c>
      <c r="H197" s="27">
        <v>51.07</v>
      </c>
      <c r="I197" s="19">
        <f t="shared" si="22"/>
        <v>2.7772208246573005E-2</v>
      </c>
      <c r="J197" s="19">
        <f t="shared" ca="1" si="23"/>
        <v>-2.0646901734384751E-3</v>
      </c>
      <c r="K197" s="19">
        <f t="shared" ca="1" si="24"/>
        <v>83.317617021548998</v>
      </c>
      <c r="L197" s="19">
        <f t="shared" ca="1" si="25"/>
        <v>0.17238097845100242</v>
      </c>
      <c r="M197" s="19">
        <f t="shared" ca="1" si="26"/>
        <v>0.7048831878095001</v>
      </c>
      <c r="AA197" s="37">
        <v>177</v>
      </c>
      <c r="AB197" s="37">
        <v>1.7663718569544458</v>
      </c>
      <c r="AC197" s="37">
        <v>2.7621837996728669</v>
      </c>
      <c r="AD197" s="37">
        <v>3.5676125069095894</v>
      </c>
    </row>
    <row r="198" spans="2:30" x14ac:dyDescent="0.3">
      <c r="B198" s="28">
        <v>42919</v>
      </c>
      <c r="C198" s="25">
        <v>45.23</v>
      </c>
      <c r="D198" s="18">
        <f t="shared" si="18"/>
        <v>-8.1139915839471E-3</v>
      </c>
      <c r="E198" s="32">
        <f t="shared" ca="1" si="19"/>
        <v>-5.2784423978615942E-2</v>
      </c>
      <c r="F198" s="18">
        <f t="shared" ca="1" si="20"/>
        <v>55.232141185022478</v>
      </c>
      <c r="G198" s="19">
        <f t="shared" ca="1" si="21"/>
        <v>3.077859814977522</v>
      </c>
      <c r="H198" s="27">
        <v>52.57</v>
      </c>
      <c r="I198" s="19">
        <f t="shared" si="22"/>
        <v>2.9371450949676969E-2</v>
      </c>
      <c r="J198" s="19">
        <f t="shared" ca="1" si="23"/>
        <v>-1.3873062532437806E-3</v>
      </c>
      <c r="K198" s="19">
        <f t="shared" ca="1" si="24"/>
        <v>83.374171803691283</v>
      </c>
      <c r="L198" s="19">
        <f t="shared" ca="1" si="25"/>
        <v>0.11582619630871704</v>
      </c>
      <c r="M198" s="19">
        <f t="shared" ca="1" si="26"/>
        <v>3.1936860112862391</v>
      </c>
      <c r="AA198" s="37">
        <v>178</v>
      </c>
      <c r="AB198" s="37">
        <v>1.8160762746751122</v>
      </c>
      <c r="AC198" s="37">
        <v>2.8323671259130219</v>
      </c>
      <c r="AD198" s="37">
        <v>3.250913306820618</v>
      </c>
    </row>
    <row r="199" spans="2:30" x14ac:dyDescent="0.3">
      <c r="B199" s="28">
        <v>42920</v>
      </c>
      <c r="C199" s="25">
        <v>44.900002000000001</v>
      </c>
      <c r="D199" s="18">
        <f t="shared" si="18"/>
        <v>-7.2959982312623683E-3</v>
      </c>
      <c r="E199" s="32">
        <f t="shared" ca="1" si="19"/>
        <v>-8.5485649305141673E-4</v>
      </c>
      <c r="F199" s="18">
        <f t="shared" ca="1" si="20"/>
        <v>58.260154317035315</v>
      </c>
      <c r="G199" s="19">
        <f t="shared" ca="1" si="21"/>
        <v>4.9846682964684419E-2</v>
      </c>
      <c r="H199" s="27">
        <v>52.810001</v>
      </c>
      <c r="I199" s="19">
        <f t="shared" si="22"/>
        <v>4.5653604717519336E-3</v>
      </c>
      <c r="J199" s="19">
        <f t="shared" ca="1" si="23"/>
        <v>4.2002656593123945E-2</v>
      </c>
      <c r="K199" s="19">
        <f t="shared" ca="1" si="24"/>
        <v>86.996799714954605</v>
      </c>
      <c r="L199" s="19">
        <f t="shared" ca="1" si="25"/>
        <v>-3.5068017149546051</v>
      </c>
      <c r="M199" s="19">
        <f t="shared" ca="1" si="26"/>
        <v>-3.4569550319899207</v>
      </c>
      <c r="AA199" s="37">
        <v>179</v>
      </c>
      <c r="AB199" s="37">
        <v>1.9571649413533299</v>
      </c>
      <c r="AC199" s="37">
        <v>2.7550333873881532</v>
      </c>
      <c r="AD199" s="37">
        <v>3.2282892790299198</v>
      </c>
    </row>
    <row r="200" spans="2:30" x14ac:dyDescent="0.3">
      <c r="B200" s="28">
        <v>42921</v>
      </c>
      <c r="C200" s="25">
        <v>44.799999</v>
      </c>
      <c r="D200" s="18">
        <f t="shared" ref="D200:D263" si="27">C200/C199-1</f>
        <v>-2.2272382081408582E-3</v>
      </c>
      <c r="E200" s="32">
        <f t="shared" ref="E200:E263" ca="1" si="28">NORMINV(RAND(),$E$3,$E$4)</f>
        <v>3.7683650233849226E-3</v>
      </c>
      <c r="F200" s="18">
        <f t="shared" ref="F200:F263" ca="1" si="29">$C$1261*(1+E200)</f>
        <v>58.529734368281936</v>
      </c>
      <c r="G200" s="19">
        <f t="shared" ref="G200:G263" ca="1" si="30">$C$1261-F200</f>
        <v>-0.21973336828193624</v>
      </c>
      <c r="H200" s="27">
        <v>53</v>
      </c>
      <c r="I200" s="19">
        <f t="shared" ref="I200:I263" si="31">H200/H199-1</f>
        <v>3.5977844423824568E-3</v>
      </c>
      <c r="J200" s="19">
        <f t="shared" ref="J200:J263" ca="1" si="32">NORMINV(RAND(),$J$3,$J$4)</f>
        <v>4.6720756432490344E-2</v>
      </c>
      <c r="K200" s="19">
        <f t="shared" ref="K200:K263" ca="1" si="33">$H$1261*(1+J200)</f>
        <v>87.390713861107102</v>
      </c>
      <c r="L200" s="19">
        <f t="shared" ref="L200:L263" ca="1" si="34">$H$1261-K200</f>
        <v>-3.900715861107102</v>
      </c>
      <c r="M200" s="19">
        <f t="shared" ref="M200:M263" ca="1" si="35">SUM(G200,L200)</f>
        <v>-4.1204492293890382</v>
      </c>
      <c r="AA200" s="37">
        <v>180</v>
      </c>
      <c r="AB200" s="37">
        <v>1.897173625775209</v>
      </c>
      <c r="AC200" s="37">
        <v>2.8152880756161305</v>
      </c>
      <c r="AD200" s="37">
        <v>3.3411487325301312</v>
      </c>
    </row>
    <row r="201" spans="2:30" x14ac:dyDescent="0.3">
      <c r="B201" s="28">
        <v>42922</v>
      </c>
      <c r="C201" s="25">
        <v>44.490001999999997</v>
      </c>
      <c r="D201" s="18">
        <f t="shared" si="27"/>
        <v>-6.9195760473120815E-3</v>
      </c>
      <c r="E201" s="32">
        <f t="shared" ca="1" si="28"/>
        <v>3.0807882100895296E-3</v>
      </c>
      <c r="F201" s="18">
        <f t="shared" ca="1" si="29"/>
        <v>58.489641763611111</v>
      </c>
      <c r="G201" s="19">
        <f t="shared" ca="1" si="30"/>
        <v>-0.17964076361111125</v>
      </c>
      <c r="H201" s="27">
        <v>53.040000999999997</v>
      </c>
      <c r="I201" s="19">
        <f t="shared" si="31"/>
        <v>7.5473584905649815E-4</v>
      </c>
      <c r="J201" s="19">
        <f t="shared" ca="1" si="32"/>
        <v>-2.2565154897627518E-2</v>
      </c>
      <c r="K201" s="19">
        <f t="shared" ca="1" si="33"/>
        <v>81.606033262727379</v>
      </c>
      <c r="L201" s="19">
        <f t="shared" ca="1" si="34"/>
        <v>1.8839647372726205</v>
      </c>
      <c r="M201" s="19">
        <f t="shared" ca="1" si="35"/>
        <v>1.7043239736615092</v>
      </c>
      <c r="AA201" s="37">
        <v>181</v>
      </c>
      <c r="AB201" s="37">
        <v>1.7249290749623416</v>
      </c>
      <c r="AC201" s="37">
        <v>2.8151048242174483</v>
      </c>
      <c r="AD201" s="37">
        <v>2.9592719098167684</v>
      </c>
    </row>
    <row r="202" spans="2:30" x14ac:dyDescent="0.3">
      <c r="B202" s="28">
        <v>42923</v>
      </c>
      <c r="C202" s="25">
        <v>45</v>
      </c>
      <c r="D202" s="18">
        <f t="shared" si="27"/>
        <v>1.1463204699339036E-2</v>
      </c>
      <c r="E202" s="32">
        <f t="shared" ca="1" si="28"/>
        <v>4.9173725239600053E-3</v>
      </c>
      <c r="F202" s="18">
        <f t="shared" ca="1" si="29"/>
        <v>58.596732996789477</v>
      </c>
      <c r="G202" s="19">
        <f t="shared" ca="1" si="30"/>
        <v>-0.28673199678947725</v>
      </c>
      <c r="H202" s="27">
        <v>53.509998000000003</v>
      </c>
      <c r="I202" s="19">
        <f t="shared" si="31"/>
        <v>8.8611800742615099E-3</v>
      </c>
      <c r="J202" s="19">
        <f t="shared" ca="1" si="32"/>
        <v>3.1463602367379551E-2</v>
      </c>
      <c r="K202" s="19">
        <f t="shared" ca="1" si="33"/>
        <v>86.116894098725311</v>
      </c>
      <c r="L202" s="19">
        <f t="shared" ca="1" si="34"/>
        <v>-2.6268960987253109</v>
      </c>
      <c r="M202" s="19">
        <f t="shared" ca="1" si="35"/>
        <v>-2.9136280955147882</v>
      </c>
      <c r="AA202" s="37">
        <v>182</v>
      </c>
      <c r="AB202" s="37">
        <v>1.8368427963245857</v>
      </c>
      <c r="AC202" s="37">
        <v>2.8780728552975869</v>
      </c>
      <c r="AD202" s="37">
        <v>3.3845799711106812</v>
      </c>
    </row>
    <row r="203" spans="2:30" x14ac:dyDescent="0.3">
      <c r="B203" s="28">
        <v>42926</v>
      </c>
      <c r="C203" s="25">
        <v>45.360000999999997</v>
      </c>
      <c r="D203" s="18">
        <f t="shared" si="27"/>
        <v>8.0000222222220696E-3</v>
      </c>
      <c r="E203" s="32">
        <f t="shared" ca="1" si="28"/>
        <v>-2.8746887625237506E-2</v>
      </c>
      <c r="F203" s="18">
        <f t="shared" ca="1" si="29"/>
        <v>56.633769953825514</v>
      </c>
      <c r="G203" s="19">
        <f t="shared" ca="1" si="30"/>
        <v>1.676231046174486</v>
      </c>
      <c r="H203" s="27">
        <v>53.619999</v>
      </c>
      <c r="I203" s="19">
        <f t="shared" si="31"/>
        <v>2.0557092900657103E-3</v>
      </c>
      <c r="J203" s="19">
        <f t="shared" ca="1" si="32"/>
        <v>-3.6071340027040766E-2</v>
      </c>
      <c r="K203" s="19">
        <f t="shared" ca="1" si="33"/>
        <v>80.478401893285053</v>
      </c>
      <c r="L203" s="19">
        <f t="shared" ca="1" si="34"/>
        <v>3.011596106714947</v>
      </c>
      <c r="M203" s="19">
        <f t="shared" ca="1" si="35"/>
        <v>4.6878271528894331</v>
      </c>
      <c r="AA203" s="37">
        <v>183</v>
      </c>
      <c r="AB203" s="37">
        <v>1.8310720118690877</v>
      </c>
      <c r="AC203" s="37">
        <v>2.7143980757648434</v>
      </c>
      <c r="AD203" s="37">
        <v>3.4600265778650803</v>
      </c>
    </row>
    <row r="204" spans="2:30" x14ac:dyDescent="0.3">
      <c r="B204" s="28">
        <v>42927</v>
      </c>
      <c r="C204" s="25">
        <v>45.220001000000003</v>
      </c>
      <c r="D204" s="18">
        <f t="shared" si="27"/>
        <v>-3.0864196850435288E-3</v>
      </c>
      <c r="E204" s="32">
        <f t="shared" ca="1" si="28"/>
        <v>1.5348943617361992E-2</v>
      </c>
      <c r="F204" s="18">
        <f t="shared" ca="1" si="29"/>
        <v>59.204997917677318</v>
      </c>
      <c r="G204" s="19">
        <f t="shared" ca="1" si="30"/>
        <v>-0.89499691767731804</v>
      </c>
      <c r="H204" s="27">
        <v>53.66</v>
      </c>
      <c r="I204" s="19">
        <f t="shared" si="31"/>
        <v>7.4600896579646303E-4</v>
      </c>
      <c r="J204" s="19">
        <f t="shared" ca="1" si="32"/>
        <v>-6.5170231500238599E-3</v>
      </c>
      <c r="K204" s="19">
        <f t="shared" ca="1" si="33"/>
        <v>82.945891750238545</v>
      </c>
      <c r="L204" s="19">
        <f t="shared" ca="1" si="34"/>
        <v>0.54410624976145527</v>
      </c>
      <c r="M204" s="19">
        <f t="shared" ca="1" si="35"/>
        <v>-0.35089066791586276</v>
      </c>
      <c r="AA204" s="37">
        <v>184</v>
      </c>
      <c r="AB204" s="37">
        <v>1.8502259561790702</v>
      </c>
      <c r="AC204" s="37">
        <v>2.8351876066870698</v>
      </c>
      <c r="AD204" s="37">
        <v>3.2971271181393478</v>
      </c>
    </row>
    <row r="205" spans="2:30" x14ac:dyDescent="0.3">
      <c r="B205" s="28">
        <v>42928</v>
      </c>
      <c r="C205" s="25">
        <v>45.59</v>
      </c>
      <c r="D205" s="18">
        <f t="shared" si="27"/>
        <v>8.1821979614729035E-3</v>
      </c>
      <c r="E205" s="32">
        <f t="shared" ca="1" si="28"/>
        <v>4.7518037114098691E-3</v>
      </c>
      <c r="F205" s="18">
        <f t="shared" ca="1" si="29"/>
        <v>58.587078679164108</v>
      </c>
      <c r="G205" s="19">
        <f t="shared" ca="1" si="30"/>
        <v>-0.2770776791641083</v>
      </c>
      <c r="H205" s="27">
        <v>54.299999</v>
      </c>
      <c r="I205" s="19">
        <f t="shared" si="31"/>
        <v>1.1926928811032411E-2</v>
      </c>
      <c r="J205" s="19">
        <f t="shared" ca="1" si="32"/>
        <v>3.0016894536251958E-2</v>
      </c>
      <c r="K205" s="19">
        <f t="shared" ca="1" si="33"/>
        <v>85.996108464797885</v>
      </c>
      <c r="L205" s="19">
        <f t="shared" ca="1" si="34"/>
        <v>-2.5061104647978851</v>
      </c>
      <c r="M205" s="19">
        <f t="shared" ca="1" si="35"/>
        <v>-2.7831881439619934</v>
      </c>
      <c r="AA205" s="37">
        <v>185</v>
      </c>
      <c r="AB205" s="37">
        <v>1.7901487649996775</v>
      </c>
      <c r="AC205" s="37">
        <v>2.8652117506780592</v>
      </c>
      <c r="AD205" s="37">
        <v>3.3284583624475066</v>
      </c>
    </row>
    <row r="206" spans="2:30" x14ac:dyDescent="0.3">
      <c r="B206" s="28">
        <v>42929</v>
      </c>
      <c r="C206" s="25">
        <v>45.900002000000001</v>
      </c>
      <c r="D206" s="18">
        <f t="shared" si="27"/>
        <v>6.7997806536521654E-3</v>
      </c>
      <c r="E206" s="32">
        <f t="shared" ca="1" si="28"/>
        <v>3.57188971378627E-2</v>
      </c>
      <c r="F206" s="18">
        <f t="shared" ca="1" si="29"/>
        <v>60.392769927827679</v>
      </c>
      <c r="G206" s="19">
        <f t="shared" ca="1" si="30"/>
        <v>-2.0827689278276793</v>
      </c>
      <c r="H206" s="27">
        <v>54.990001999999997</v>
      </c>
      <c r="I206" s="19">
        <f t="shared" si="31"/>
        <v>1.2707237803079918E-2</v>
      </c>
      <c r="J206" s="19">
        <f t="shared" ca="1" si="32"/>
        <v>-1.6344072708229938E-2</v>
      </c>
      <c r="K206" s="19">
        <f t="shared" ca="1" si="33"/>
        <v>82.125431402278025</v>
      </c>
      <c r="L206" s="19">
        <f t="shared" ca="1" si="34"/>
        <v>1.364566597721975</v>
      </c>
      <c r="M206" s="19">
        <f t="shared" ca="1" si="35"/>
        <v>-0.71820233010570433</v>
      </c>
      <c r="AA206" s="37">
        <v>186</v>
      </c>
      <c r="AB206" s="37">
        <v>1.7759994758222359</v>
      </c>
      <c r="AC206" s="37">
        <v>2.8944737100598878</v>
      </c>
      <c r="AD206" s="37">
        <v>3.2126495717114505</v>
      </c>
    </row>
    <row r="207" spans="2:30" x14ac:dyDescent="0.3">
      <c r="B207" s="28">
        <v>42930</v>
      </c>
      <c r="C207" s="25">
        <v>46.27</v>
      </c>
      <c r="D207" s="18">
        <f t="shared" si="27"/>
        <v>8.0609582544244329E-3</v>
      </c>
      <c r="E207" s="32">
        <f t="shared" ca="1" si="28"/>
        <v>-6.0259005242173603E-3</v>
      </c>
      <c r="F207" s="18">
        <f t="shared" ca="1" si="29"/>
        <v>57.958630734406988</v>
      </c>
      <c r="G207" s="19">
        <f t="shared" ca="1" si="30"/>
        <v>0.35137026559301177</v>
      </c>
      <c r="H207" s="27">
        <v>55.669998</v>
      </c>
      <c r="I207" s="19">
        <f t="shared" si="31"/>
        <v>1.2365811516064307E-2</v>
      </c>
      <c r="J207" s="19">
        <f t="shared" ca="1" si="32"/>
        <v>5.288161323398652E-3</v>
      </c>
      <c r="K207" s="19">
        <f t="shared" ca="1" si="33"/>
        <v>83.931506578314227</v>
      </c>
      <c r="L207" s="19">
        <f t="shared" ca="1" si="34"/>
        <v>-0.44150857831422741</v>
      </c>
      <c r="M207" s="19">
        <f t="shared" ca="1" si="35"/>
        <v>-9.0138312721215641E-2</v>
      </c>
      <c r="AA207" s="37">
        <v>187</v>
      </c>
      <c r="AB207" s="37">
        <v>1.7758906339651166</v>
      </c>
      <c r="AC207" s="37">
        <v>2.9353600386032639</v>
      </c>
      <c r="AD207" s="37">
        <v>3.5030477533360735</v>
      </c>
    </row>
    <row r="208" spans="2:30" x14ac:dyDescent="0.3">
      <c r="B208" s="28">
        <v>42933</v>
      </c>
      <c r="C208" s="25">
        <v>46.389999000000003</v>
      </c>
      <c r="D208" s="18">
        <f t="shared" si="27"/>
        <v>2.5934514804408781E-3</v>
      </c>
      <c r="E208" s="32">
        <f t="shared" ca="1" si="28"/>
        <v>-2.1571442036510725E-2</v>
      </c>
      <c r="F208" s="18">
        <f t="shared" ca="1" si="29"/>
        <v>57.052170193279615</v>
      </c>
      <c r="G208" s="19">
        <f t="shared" ca="1" si="30"/>
        <v>1.2578308067203849</v>
      </c>
      <c r="H208" s="27">
        <v>56.040000999999997</v>
      </c>
      <c r="I208" s="19">
        <f t="shared" si="31"/>
        <v>6.6463627320410001E-3</v>
      </c>
      <c r="J208" s="19">
        <f t="shared" ca="1" si="32"/>
        <v>1.4561266197987114E-2</v>
      </c>
      <c r="K208" s="19">
        <f t="shared" ca="1" si="33"/>
        <v>84.705718085747407</v>
      </c>
      <c r="L208" s="19">
        <f t="shared" ca="1" si="34"/>
        <v>-1.2157200857474066</v>
      </c>
      <c r="M208" s="19">
        <f t="shared" ca="1" si="35"/>
        <v>4.2110720972978299E-2</v>
      </c>
      <c r="AA208" s="37">
        <v>188</v>
      </c>
      <c r="AB208" s="37">
        <v>1.7918116948065315</v>
      </c>
      <c r="AC208" s="37">
        <v>2.7920832834368525</v>
      </c>
      <c r="AD208" s="37">
        <v>3.3303852840639148</v>
      </c>
    </row>
    <row r="209" spans="2:30" x14ac:dyDescent="0.3">
      <c r="B209" s="28">
        <v>42934</v>
      </c>
      <c r="C209" s="25">
        <v>46.279998999999997</v>
      </c>
      <c r="D209" s="18">
        <f t="shared" si="27"/>
        <v>-2.3712007409184555E-3</v>
      </c>
      <c r="E209" s="32">
        <f t="shared" ca="1" si="28"/>
        <v>-9.2337074916260288E-3</v>
      </c>
      <c r="F209" s="18">
        <f t="shared" ca="1" si="29"/>
        <v>57.771583506929581</v>
      </c>
      <c r="G209" s="19">
        <f t="shared" ca="1" si="30"/>
        <v>0.53841749307041908</v>
      </c>
      <c r="H209" s="27">
        <v>55.939999</v>
      </c>
      <c r="I209" s="19">
        <f t="shared" si="31"/>
        <v>-1.7844753428893911E-3</v>
      </c>
      <c r="J209" s="19">
        <f t="shared" ca="1" si="32"/>
        <v>-2.7882396134429829E-2</v>
      </c>
      <c r="K209" s="19">
        <f t="shared" ca="1" si="33"/>
        <v>81.162096802501253</v>
      </c>
      <c r="L209" s="19">
        <f t="shared" ca="1" si="34"/>
        <v>2.3279011974987469</v>
      </c>
      <c r="M209" s="19">
        <f t="shared" ca="1" si="35"/>
        <v>2.866318690569166</v>
      </c>
      <c r="AA209" s="37">
        <v>189</v>
      </c>
      <c r="AB209" s="37">
        <v>1.8110518476460213</v>
      </c>
      <c r="AC209" s="37">
        <v>2.9129785801011665</v>
      </c>
      <c r="AD209" s="37">
        <v>3.3046958027726752</v>
      </c>
    </row>
    <row r="210" spans="2:30" x14ac:dyDescent="0.3">
      <c r="B210" s="28">
        <v>42935</v>
      </c>
      <c r="C210" s="25">
        <v>46.009998000000003</v>
      </c>
      <c r="D210" s="18">
        <f t="shared" si="27"/>
        <v>-5.8340753205287088E-3</v>
      </c>
      <c r="E210" s="32">
        <f t="shared" ca="1" si="28"/>
        <v>2.6244706605477806E-2</v>
      </c>
      <c r="F210" s="18">
        <f t="shared" ca="1" si="29"/>
        <v>59.840329868410116</v>
      </c>
      <c r="G210" s="19">
        <f t="shared" ca="1" si="30"/>
        <v>-1.5303288684101162</v>
      </c>
      <c r="H210" s="27">
        <v>55.740001999999997</v>
      </c>
      <c r="I210" s="19">
        <f t="shared" si="31"/>
        <v>-3.5752056413158595E-3</v>
      </c>
      <c r="J210" s="19">
        <f t="shared" ca="1" si="32"/>
        <v>7.6166401699680241E-4</v>
      </c>
      <c r="K210" s="19">
        <f t="shared" ca="1" si="33"/>
        <v>83.553589327255736</v>
      </c>
      <c r="L210" s="19">
        <f t="shared" ca="1" si="34"/>
        <v>-6.3591327255736019E-2</v>
      </c>
      <c r="M210" s="19">
        <f t="shared" ca="1" si="35"/>
        <v>-1.5939201956658522</v>
      </c>
      <c r="AA210" s="37">
        <v>190</v>
      </c>
      <c r="AB210" s="37">
        <v>1.8265011548560672</v>
      </c>
      <c r="AC210" s="37">
        <v>2.7630628212509261</v>
      </c>
      <c r="AD210" s="37">
        <v>3.6704372205106695</v>
      </c>
    </row>
    <row r="211" spans="2:30" x14ac:dyDescent="0.3">
      <c r="B211" s="28">
        <v>42936</v>
      </c>
      <c r="C211" s="25">
        <v>45.900002000000001</v>
      </c>
      <c r="D211" s="18">
        <f t="shared" si="27"/>
        <v>-2.3906977783394456E-3</v>
      </c>
      <c r="E211" s="32">
        <f t="shared" ca="1" si="28"/>
        <v>-1.8024167579536111E-2</v>
      </c>
      <c r="F211" s="18">
        <f t="shared" ca="1" si="29"/>
        <v>57.259011770413082</v>
      </c>
      <c r="G211" s="19">
        <f t="shared" ca="1" si="30"/>
        <v>1.0509892295869179</v>
      </c>
      <c r="H211" s="27">
        <v>55.400002000000001</v>
      </c>
      <c r="I211" s="19">
        <f t="shared" si="31"/>
        <v>-6.0997486150071722E-3</v>
      </c>
      <c r="J211" s="19">
        <f t="shared" ca="1" si="32"/>
        <v>-2.7861554123924687E-2</v>
      </c>
      <c r="K211" s="19">
        <f t="shared" ca="1" si="33"/>
        <v>81.163836901916639</v>
      </c>
      <c r="L211" s="19">
        <f t="shared" ca="1" si="34"/>
        <v>2.3261610980833609</v>
      </c>
      <c r="M211" s="19">
        <f t="shared" ca="1" si="35"/>
        <v>3.3771503276702788</v>
      </c>
      <c r="AA211" s="37">
        <v>191</v>
      </c>
      <c r="AB211" s="37">
        <v>1.7587226528253979</v>
      </c>
      <c r="AC211" s="37">
        <v>2.8850652580066121</v>
      </c>
      <c r="AD211" s="37">
        <v>3.3472903455027736</v>
      </c>
    </row>
    <row r="212" spans="2:30" x14ac:dyDescent="0.3">
      <c r="B212" s="28">
        <v>42937</v>
      </c>
      <c r="C212" s="25">
        <v>46.619999</v>
      </c>
      <c r="D212" s="18">
        <f t="shared" si="27"/>
        <v>1.5686208466831886E-2</v>
      </c>
      <c r="E212" s="32">
        <f t="shared" ca="1" si="28"/>
        <v>1.3330469667296396E-2</v>
      </c>
      <c r="F212" s="18">
        <f t="shared" ca="1" si="29"/>
        <v>59.087300699630525</v>
      </c>
      <c r="G212" s="19">
        <f t="shared" ca="1" si="30"/>
        <v>-0.77729969963052525</v>
      </c>
      <c r="H212" s="27">
        <v>55.330002</v>
      </c>
      <c r="I212" s="19">
        <f t="shared" si="31"/>
        <v>-1.2635378605221348E-3</v>
      </c>
      <c r="J212" s="19">
        <f t="shared" ca="1" si="32"/>
        <v>-7.23100461180433E-2</v>
      </c>
      <c r="K212" s="19">
        <f t="shared" ca="1" si="33"/>
        <v>77.452832394224657</v>
      </c>
      <c r="L212" s="19">
        <f t="shared" ca="1" si="34"/>
        <v>6.0371656057753427</v>
      </c>
      <c r="M212" s="19">
        <f t="shared" ca="1" si="35"/>
        <v>5.2598659061448174</v>
      </c>
      <c r="AA212" s="37">
        <v>192</v>
      </c>
      <c r="AB212" s="37">
        <v>1.7074435352069139</v>
      </c>
      <c r="AC212" s="37">
        <v>2.8620238113520129</v>
      </c>
      <c r="AD212" s="37">
        <v>3.318516466864323</v>
      </c>
    </row>
    <row r="213" spans="2:30" x14ac:dyDescent="0.3">
      <c r="B213" s="28">
        <v>42940</v>
      </c>
      <c r="C213" s="25">
        <v>47.369999</v>
      </c>
      <c r="D213" s="18">
        <f t="shared" si="27"/>
        <v>1.6087516432593763E-2</v>
      </c>
      <c r="E213" s="32">
        <f t="shared" ca="1" si="28"/>
        <v>1.0220892486665219E-2</v>
      </c>
      <c r="F213" s="18">
        <f t="shared" ca="1" si="29"/>
        <v>58.905981251118334</v>
      </c>
      <c r="G213" s="19">
        <f t="shared" ca="1" si="30"/>
        <v>-0.59598025111833408</v>
      </c>
      <c r="H213" s="27">
        <v>55.630001</v>
      </c>
      <c r="I213" s="19">
        <f t="shared" si="31"/>
        <v>5.4219951049341297E-3</v>
      </c>
      <c r="J213" s="19">
        <f t="shared" ca="1" si="32"/>
        <v>-1.5439839299587595E-2</v>
      </c>
      <c r="K213" s="19">
        <f t="shared" ca="1" si="33"/>
        <v>82.200925847757105</v>
      </c>
      <c r="L213" s="19">
        <f t="shared" ca="1" si="34"/>
        <v>1.2890721522428947</v>
      </c>
      <c r="M213" s="19">
        <f t="shared" ca="1" si="35"/>
        <v>0.69309190112456065</v>
      </c>
      <c r="AA213" s="37">
        <v>193</v>
      </c>
      <c r="AB213" s="37">
        <v>1.8144750968414241</v>
      </c>
      <c r="AC213" s="37">
        <v>2.7528832684311251</v>
      </c>
      <c r="AD213" s="37">
        <v>3.0738627744804767</v>
      </c>
    </row>
    <row r="214" spans="2:30" x14ac:dyDescent="0.3">
      <c r="B214" s="28">
        <v>42941</v>
      </c>
      <c r="C214" s="25">
        <v>47.669998</v>
      </c>
      <c r="D214" s="18">
        <f t="shared" si="27"/>
        <v>6.3331012525458252E-3</v>
      </c>
      <c r="E214" s="32">
        <f t="shared" ca="1" si="28"/>
        <v>5.6038183755510664E-4</v>
      </c>
      <c r="F214" s="18">
        <f t="shared" ca="1" si="29"/>
        <v>58.342676865508217</v>
      </c>
      <c r="G214" s="19">
        <f t="shared" ca="1" si="30"/>
        <v>-3.2675865508217328E-2</v>
      </c>
      <c r="H214" s="27">
        <v>57.330002</v>
      </c>
      <c r="I214" s="19">
        <f t="shared" si="31"/>
        <v>3.0559068298416925E-2</v>
      </c>
      <c r="J214" s="19">
        <f t="shared" ca="1" si="32"/>
        <v>-4.9623568166711988E-3</v>
      </c>
      <c r="K214" s="19">
        <f t="shared" ca="1" si="33"/>
        <v>83.075690839300833</v>
      </c>
      <c r="L214" s="19">
        <f t="shared" ca="1" si="34"/>
        <v>0.41430716069916684</v>
      </c>
      <c r="M214" s="19">
        <f t="shared" ca="1" si="35"/>
        <v>0.38163129519094952</v>
      </c>
      <c r="AA214" s="37">
        <v>194</v>
      </c>
      <c r="AB214" s="37">
        <v>1.7339946332462048</v>
      </c>
      <c r="AC214" s="37">
        <v>2.9658651389676494</v>
      </c>
      <c r="AD214" s="37">
        <v>3.378004870657997</v>
      </c>
    </row>
    <row r="215" spans="2:30" x14ac:dyDescent="0.3">
      <c r="B215" s="28">
        <v>42942</v>
      </c>
      <c r="C215" s="25">
        <v>46.369999</v>
      </c>
      <c r="D215" s="18">
        <f t="shared" si="27"/>
        <v>-2.7270800388957461E-2</v>
      </c>
      <c r="E215" s="32">
        <f t="shared" ca="1" si="28"/>
        <v>2.0081800125933684E-2</v>
      </c>
      <c r="F215" s="18">
        <f t="shared" ca="1" si="29"/>
        <v>59.480970785424994</v>
      </c>
      <c r="G215" s="19">
        <f t="shared" ca="1" si="30"/>
        <v>-1.1709697854249939</v>
      </c>
      <c r="H215" s="27">
        <v>58.450001</v>
      </c>
      <c r="I215" s="19">
        <f t="shared" si="31"/>
        <v>1.9536001411616821E-2</v>
      </c>
      <c r="J215" s="19">
        <f t="shared" ca="1" si="32"/>
        <v>6.8008169997677117E-3</v>
      </c>
      <c r="K215" s="19">
        <f t="shared" ca="1" si="33"/>
        <v>84.057798197708976</v>
      </c>
      <c r="L215" s="19">
        <f t="shared" ca="1" si="34"/>
        <v>-0.56780019770897638</v>
      </c>
      <c r="M215" s="19">
        <f t="shared" ca="1" si="35"/>
        <v>-1.7387699831339702</v>
      </c>
      <c r="AA215" s="37">
        <v>195</v>
      </c>
      <c r="AB215" s="37">
        <v>1.8024429408782008</v>
      </c>
      <c r="AC215" s="37">
        <v>2.758686916090872</v>
      </c>
      <c r="AD215" s="37">
        <v>3.5200305473788376</v>
      </c>
    </row>
    <row r="216" spans="2:30" x14ac:dyDescent="0.3">
      <c r="B216" s="28">
        <v>42943</v>
      </c>
      <c r="C216" s="25">
        <v>45.290000999999997</v>
      </c>
      <c r="D216" s="18">
        <f t="shared" si="27"/>
        <v>-2.3290878224948908E-2</v>
      </c>
      <c r="E216" s="32">
        <f t="shared" ca="1" si="28"/>
        <v>2.1741539148616311E-2</v>
      </c>
      <c r="F216" s="18">
        <f t="shared" ca="1" si="29"/>
        <v>59.577750169497349</v>
      </c>
      <c r="G216" s="19">
        <f t="shared" ca="1" si="30"/>
        <v>-1.2677491694973497</v>
      </c>
      <c r="H216" s="27">
        <v>58.139999000000003</v>
      </c>
      <c r="I216" s="19">
        <f t="shared" si="31"/>
        <v>-5.3037124841109895E-3</v>
      </c>
      <c r="J216" s="19">
        <f t="shared" ca="1" si="32"/>
        <v>3.6231654790188916E-3</v>
      </c>
      <c r="K216" s="19">
        <f t="shared" ca="1" si="33"/>
        <v>83.792496078596955</v>
      </c>
      <c r="L216" s="19">
        <f t="shared" ca="1" si="34"/>
        <v>-0.30249807859695466</v>
      </c>
      <c r="M216" s="19">
        <f t="shared" ca="1" si="35"/>
        <v>-1.5702472480943044</v>
      </c>
      <c r="AA216" s="37">
        <v>196</v>
      </c>
      <c r="AB216" s="37">
        <v>1.8536146546275545</v>
      </c>
      <c r="AC216" s="37">
        <v>2.8795373988292821</v>
      </c>
      <c r="AD216" s="37">
        <v>3.0969654524857129</v>
      </c>
    </row>
    <row r="217" spans="2:30" x14ac:dyDescent="0.3">
      <c r="B217" s="28">
        <v>42944</v>
      </c>
      <c r="C217" s="25">
        <v>45.119999</v>
      </c>
      <c r="D217" s="18">
        <f t="shared" si="27"/>
        <v>-3.75363206549717E-3</v>
      </c>
      <c r="E217" s="32">
        <f t="shared" ca="1" si="28"/>
        <v>9.0887918636609281E-3</v>
      </c>
      <c r="F217" s="18">
        <f t="shared" ca="1" si="29"/>
        <v>58.839968462658852</v>
      </c>
      <c r="G217" s="19">
        <f t="shared" ca="1" si="30"/>
        <v>-0.52996746265885264</v>
      </c>
      <c r="H217" s="27">
        <v>58.150002000000001</v>
      </c>
      <c r="I217" s="19">
        <f t="shared" si="31"/>
        <v>1.7205022655741864E-4</v>
      </c>
      <c r="J217" s="19">
        <f t="shared" ca="1" si="32"/>
        <v>-7.345639202387586E-3</v>
      </c>
      <c r="K217" s="19">
        <f t="shared" ca="1" si="33"/>
        <v>82.876710597683939</v>
      </c>
      <c r="L217" s="19">
        <f t="shared" ca="1" si="34"/>
        <v>0.61328740231606105</v>
      </c>
      <c r="M217" s="19">
        <f t="shared" ca="1" si="35"/>
        <v>8.3319939657208408E-2</v>
      </c>
      <c r="AA217" s="37">
        <v>197</v>
      </c>
      <c r="AB217" s="37">
        <v>1.7653901673464194</v>
      </c>
      <c r="AC217" s="37">
        <v>2.9134426535074649</v>
      </c>
      <c r="AD217" s="37">
        <v>3.247401605661774</v>
      </c>
    </row>
    <row r="218" spans="2:30" x14ac:dyDescent="0.3">
      <c r="B218" s="28">
        <v>42947</v>
      </c>
      <c r="C218" s="25">
        <v>45.009998000000003</v>
      </c>
      <c r="D218" s="18">
        <f t="shared" si="27"/>
        <v>-2.4379654795647632E-3</v>
      </c>
      <c r="E218" s="32">
        <f t="shared" ca="1" si="28"/>
        <v>1.2740823018866221E-2</v>
      </c>
      <c r="F218" s="18">
        <f t="shared" ca="1" si="29"/>
        <v>59.05291840297091</v>
      </c>
      <c r="G218" s="19">
        <f t="shared" ca="1" si="30"/>
        <v>-0.74291740297091025</v>
      </c>
      <c r="H218" s="27">
        <v>57.990001999999997</v>
      </c>
      <c r="I218" s="19">
        <f t="shared" si="31"/>
        <v>-2.7515046345141236E-3</v>
      </c>
      <c r="J218" s="19">
        <f t="shared" ca="1" si="32"/>
        <v>3.2453829913933752E-2</v>
      </c>
      <c r="K218" s="19">
        <f t="shared" ca="1" si="33"/>
        <v>86.199568194606684</v>
      </c>
      <c r="L218" s="19">
        <f t="shared" ca="1" si="34"/>
        <v>-2.7095701946066839</v>
      </c>
      <c r="M218" s="19">
        <f t="shared" ca="1" si="35"/>
        <v>-3.4524875975775942</v>
      </c>
      <c r="AA218" s="37">
        <v>198</v>
      </c>
      <c r="AB218" s="37">
        <v>1.6823485968935386</v>
      </c>
      <c r="AC218" s="37">
        <v>2.7588094008417272</v>
      </c>
      <c r="AD218" s="37">
        <v>3.3625424695582589</v>
      </c>
    </row>
    <row r="219" spans="2:30" x14ac:dyDescent="0.3">
      <c r="B219" s="28">
        <v>42948</v>
      </c>
      <c r="C219" s="25">
        <v>44.599997999999999</v>
      </c>
      <c r="D219" s="18">
        <f t="shared" si="27"/>
        <v>-9.1090872743430085E-3</v>
      </c>
      <c r="E219" s="32">
        <f t="shared" ca="1" si="28"/>
        <v>3.8109579468151286E-2</v>
      </c>
      <c r="F219" s="18">
        <f t="shared" ca="1" si="29"/>
        <v>60.532170616897474</v>
      </c>
      <c r="G219" s="19">
        <f t="shared" ca="1" si="30"/>
        <v>-2.2221696168974745</v>
      </c>
      <c r="H219" s="27">
        <v>58.16</v>
      </c>
      <c r="I219" s="19">
        <f t="shared" si="31"/>
        <v>2.9315053308671679E-3</v>
      </c>
      <c r="J219" s="19">
        <f t="shared" ca="1" si="32"/>
        <v>-2.5248424837909934E-2</v>
      </c>
      <c r="K219" s="19">
        <f t="shared" ca="1" si="33"/>
        <v>81.382007060779756</v>
      </c>
      <c r="L219" s="19">
        <f t="shared" ca="1" si="34"/>
        <v>2.1079909392202438</v>
      </c>
      <c r="M219" s="19">
        <f t="shared" ca="1" si="35"/>
        <v>-0.11417867767723067</v>
      </c>
      <c r="AA219" s="37">
        <v>199</v>
      </c>
      <c r="AB219" s="37">
        <v>1.7876075871336772</v>
      </c>
      <c r="AC219" s="37">
        <v>2.8723838930734851</v>
      </c>
      <c r="AD219" s="37">
        <v>3.290797998822895</v>
      </c>
    </row>
    <row r="220" spans="2:30" x14ac:dyDescent="0.3">
      <c r="B220" s="28">
        <v>42949</v>
      </c>
      <c r="C220" s="25">
        <v>44.209999000000003</v>
      </c>
      <c r="D220" s="18">
        <f t="shared" si="27"/>
        <v>-8.7443725894336133E-3</v>
      </c>
      <c r="E220" s="32">
        <f t="shared" ca="1" si="28"/>
        <v>2.7266512860647747E-2</v>
      </c>
      <c r="F220" s="18">
        <f t="shared" ca="1" si="29"/>
        <v>59.899911392170885</v>
      </c>
      <c r="G220" s="19">
        <f t="shared" ca="1" si="30"/>
        <v>-1.5899103921708857</v>
      </c>
      <c r="H220" s="27">
        <v>58.279998999999997</v>
      </c>
      <c r="I220" s="19">
        <f t="shared" si="31"/>
        <v>2.0632565337002085E-3</v>
      </c>
      <c r="J220" s="19">
        <f t="shared" ca="1" si="32"/>
        <v>-3.1958040004530217E-2</v>
      </c>
      <c r="K220" s="19">
        <f t="shared" ca="1" si="33"/>
        <v>80.821821303937853</v>
      </c>
      <c r="L220" s="19">
        <f t="shared" ca="1" si="34"/>
        <v>2.6681766960621474</v>
      </c>
      <c r="M220" s="19">
        <f t="shared" ca="1" si="35"/>
        <v>1.0782663038912617</v>
      </c>
      <c r="AA220" s="37">
        <v>200</v>
      </c>
      <c r="AB220" s="37">
        <v>1.715072650380435</v>
      </c>
      <c r="AC220" s="37">
        <v>2.8472097748261458</v>
      </c>
      <c r="AD220" s="37">
        <v>3.2653256977208045</v>
      </c>
    </row>
    <row r="221" spans="2:30" x14ac:dyDescent="0.3">
      <c r="B221" s="28">
        <v>42950</v>
      </c>
      <c r="C221" s="25">
        <v>43.950001</v>
      </c>
      <c r="D221" s="18">
        <f t="shared" si="27"/>
        <v>-5.880977287513689E-3</v>
      </c>
      <c r="E221" s="32">
        <f t="shared" ca="1" si="28"/>
        <v>6.7271579853420216E-3</v>
      </c>
      <c r="F221" s="18">
        <f t="shared" ca="1" si="29"/>
        <v>58.702261588852451</v>
      </c>
      <c r="G221" s="19">
        <f t="shared" ca="1" si="30"/>
        <v>-0.39226058885245152</v>
      </c>
      <c r="H221" s="27">
        <v>58.439999</v>
      </c>
      <c r="I221" s="19">
        <f t="shared" si="31"/>
        <v>2.7453672399686546E-3</v>
      </c>
      <c r="J221" s="19">
        <f t="shared" ca="1" si="32"/>
        <v>-9.3217638857734948E-3</v>
      </c>
      <c r="K221" s="19">
        <f t="shared" ca="1" si="33"/>
        <v>82.711723951820289</v>
      </c>
      <c r="L221" s="19">
        <f t="shared" ca="1" si="34"/>
        <v>0.77827404817971058</v>
      </c>
      <c r="M221" s="19">
        <f t="shared" ca="1" si="35"/>
        <v>0.38601345932725906</v>
      </c>
      <c r="AA221" s="37">
        <v>201</v>
      </c>
      <c r="AB221" s="37">
        <v>1.8723803855951562</v>
      </c>
      <c r="AC221" s="37">
        <v>2.9237669058016644</v>
      </c>
      <c r="AD221" s="37">
        <v>3.3401237993977384</v>
      </c>
    </row>
    <row r="222" spans="2:30" x14ac:dyDescent="0.3">
      <c r="B222" s="28">
        <v>42951</v>
      </c>
      <c r="C222" s="25">
        <v>43.959999000000003</v>
      </c>
      <c r="D222" s="18">
        <f t="shared" si="27"/>
        <v>2.2748577411868531E-4</v>
      </c>
      <c r="E222" s="32">
        <f t="shared" ca="1" si="28"/>
        <v>-8.5628923449106303E-3</v>
      </c>
      <c r="F222" s="18">
        <f t="shared" ca="1" si="29"/>
        <v>57.810698738805371</v>
      </c>
      <c r="G222" s="19">
        <f t="shared" ca="1" si="30"/>
        <v>0.49930226119462873</v>
      </c>
      <c r="H222" s="27">
        <v>58.5</v>
      </c>
      <c r="I222" s="19">
        <f t="shared" si="31"/>
        <v>1.0267111743105239E-3</v>
      </c>
      <c r="J222" s="19">
        <f t="shared" ca="1" si="32"/>
        <v>1.38864965656837E-3</v>
      </c>
      <c r="K222" s="19">
        <f t="shared" ca="1" si="33"/>
        <v>83.605936357049586</v>
      </c>
      <c r="L222" s="19">
        <f t="shared" ca="1" si="34"/>
        <v>-0.11593835704958622</v>
      </c>
      <c r="M222" s="19">
        <f t="shared" ca="1" si="35"/>
        <v>0.38336390414504251</v>
      </c>
      <c r="AA222" s="37">
        <v>202</v>
      </c>
      <c r="AB222" s="37">
        <v>1.633689990179682</v>
      </c>
      <c r="AC222" s="37">
        <v>2.8897737963247945</v>
      </c>
      <c r="AD222" s="37">
        <v>3.578217389682421</v>
      </c>
    </row>
    <row r="223" spans="2:30" x14ac:dyDescent="0.3">
      <c r="B223" s="28">
        <v>42954</v>
      </c>
      <c r="C223" s="25">
        <v>45.02</v>
      </c>
      <c r="D223" s="18">
        <f t="shared" si="27"/>
        <v>2.4112853141784685E-2</v>
      </c>
      <c r="E223" s="32">
        <f t="shared" ca="1" si="28"/>
        <v>1.9607651295599458E-2</v>
      </c>
      <c r="F223" s="18">
        <f t="shared" ca="1" si="29"/>
        <v>59.453323166654052</v>
      </c>
      <c r="G223" s="19">
        <f t="shared" ca="1" si="30"/>
        <v>-1.1433221666540518</v>
      </c>
      <c r="H223" s="27">
        <v>58.369999</v>
      </c>
      <c r="I223" s="19">
        <f t="shared" si="31"/>
        <v>-2.2222393162393272E-3</v>
      </c>
      <c r="J223" s="19">
        <f t="shared" ca="1" si="32"/>
        <v>2.3110200324888079E-2</v>
      </c>
      <c r="K223" s="19">
        <f t="shared" ca="1" si="33"/>
        <v>85.4194685789045</v>
      </c>
      <c r="L223" s="19">
        <f t="shared" ca="1" si="34"/>
        <v>-1.9294705789044997</v>
      </c>
      <c r="M223" s="19">
        <f t="shared" ca="1" si="35"/>
        <v>-3.0727927455585515</v>
      </c>
      <c r="AA223" s="37">
        <v>203</v>
      </c>
      <c r="AB223" s="37">
        <v>1.8768407697434824</v>
      </c>
      <c r="AC223" s="37">
        <v>2.9503022567633739</v>
      </c>
      <c r="AD223" s="37">
        <v>3.4859189563345034</v>
      </c>
    </row>
    <row r="224" spans="2:30" x14ac:dyDescent="0.3">
      <c r="B224" s="28">
        <v>42955</v>
      </c>
      <c r="C224" s="25">
        <v>44.700001</v>
      </c>
      <c r="D224" s="18">
        <f t="shared" si="27"/>
        <v>-7.1079298089739007E-3</v>
      </c>
      <c r="E224" s="32">
        <f t="shared" ca="1" si="28"/>
        <v>-4.5777849503116242E-3</v>
      </c>
      <c r="F224" s="18">
        <f t="shared" ca="1" si="29"/>
        <v>58.043070354969544</v>
      </c>
      <c r="G224" s="19">
        <f t="shared" ca="1" si="30"/>
        <v>0.26693064503045605</v>
      </c>
      <c r="H224" s="27">
        <v>58.279998999999997</v>
      </c>
      <c r="I224" s="19">
        <f t="shared" si="31"/>
        <v>-1.5418879825577214E-3</v>
      </c>
      <c r="J224" s="19">
        <f t="shared" ca="1" si="32"/>
        <v>-1.6208580943870725E-2</v>
      </c>
      <c r="K224" s="19">
        <f t="shared" ca="1" si="33"/>
        <v>82.136743609413401</v>
      </c>
      <c r="L224" s="19">
        <f t="shared" ca="1" si="34"/>
        <v>1.3532543905865992</v>
      </c>
      <c r="M224" s="19">
        <f t="shared" ca="1" si="35"/>
        <v>1.6201850356170553</v>
      </c>
      <c r="AA224" s="37">
        <v>204</v>
      </c>
      <c r="AB224" s="37">
        <v>1.8921284738406654</v>
      </c>
      <c r="AC224" s="37">
        <v>3.0673067217983196</v>
      </c>
      <c r="AD224" s="37">
        <v>3.3398129115103283</v>
      </c>
    </row>
    <row r="225" spans="2:30" x14ac:dyDescent="0.3">
      <c r="B225" s="28">
        <v>42956</v>
      </c>
      <c r="C225" s="25">
        <v>44.41</v>
      </c>
      <c r="D225" s="18">
        <f t="shared" si="27"/>
        <v>-6.487717975666385E-3</v>
      </c>
      <c r="E225" s="32">
        <f t="shared" ca="1" si="28"/>
        <v>-9.4081291410412476E-3</v>
      </c>
      <c r="F225" s="18">
        <f t="shared" ca="1" si="29"/>
        <v>57.761412980377756</v>
      </c>
      <c r="G225" s="19">
        <f t="shared" ca="1" si="30"/>
        <v>0.54858801962224391</v>
      </c>
      <c r="H225" s="27">
        <v>58.259998000000003</v>
      </c>
      <c r="I225" s="19">
        <f t="shared" si="31"/>
        <v>-3.431880635411666E-4</v>
      </c>
      <c r="J225" s="19">
        <f t="shared" ca="1" si="32"/>
        <v>3.5192035259813555E-3</v>
      </c>
      <c r="K225" s="19">
        <f t="shared" ca="1" si="33"/>
        <v>83.783816295345787</v>
      </c>
      <c r="L225" s="19">
        <f t="shared" ca="1" si="34"/>
        <v>-0.29381829534578685</v>
      </c>
      <c r="M225" s="19">
        <f t="shared" ca="1" si="35"/>
        <v>0.25476972427645705</v>
      </c>
      <c r="AA225" s="37">
        <v>205</v>
      </c>
      <c r="AB225" s="37">
        <v>1.8251710886488304</v>
      </c>
      <c r="AC225" s="37">
        <v>2.7954328525801686</v>
      </c>
      <c r="AD225" s="37">
        <v>3.3709768749039717</v>
      </c>
    </row>
    <row r="226" spans="2:30" x14ac:dyDescent="0.3">
      <c r="B226" s="28">
        <v>42957</v>
      </c>
      <c r="C226" s="25">
        <v>43.639999000000003</v>
      </c>
      <c r="D226" s="18">
        <f t="shared" si="27"/>
        <v>-1.7338459806349737E-2</v>
      </c>
      <c r="E226" s="32">
        <f t="shared" ca="1" si="28"/>
        <v>1.9376387212235179E-2</v>
      </c>
      <c r="F226" s="18">
        <f t="shared" ca="1" si="29"/>
        <v>59.439838157721823</v>
      </c>
      <c r="G226" s="19">
        <f t="shared" ca="1" si="30"/>
        <v>-1.1298371577218234</v>
      </c>
      <c r="H226" s="27">
        <v>56.59</v>
      </c>
      <c r="I226" s="19">
        <f t="shared" si="31"/>
        <v>-2.8664573589583742E-2</v>
      </c>
      <c r="J226" s="19">
        <f t="shared" ca="1" si="32"/>
        <v>-8.7812475226224894E-3</v>
      </c>
      <c r="K226" s="19">
        <f t="shared" ca="1" si="33"/>
        <v>82.75685166189875</v>
      </c>
      <c r="L226" s="19">
        <f t="shared" ca="1" si="34"/>
        <v>0.73314633810124974</v>
      </c>
      <c r="M226" s="19">
        <f t="shared" ca="1" si="35"/>
        <v>-0.39669081962057362</v>
      </c>
      <c r="AA226" s="37">
        <v>206</v>
      </c>
      <c r="AB226" s="37">
        <v>1.7305904067735487</v>
      </c>
      <c r="AC226" s="37">
        <v>2.7515409942231455</v>
      </c>
      <c r="AD226" s="37">
        <v>3.4434682351177854</v>
      </c>
    </row>
    <row r="227" spans="2:30" x14ac:dyDescent="0.3">
      <c r="B227" s="28">
        <v>42958</v>
      </c>
      <c r="C227" s="25">
        <v>43.540000999999997</v>
      </c>
      <c r="D227" s="18">
        <f t="shared" si="27"/>
        <v>-2.2914299333509636E-3</v>
      </c>
      <c r="E227" s="32">
        <f t="shared" ca="1" si="28"/>
        <v>5.3570949633745327E-3</v>
      </c>
      <c r="F227" s="18">
        <f t="shared" ca="1" si="29"/>
        <v>58.622373212671462</v>
      </c>
      <c r="G227" s="19">
        <f t="shared" ca="1" si="30"/>
        <v>-0.31237221267146253</v>
      </c>
      <c r="H227" s="27">
        <v>55.549999</v>
      </c>
      <c r="I227" s="19">
        <f t="shared" si="31"/>
        <v>-1.8377822936914701E-2</v>
      </c>
      <c r="J227" s="19">
        <f t="shared" ca="1" si="32"/>
        <v>2.8207352134874783E-2</v>
      </c>
      <c r="K227" s="19">
        <f t="shared" ca="1" si="33"/>
        <v>85.84502977332599</v>
      </c>
      <c r="L227" s="19">
        <f t="shared" ca="1" si="34"/>
        <v>-2.3550317733259902</v>
      </c>
      <c r="M227" s="19">
        <f t="shared" ca="1" si="35"/>
        <v>-2.6674039859974528</v>
      </c>
      <c r="AA227" s="37">
        <v>207</v>
      </c>
      <c r="AB227" s="37">
        <v>1.6995944355250283</v>
      </c>
      <c r="AC227" s="37">
        <v>2.7846992309556726</v>
      </c>
      <c r="AD227" s="37">
        <v>3.2704983519461424</v>
      </c>
    </row>
    <row r="228" spans="2:30" x14ac:dyDescent="0.3">
      <c r="B228" s="28">
        <v>42961</v>
      </c>
      <c r="C228" s="25">
        <v>44.119999</v>
      </c>
      <c r="D228" s="18">
        <f t="shared" si="27"/>
        <v>1.3321037819912007E-2</v>
      </c>
      <c r="E228" s="32">
        <f t="shared" ca="1" si="28"/>
        <v>1.6090086513756836E-2</v>
      </c>
      <c r="F228" s="18">
        <f t="shared" ca="1" si="29"/>
        <v>59.24821396070724</v>
      </c>
      <c r="G228" s="19">
        <f t="shared" ca="1" si="30"/>
        <v>-0.93821296070724003</v>
      </c>
      <c r="H228" s="27">
        <v>57.07</v>
      </c>
      <c r="I228" s="19">
        <f t="shared" si="31"/>
        <v>2.7362754768006425E-2</v>
      </c>
      <c r="J228" s="19">
        <f t="shared" ca="1" si="32"/>
        <v>-1.6687476213132664E-2</v>
      </c>
      <c r="K228" s="19">
        <f t="shared" ca="1" si="33"/>
        <v>82.096760644340506</v>
      </c>
      <c r="L228" s="19">
        <f t="shared" ca="1" si="34"/>
        <v>1.3932373556594939</v>
      </c>
      <c r="M228" s="19">
        <f t="shared" ca="1" si="35"/>
        <v>0.45502439495225389</v>
      </c>
      <c r="AA228" s="37">
        <v>208</v>
      </c>
      <c r="AB228" s="37">
        <v>1.8657349256215148</v>
      </c>
      <c r="AC228" s="37">
        <v>3.0012098256320159</v>
      </c>
      <c r="AD228" s="37">
        <v>3.2065100343883413</v>
      </c>
    </row>
    <row r="229" spans="2:30" x14ac:dyDescent="0.3">
      <c r="B229" s="28">
        <v>42962</v>
      </c>
      <c r="C229" s="25">
        <v>43.810001</v>
      </c>
      <c r="D229" s="18">
        <f t="shared" si="27"/>
        <v>-7.026246759434418E-3</v>
      </c>
      <c r="E229" s="32">
        <f t="shared" ca="1" si="28"/>
        <v>5.7882005682650039E-3</v>
      </c>
      <c r="F229" s="18">
        <f t="shared" ca="1" si="29"/>
        <v>58.647510980923734</v>
      </c>
      <c r="G229" s="19">
        <f t="shared" ca="1" si="30"/>
        <v>-0.33750998092373408</v>
      </c>
      <c r="H229" s="27">
        <v>56.689999</v>
      </c>
      <c r="I229" s="19">
        <f t="shared" si="31"/>
        <v>-6.6585070965481385E-3</v>
      </c>
      <c r="J229" s="19">
        <f t="shared" ca="1" si="32"/>
        <v>4.0461615169469514E-2</v>
      </c>
      <c r="K229" s="19">
        <f t="shared" ca="1" si="33"/>
        <v>86.868138169575772</v>
      </c>
      <c r="L229" s="19">
        <f t="shared" ca="1" si="34"/>
        <v>-3.3781401695757722</v>
      </c>
      <c r="M229" s="19">
        <f t="shared" ca="1" si="35"/>
        <v>-3.7156501504995063</v>
      </c>
      <c r="AA229" s="37">
        <v>209</v>
      </c>
      <c r="AB229" s="37">
        <v>1.7972730543358317</v>
      </c>
      <c r="AC229" s="37">
        <v>2.9342354239238841</v>
      </c>
      <c r="AD229" s="37">
        <v>3.3300786158039788</v>
      </c>
    </row>
    <row r="230" spans="2:30" x14ac:dyDescent="0.3">
      <c r="B230" s="28">
        <v>42963</v>
      </c>
      <c r="C230" s="25">
        <v>43.139999000000003</v>
      </c>
      <c r="D230" s="18">
        <f t="shared" si="27"/>
        <v>-1.5293357331811031E-2</v>
      </c>
      <c r="E230" s="32">
        <f t="shared" ca="1" si="28"/>
        <v>4.4933631031378214E-3</v>
      </c>
      <c r="F230" s="18">
        <f t="shared" ca="1" si="29"/>
        <v>58.57200900703733</v>
      </c>
      <c r="G230" s="19">
        <f t="shared" ca="1" si="30"/>
        <v>-0.26200800703733051</v>
      </c>
      <c r="H230" s="27">
        <v>57.720001000000003</v>
      </c>
      <c r="I230" s="19">
        <f t="shared" si="31"/>
        <v>1.8169024839813419E-2</v>
      </c>
      <c r="J230" s="19">
        <f t="shared" ca="1" si="32"/>
        <v>1.4424735859140423E-2</v>
      </c>
      <c r="K230" s="19">
        <f t="shared" ca="1" si="33"/>
        <v>84.694319168030162</v>
      </c>
      <c r="L230" s="19">
        <f t="shared" ca="1" si="34"/>
        <v>-1.2043211680301624</v>
      </c>
      <c r="M230" s="19">
        <f t="shared" ca="1" si="35"/>
        <v>-1.4663291750674929</v>
      </c>
      <c r="AA230" s="37">
        <v>210</v>
      </c>
      <c r="AB230" s="37">
        <v>1.8369907022008765</v>
      </c>
      <c r="AC230" s="37">
        <v>2.8042091832987603</v>
      </c>
      <c r="AD230" s="37">
        <v>3.4833102903804467</v>
      </c>
    </row>
    <row r="231" spans="2:30" x14ac:dyDescent="0.3">
      <c r="B231" s="28">
        <v>42964</v>
      </c>
      <c r="C231" s="25">
        <v>42.810001</v>
      </c>
      <c r="D231" s="18">
        <f t="shared" si="27"/>
        <v>-7.6494670294267042E-3</v>
      </c>
      <c r="E231" s="32">
        <f t="shared" ca="1" si="28"/>
        <v>-4.1302687338763853E-3</v>
      </c>
      <c r="F231" s="18">
        <f t="shared" ca="1" si="29"/>
        <v>58.0691650259974</v>
      </c>
      <c r="G231" s="19">
        <f t="shared" ca="1" si="30"/>
        <v>0.24083597400260004</v>
      </c>
      <c r="H231" s="27">
        <v>57.279998999999997</v>
      </c>
      <c r="I231" s="19">
        <f t="shared" si="31"/>
        <v>-7.6230421409730909E-3</v>
      </c>
      <c r="J231" s="19">
        <f t="shared" ca="1" si="32"/>
        <v>-3.4987652737278219E-2</v>
      </c>
      <c r="K231" s="19">
        <f t="shared" ca="1" si="33"/>
        <v>80.568878942939946</v>
      </c>
      <c r="L231" s="19">
        <f t="shared" ca="1" si="34"/>
        <v>2.9211190570600536</v>
      </c>
      <c r="M231" s="19">
        <f t="shared" ca="1" si="35"/>
        <v>3.1619550310626536</v>
      </c>
      <c r="AA231" s="37">
        <v>211</v>
      </c>
      <c r="AB231" s="37">
        <v>1.6778855153254184</v>
      </c>
      <c r="AC231" s="37">
        <v>2.9022869661775097</v>
      </c>
      <c r="AD231" s="37">
        <v>3.2217678878420108</v>
      </c>
    </row>
    <row r="232" spans="2:30" x14ac:dyDescent="0.3">
      <c r="B232" s="28">
        <v>42965</v>
      </c>
      <c r="C232" s="25">
        <v>43.029998999999997</v>
      </c>
      <c r="D232" s="18">
        <f t="shared" si="27"/>
        <v>5.1389393800760352E-3</v>
      </c>
      <c r="E232" s="32">
        <f t="shared" ca="1" si="28"/>
        <v>-3.7894255189490945E-3</v>
      </c>
      <c r="F232" s="18">
        <f t="shared" ca="1" si="29"/>
        <v>58.089039594200649</v>
      </c>
      <c r="G232" s="19">
        <f t="shared" ca="1" si="30"/>
        <v>0.22096140579935053</v>
      </c>
      <c r="H232" s="27">
        <v>57.650002000000001</v>
      </c>
      <c r="I232" s="19">
        <f t="shared" si="31"/>
        <v>6.4595496937771557E-3</v>
      </c>
      <c r="J232" s="19">
        <f t="shared" ca="1" si="32"/>
        <v>-3.7840873423617945E-3</v>
      </c>
      <c r="K232" s="19">
        <f t="shared" ca="1" si="33"/>
        <v>83.174064555354391</v>
      </c>
      <c r="L232" s="19">
        <f t="shared" ca="1" si="34"/>
        <v>0.31593344464560857</v>
      </c>
      <c r="M232" s="19">
        <f t="shared" ca="1" si="35"/>
        <v>0.5368948504449591</v>
      </c>
      <c r="AA232" s="37">
        <v>212</v>
      </c>
      <c r="AB232" s="37">
        <v>1.8058462972453846</v>
      </c>
      <c r="AC232" s="37">
        <v>3.0581679159670285</v>
      </c>
      <c r="AD232" s="37">
        <v>3.360849988317717</v>
      </c>
    </row>
    <row r="233" spans="2:30" x14ac:dyDescent="0.3">
      <c r="B233" s="28">
        <v>42968</v>
      </c>
      <c r="C233" s="25">
        <v>43.400002000000001</v>
      </c>
      <c r="D233" s="18">
        <f t="shared" si="27"/>
        <v>8.5987220218155525E-3</v>
      </c>
      <c r="E233" s="32">
        <f t="shared" ca="1" si="28"/>
        <v>-2.7057536911849682E-3</v>
      </c>
      <c r="F233" s="18">
        <f t="shared" ca="1" si="29"/>
        <v>58.152228499561247</v>
      </c>
      <c r="G233" s="19">
        <f t="shared" ca="1" si="30"/>
        <v>0.15777250043875313</v>
      </c>
      <c r="H233" s="27">
        <v>58.130001</v>
      </c>
      <c r="I233" s="19">
        <f t="shared" si="31"/>
        <v>8.3260881760247596E-3</v>
      </c>
      <c r="J233" s="19">
        <f t="shared" ca="1" si="32"/>
        <v>9.230682015914345E-3</v>
      </c>
      <c r="K233" s="19">
        <f t="shared" ca="1" si="33"/>
        <v>84.260667623047311</v>
      </c>
      <c r="L233" s="19">
        <f t="shared" ca="1" si="34"/>
        <v>-0.77066962304731135</v>
      </c>
      <c r="M233" s="19">
        <f t="shared" ca="1" si="35"/>
        <v>-0.61289712260855822</v>
      </c>
      <c r="AA233" s="37">
        <v>213</v>
      </c>
      <c r="AB233" s="37">
        <v>1.7589872733387084</v>
      </c>
      <c r="AC233" s="37">
        <v>2.7828237092630945</v>
      </c>
      <c r="AD233" s="37">
        <v>3.2025071968061556</v>
      </c>
    </row>
    <row r="234" spans="2:30" x14ac:dyDescent="0.3">
      <c r="B234" s="28">
        <v>42969</v>
      </c>
      <c r="C234" s="25">
        <v>43.619999</v>
      </c>
      <c r="D234" s="18">
        <f t="shared" si="27"/>
        <v>5.0690550659422406E-3</v>
      </c>
      <c r="E234" s="32">
        <f t="shared" ca="1" si="28"/>
        <v>2.1450426859357656E-2</v>
      </c>
      <c r="F234" s="18">
        <f t="shared" ca="1" si="29"/>
        <v>59.560775411619566</v>
      </c>
      <c r="G234" s="19">
        <f t="shared" ca="1" si="30"/>
        <v>-1.2507744116195667</v>
      </c>
      <c r="H234" s="27">
        <v>59.189999</v>
      </c>
      <c r="I234" s="19">
        <f t="shared" si="31"/>
        <v>1.8234955819113052E-2</v>
      </c>
      <c r="J234" s="19">
        <f t="shared" ca="1" si="32"/>
        <v>2.8790447162115613E-2</v>
      </c>
      <c r="K234" s="19">
        <f t="shared" ca="1" si="33"/>
        <v>85.893712375984137</v>
      </c>
      <c r="L234" s="19">
        <f t="shared" ca="1" si="34"/>
        <v>-2.4037143759841371</v>
      </c>
      <c r="M234" s="19">
        <f t="shared" ca="1" si="35"/>
        <v>-3.6544887876037038</v>
      </c>
      <c r="AA234" s="37">
        <v>214</v>
      </c>
      <c r="AB234" s="37">
        <v>1.7502363443538347</v>
      </c>
      <c r="AC234" s="37">
        <v>2.8065373769764648</v>
      </c>
      <c r="AD234" s="37">
        <v>3.386087887682196</v>
      </c>
    </row>
    <row r="235" spans="2:30" x14ac:dyDescent="0.3">
      <c r="B235" s="28">
        <v>42970</v>
      </c>
      <c r="C235" s="25">
        <v>43.75</v>
      </c>
      <c r="D235" s="18">
        <f t="shared" si="27"/>
        <v>2.9803072668570518E-3</v>
      </c>
      <c r="E235" s="32">
        <f t="shared" ca="1" si="28"/>
        <v>-5.6833634558885737E-3</v>
      </c>
      <c r="F235" s="18">
        <f t="shared" ca="1" si="29"/>
        <v>57.978604071203769</v>
      </c>
      <c r="G235" s="19">
        <f t="shared" ca="1" si="30"/>
        <v>0.33139692879623084</v>
      </c>
      <c r="H235" s="27">
        <v>58.880001</v>
      </c>
      <c r="I235" s="19">
        <f t="shared" si="31"/>
        <v>-5.2373374765557479E-3</v>
      </c>
      <c r="J235" s="19">
        <f t="shared" ca="1" si="32"/>
        <v>2.4309440041056729E-2</v>
      </c>
      <c r="K235" s="19">
        <f t="shared" ca="1" si="33"/>
        <v>85.51959310040894</v>
      </c>
      <c r="L235" s="19">
        <f t="shared" ca="1" si="34"/>
        <v>-2.0295951004089403</v>
      </c>
      <c r="M235" s="19">
        <f t="shared" ca="1" si="35"/>
        <v>-1.6981981716127095</v>
      </c>
      <c r="AA235" s="37">
        <v>215</v>
      </c>
      <c r="AB235" s="37">
        <v>1.7754175081961836</v>
      </c>
      <c r="AC235" s="37">
        <v>2.8605350474715245</v>
      </c>
      <c r="AD235" s="37">
        <v>3.2135433365979051</v>
      </c>
    </row>
    <row r="236" spans="2:30" x14ac:dyDescent="0.3">
      <c r="B236" s="28">
        <v>42971</v>
      </c>
      <c r="C236" s="25">
        <v>44.150002000000001</v>
      </c>
      <c r="D236" s="18">
        <f t="shared" si="27"/>
        <v>9.1429028571428095E-3</v>
      </c>
      <c r="E236" s="32">
        <f t="shared" ca="1" si="28"/>
        <v>1.082284816012871E-2</v>
      </c>
      <c r="F236" s="18">
        <f t="shared" ca="1" si="29"/>
        <v>58.94108128703995</v>
      </c>
      <c r="G236" s="19">
        <f t="shared" ca="1" si="30"/>
        <v>-0.63108028703994989</v>
      </c>
      <c r="H236" s="27">
        <v>59.630001</v>
      </c>
      <c r="I236" s="19">
        <f t="shared" si="31"/>
        <v>1.2737771522796093E-2</v>
      </c>
      <c r="J236" s="19">
        <f t="shared" ca="1" si="32"/>
        <v>-4.9682628011785905E-4</v>
      </c>
      <c r="K236" s="19">
        <f t="shared" ca="1" si="33"/>
        <v>83.448517974866618</v>
      </c>
      <c r="L236" s="19">
        <f t="shared" ca="1" si="34"/>
        <v>4.1480025133381559E-2</v>
      </c>
      <c r="M236" s="19">
        <f t="shared" ca="1" si="35"/>
        <v>-0.58960026190656833</v>
      </c>
      <c r="AA236" s="37">
        <v>216</v>
      </c>
      <c r="AB236" s="37">
        <v>1.8471044973896988</v>
      </c>
      <c r="AC236" s="37">
        <v>2.8028193010843281</v>
      </c>
      <c r="AD236" s="37">
        <v>3.5624409297277184</v>
      </c>
    </row>
    <row r="237" spans="2:30" x14ac:dyDescent="0.3">
      <c r="B237" s="28">
        <v>42972</v>
      </c>
      <c r="C237" s="25">
        <v>44.419998</v>
      </c>
      <c r="D237" s="18">
        <f t="shared" si="27"/>
        <v>6.1154244115322332E-3</v>
      </c>
      <c r="E237" s="32">
        <f t="shared" ca="1" si="28"/>
        <v>-1.92625730698524E-2</v>
      </c>
      <c r="F237" s="18">
        <f t="shared" ca="1" si="29"/>
        <v>57.186800345034335</v>
      </c>
      <c r="G237" s="19">
        <f t="shared" ca="1" si="30"/>
        <v>1.1232006549656646</v>
      </c>
      <c r="H237" s="27">
        <v>59.650002000000001</v>
      </c>
      <c r="I237" s="19">
        <f t="shared" si="31"/>
        <v>3.3541840792516986E-4</v>
      </c>
      <c r="J237" s="19">
        <f t="shared" ca="1" si="32"/>
        <v>-3.2099534360176998E-2</v>
      </c>
      <c r="K237" s="19">
        <f t="shared" ca="1" si="33"/>
        <v>80.810007940467898</v>
      </c>
      <c r="L237" s="19">
        <f t="shared" ca="1" si="34"/>
        <v>2.679990059532102</v>
      </c>
      <c r="M237" s="19">
        <f t="shared" ca="1" si="35"/>
        <v>3.8031907144977666</v>
      </c>
      <c r="AA237" s="37">
        <v>217</v>
      </c>
      <c r="AB237" s="37">
        <v>1.8151493021622001</v>
      </c>
      <c r="AC237" s="37">
        <v>2.6651882496579722</v>
      </c>
      <c r="AD237" s="37">
        <v>3.350829975163768</v>
      </c>
    </row>
    <row r="238" spans="2:30" x14ac:dyDescent="0.3">
      <c r="B238" s="28">
        <v>42975</v>
      </c>
      <c r="C238" s="25">
        <v>43.709999000000003</v>
      </c>
      <c r="D238" s="18">
        <f t="shared" si="27"/>
        <v>-1.5983769292380323E-2</v>
      </c>
      <c r="E238" s="32">
        <f t="shared" ca="1" si="28"/>
        <v>-5.3404375635810273E-3</v>
      </c>
      <c r="F238" s="18">
        <f t="shared" ca="1" si="29"/>
        <v>57.998600080327151</v>
      </c>
      <c r="G238" s="19">
        <f t="shared" ca="1" si="30"/>
        <v>0.31140091967284889</v>
      </c>
      <c r="H238" s="27">
        <v>59.970001000000003</v>
      </c>
      <c r="I238" s="19">
        <f t="shared" si="31"/>
        <v>5.364610046450613E-3</v>
      </c>
      <c r="J238" s="19">
        <f t="shared" ca="1" si="32"/>
        <v>2.0234162725956059E-2</v>
      </c>
      <c r="K238" s="19">
        <f t="shared" ca="1" si="33"/>
        <v>85.179348205521748</v>
      </c>
      <c r="L238" s="19">
        <f t="shared" ca="1" si="34"/>
        <v>-1.6893502055217482</v>
      </c>
      <c r="M238" s="19">
        <f t="shared" ca="1" si="35"/>
        <v>-1.3779492858488993</v>
      </c>
      <c r="AA238" s="37">
        <v>218</v>
      </c>
      <c r="AB238" s="37">
        <v>1.8097336002872773</v>
      </c>
      <c r="AC238" s="37">
        <v>2.8369033441496279</v>
      </c>
      <c r="AD238" s="37">
        <v>3.5628201441381986</v>
      </c>
    </row>
    <row r="239" spans="2:30" x14ac:dyDescent="0.3">
      <c r="B239" s="28">
        <v>42976</v>
      </c>
      <c r="C239" s="25">
        <v>43.360000999999997</v>
      </c>
      <c r="D239" s="18">
        <f t="shared" si="27"/>
        <v>-8.0072754062521234E-3</v>
      </c>
      <c r="E239" s="32">
        <f t="shared" ca="1" si="28"/>
        <v>-1.2505913916730433E-2</v>
      </c>
      <c r="F239" s="18">
        <f t="shared" ca="1" si="29"/>
        <v>57.580781147009539</v>
      </c>
      <c r="G239" s="19">
        <f t="shared" ca="1" si="30"/>
        <v>0.72921985299046099</v>
      </c>
      <c r="H239" s="27">
        <v>59.5</v>
      </c>
      <c r="I239" s="19">
        <f t="shared" si="31"/>
        <v>-7.8372685036307566E-3</v>
      </c>
      <c r="J239" s="19">
        <f t="shared" ca="1" si="32"/>
        <v>1.9129204474081212E-3</v>
      </c>
      <c r="K239" s="19">
        <f t="shared" ca="1" si="33"/>
        <v>83.649707724328266</v>
      </c>
      <c r="L239" s="19">
        <f t="shared" ca="1" si="34"/>
        <v>-0.15970972432826613</v>
      </c>
      <c r="M239" s="19">
        <f t="shared" ca="1" si="35"/>
        <v>0.56951012866219486</v>
      </c>
      <c r="AA239" s="37">
        <v>219</v>
      </c>
      <c r="AB239" s="37">
        <v>1.8252122166788378</v>
      </c>
      <c r="AC239" s="37">
        <v>2.6905439351842202</v>
      </c>
      <c r="AD239" s="37">
        <v>3.2930045169072675</v>
      </c>
    </row>
    <row r="240" spans="2:30" x14ac:dyDescent="0.3">
      <c r="B240" s="28">
        <v>42977</v>
      </c>
      <c r="C240" s="25">
        <v>42.799999</v>
      </c>
      <c r="D240" s="18">
        <f t="shared" si="27"/>
        <v>-1.2915174978893496E-2</v>
      </c>
      <c r="E240" s="32">
        <f t="shared" ca="1" si="28"/>
        <v>1.9577264894071474E-2</v>
      </c>
      <c r="F240" s="18">
        <f t="shared" ca="1" si="29"/>
        <v>59.451551335550576</v>
      </c>
      <c r="G240" s="19">
        <f t="shared" ca="1" si="30"/>
        <v>-1.1415503355505763</v>
      </c>
      <c r="H240" s="27">
        <v>59.439999</v>
      </c>
      <c r="I240" s="19">
        <f t="shared" si="31"/>
        <v>-1.0084201680672367E-3</v>
      </c>
      <c r="J240" s="19">
        <f t="shared" ca="1" si="32"/>
        <v>2.6761630192196198E-2</v>
      </c>
      <c r="K240" s="19">
        <f t="shared" ca="1" si="33"/>
        <v>85.724326451223206</v>
      </c>
      <c r="L240" s="19">
        <f t="shared" ca="1" si="34"/>
        <v>-2.234328451223206</v>
      </c>
      <c r="M240" s="19">
        <f t="shared" ca="1" si="35"/>
        <v>-3.3758787867737823</v>
      </c>
      <c r="AA240" s="37">
        <v>220</v>
      </c>
      <c r="AB240" s="37">
        <v>1.7759787891355443</v>
      </c>
      <c r="AC240" s="37">
        <v>2.9338705462574293</v>
      </c>
      <c r="AD240" s="37">
        <v>3.3812974856785609</v>
      </c>
    </row>
    <row r="241" spans="2:30" x14ac:dyDescent="0.3">
      <c r="B241" s="28">
        <v>42978</v>
      </c>
      <c r="C241" s="25">
        <v>43.34</v>
      </c>
      <c r="D241" s="18">
        <f t="shared" si="27"/>
        <v>1.2616846089178679E-2</v>
      </c>
      <c r="E241" s="32">
        <f t="shared" ca="1" si="28"/>
        <v>4.6237196892440848E-4</v>
      </c>
      <c r="F241" s="18">
        <f t="shared" ca="1" si="29"/>
        <v>58.336961909970363</v>
      </c>
      <c r="G241" s="19">
        <f t="shared" ca="1" si="30"/>
        <v>-2.6960909970362934E-2</v>
      </c>
      <c r="H241" s="27">
        <v>58.939999</v>
      </c>
      <c r="I241" s="19">
        <f t="shared" si="31"/>
        <v>-8.411844017695902E-3</v>
      </c>
      <c r="J241" s="19">
        <f t="shared" ca="1" si="32"/>
        <v>2.5354985814307122E-2</v>
      </c>
      <c r="K241" s="19">
        <f t="shared" ca="1" si="33"/>
        <v>85.606885714926534</v>
      </c>
      <c r="L241" s="19">
        <f t="shared" ca="1" si="34"/>
        <v>-2.1168877149265342</v>
      </c>
      <c r="M241" s="19">
        <f t="shared" ca="1" si="35"/>
        <v>-2.1438486248968971</v>
      </c>
      <c r="AA241" s="37">
        <v>221</v>
      </c>
      <c r="AB241" s="37">
        <v>1.8688884757027593</v>
      </c>
      <c r="AC241" s="37">
        <v>2.8888403353302707</v>
      </c>
      <c r="AD241" s="37">
        <v>3.5547157747512412</v>
      </c>
    </row>
    <row r="242" spans="2:30" x14ac:dyDescent="0.3">
      <c r="B242" s="28">
        <v>42979</v>
      </c>
      <c r="C242" s="25">
        <v>43.369999</v>
      </c>
      <c r="D242" s="18">
        <f t="shared" si="27"/>
        <v>6.9217812644195575E-4</v>
      </c>
      <c r="E242" s="32">
        <f t="shared" ca="1" si="28"/>
        <v>9.7922551746061088E-3</v>
      </c>
      <c r="F242" s="18">
        <f t="shared" ca="1" si="29"/>
        <v>58.88098740902354</v>
      </c>
      <c r="G242" s="19">
        <f t="shared" ca="1" si="30"/>
        <v>-0.57098640902353992</v>
      </c>
      <c r="H242" s="27">
        <v>59.18</v>
      </c>
      <c r="I242" s="19">
        <f t="shared" si="31"/>
        <v>4.0719545991170225E-3</v>
      </c>
      <c r="J242" s="19">
        <f t="shared" ca="1" si="32"/>
        <v>-1.4941200114908529E-2</v>
      </c>
      <c r="K242" s="19">
        <f t="shared" ca="1" si="33"/>
        <v>82.242557232288689</v>
      </c>
      <c r="L242" s="19">
        <f t="shared" ca="1" si="34"/>
        <v>1.2474407677113106</v>
      </c>
      <c r="M242" s="19">
        <f t="shared" ca="1" si="35"/>
        <v>0.67645435868777071</v>
      </c>
      <c r="AA242" s="37">
        <v>222</v>
      </c>
      <c r="AB242" s="37">
        <v>1.801103800408024</v>
      </c>
      <c r="AC242" s="37">
        <v>2.8301569594065783</v>
      </c>
      <c r="AD242" s="37">
        <v>3.4227343653594415</v>
      </c>
    </row>
    <row r="243" spans="2:30" x14ac:dyDescent="0.3">
      <c r="B243" s="28">
        <v>42982</v>
      </c>
      <c r="C243" s="25">
        <v>43.25</v>
      </c>
      <c r="D243" s="18">
        <f t="shared" si="27"/>
        <v>-2.7668665613757026E-3</v>
      </c>
      <c r="E243" s="32">
        <f t="shared" ca="1" si="28"/>
        <v>2.1555642353089785E-3</v>
      </c>
      <c r="F243" s="18">
        <f t="shared" ca="1" si="29"/>
        <v>58.435691952716432</v>
      </c>
      <c r="G243" s="19">
        <f t="shared" ca="1" si="30"/>
        <v>-0.12569095271643249</v>
      </c>
      <c r="H243" s="27">
        <v>59.41</v>
      </c>
      <c r="I243" s="19">
        <f t="shared" si="31"/>
        <v>3.8864481243663374E-3</v>
      </c>
      <c r="J243" s="19">
        <f t="shared" ca="1" si="32"/>
        <v>-1.1669548367836237E-2</v>
      </c>
      <c r="K243" s="19">
        <f t="shared" ca="1" si="33"/>
        <v>82.515707430108449</v>
      </c>
      <c r="L243" s="19">
        <f t="shared" ca="1" si="34"/>
        <v>0.97429056989155072</v>
      </c>
      <c r="M243" s="19">
        <f t="shared" ca="1" si="35"/>
        <v>0.84859961717511823</v>
      </c>
      <c r="AA243" s="37">
        <v>223</v>
      </c>
      <c r="AB243" s="37">
        <v>1.8586320406103283</v>
      </c>
      <c r="AC243" s="37">
        <v>2.8570464963322504</v>
      </c>
      <c r="AD243" s="37">
        <v>3.3489985552955246</v>
      </c>
    </row>
    <row r="244" spans="2:30" x14ac:dyDescent="0.3">
      <c r="B244" s="28">
        <v>42983</v>
      </c>
      <c r="C244" s="25">
        <v>43</v>
      </c>
      <c r="D244" s="18">
        <f t="shared" si="27"/>
        <v>-5.7803468208093012E-3</v>
      </c>
      <c r="E244" s="32">
        <f t="shared" ca="1" si="28"/>
        <v>-2.7593659738486449E-2</v>
      </c>
      <c r="F244" s="18">
        <f t="shared" ca="1" si="29"/>
        <v>56.701014673055191</v>
      </c>
      <c r="G244" s="19">
        <f t="shared" ca="1" si="30"/>
        <v>1.6089863269448088</v>
      </c>
      <c r="H244" s="27">
        <v>59.23</v>
      </c>
      <c r="I244" s="19">
        <f t="shared" si="31"/>
        <v>-3.0297929641474042E-3</v>
      </c>
      <c r="J244" s="19">
        <f t="shared" ca="1" si="32"/>
        <v>-2.4444026784391004E-2</v>
      </c>
      <c r="K244" s="19">
        <f t="shared" ca="1" si="33"/>
        <v>81.449166252659239</v>
      </c>
      <c r="L244" s="19">
        <f t="shared" ca="1" si="34"/>
        <v>2.0408317473407607</v>
      </c>
      <c r="M244" s="19">
        <f t="shared" ca="1" si="35"/>
        <v>3.6498180742855695</v>
      </c>
      <c r="AA244" s="37">
        <v>224</v>
      </c>
      <c r="AB244" s="37">
        <v>1.8127820659431411</v>
      </c>
      <c r="AC244" s="37">
        <v>2.9051104195927406</v>
      </c>
      <c r="AD244" s="37">
        <v>3.4832401228985463</v>
      </c>
    </row>
    <row r="245" spans="2:30" x14ac:dyDescent="0.3">
      <c r="B245" s="28">
        <v>42984</v>
      </c>
      <c r="C245" s="25">
        <v>43.32</v>
      </c>
      <c r="D245" s="18">
        <f t="shared" si="27"/>
        <v>7.4418604651163012E-3</v>
      </c>
      <c r="E245" s="32">
        <f t="shared" ca="1" si="28"/>
        <v>2.0062709695054602E-2</v>
      </c>
      <c r="F245" s="18">
        <f t="shared" ca="1" si="29"/>
        <v>59.479857622381338</v>
      </c>
      <c r="G245" s="19">
        <f t="shared" ca="1" si="30"/>
        <v>-1.1698566223813387</v>
      </c>
      <c r="H245" s="27">
        <v>58.939999</v>
      </c>
      <c r="I245" s="19">
        <f t="shared" si="31"/>
        <v>-4.8961843660306759E-3</v>
      </c>
      <c r="J245" s="19">
        <f t="shared" ca="1" si="32"/>
        <v>8.9866421828206245E-3</v>
      </c>
      <c r="K245" s="19">
        <f t="shared" ca="1" si="33"/>
        <v>84.240292737870405</v>
      </c>
      <c r="L245" s="19">
        <f t="shared" ca="1" si="34"/>
        <v>-0.75029473787040502</v>
      </c>
      <c r="M245" s="19">
        <f t="shared" ca="1" si="35"/>
        <v>-1.9201513602517437</v>
      </c>
      <c r="AA245" s="37">
        <v>225</v>
      </c>
      <c r="AB245" s="37">
        <v>1.8771188267340255</v>
      </c>
      <c r="AC245" s="37">
        <v>2.9510897883486695</v>
      </c>
      <c r="AD245" s="37">
        <v>3.1806638336091941</v>
      </c>
    </row>
    <row r="246" spans="2:30" x14ac:dyDescent="0.3">
      <c r="B246" s="28">
        <v>42985</v>
      </c>
      <c r="C246" s="25">
        <v>43.5</v>
      </c>
      <c r="D246" s="18">
        <f t="shared" si="27"/>
        <v>4.1551246537396835E-3</v>
      </c>
      <c r="E246" s="32">
        <f t="shared" ca="1" si="28"/>
        <v>-1.8904148928140786E-2</v>
      </c>
      <c r="F246" s="18">
        <f t="shared" ca="1" si="29"/>
        <v>57.207700057095963</v>
      </c>
      <c r="G246" s="19">
        <f t="shared" ca="1" si="30"/>
        <v>1.1023009429040371</v>
      </c>
      <c r="H246" s="27">
        <v>59.27</v>
      </c>
      <c r="I246" s="19">
        <f t="shared" si="31"/>
        <v>5.5989312113833289E-3</v>
      </c>
      <c r="J246" s="19">
        <f t="shared" ca="1" si="32"/>
        <v>1.3831134725650967E-2</v>
      </c>
      <c r="K246" s="19">
        <f t="shared" ca="1" si="33"/>
        <v>84.644759410582338</v>
      </c>
      <c r="L246" s="19">
        <f t="shared" ca="1" si="34"/>
        <v>-1.1547614105823385</v>
      </c>
      <c r="M246" s="19">
        <f t="shared" ca="1" si="35"/>
        <v>-5.246046767830137E-2</v>
      </c>
      <c r="AA246" s="37">
        <v>226</v>
      </c>
      <c r="AB246" s="37">
        <v>1.7314760618174656</v>
      </c>
      <c r="AC246" s="37">
        <v>2.6944723762206126</v>
      </c>
      <c r="AD246" s="37">
        <v>3.1848481321277644</v>
      </c>
    </row>
    <row r="247" spans="2:30" x14ac:dyDescent="0.3">
      <c r="B247" s="28">
        <v>42986</v>
      </c>
      <c r="C247" s="25">
        <v>43.32</v>
      </c>
      <c r="D247" s="18">
        <f t="shared" si="27"/>
        <v>-4.1379310344827891E-3</v>
      </c>
      <c r="E247" s="32">
        <f t="shared" ca="1" si="28"/>
        <v>7.5489797570129219E-3</v>
      </c>
      <c r="F247" s="18">
        <f t="shared" ca="1" si="29"/>
        <v>58.750182017180407</v>
      </c>
      <c r="G247" s="19">
        <f t="shared" ca="1" si="30"/>
        <v>-0.44018101718040725</v>
      </c>
      <c r="H247" s="27">
        <v>58.07</v>
      </c>
      <c r="I247" s="19">
        <f t="shared" si="31"/>
        <v>-2.0246330352623687E-2</v>
      </c>
      <c r="J247" s="19">
        <f t="shared" ca="1" si="32"/>
        <v>-1.1524242474593911E-3</v>
      </c>
      <c r="K247" s="19">
        <f t="shared" ca="1" si="33"/>
        <v>83.393782101884455</v>
      </c>
      <c r="L247" s="19">
        <f t="shared" ca="1" si="34"/>
        <v>9.6215898115545428E-2</v>
      </c>
      <c r="M247" s="19">
        <f t="shared" ca="1" si="35"/>
        <v>-0.34396511906486182</v>
      </c>
      <c r="AA247" s="37">
        <v>227</v>
      </c>
      <c r="AB247" s="37">
        <v>1.7423942251279896</v>
      </c>
      <c r="AC247" s="37">
        <v>2.9332578268474507</v>
      </c>
      <c r="AD247" s="37">
        <v>3.4215500422566412</v>
      </c>
    </row>
    <row r="248" spans="2:30" x14ac:dyDescent="0.3">
      <c r="B248" s="28">
        <v>42989</v>
      </c>
      <c r="C248" s="25">
        <v>43.790000999999997</v>
      </c>
      <c r="D248" s="18">
        <f t="shared" si="27"/>
        <v>1.0849515235457075E-2</v>
      </c>
      <c r="E248" s="32">
        <f t="shared" ca="1" si="28"/>
        <v>-5.1438115341560292E-3</v>
      </c>
      <c r="F248" s="18">
        <f t="shared" ca="1" si="29"/>
        <v>58.010065344299555</v>
      </c>
      <c r="G248" s="19">
        <f t="shared" ca="1" si="30"/>
        <v>0.29993565570044467</v>
      </c>
      <c r="H248" s="27">
        <v>58.220001000000003</v>
      </c>
      <c r="I248" s="19">
        <f t="shared" si="31"/>
        <v>2.583106595488216E-3</v>
      </c>
      <c r="J248" s="19">
        <f t="shared" ca="1" si="32"/>
        <v>1.679098712061752E-2</v>
      </c>
      <c r="K248" s="19">
        <f t="shared" ca="1" si="33"/>
        <v>84.891877481118385</v>
      </c>
      <c r="L248" s="19">
        <f t="shared" ca="1" si="34"/>
        <v>-1.4018794811183852</v>
      </c>
      <c r="M248" s="19">
        <f t="shared" ca="1" si="35"/>
        <v>-1.1019438254179406</v>
      </c>
      <c r="AA248" s="37">
        <v>228</v>
      </c>
      <c r="AB248" s="37">
        <v>1.708244568034631</v>
      </c>
      <c r="AC248" s="37">
        <v>2.9492952931789955</v>
      </c>
      <c r="AD248" s="37">
        <v>3.362167886087291</v>
      </c>
    </row>
    <row r="249" spans="2:30" x14ac:dyDescent="0.3">
      <c r="B249" s="28">
        <v>42990</v>
      </c>
      <c r="C249" s="25">
        <v>44.240001999999997</v>
      </c>
      <c r="D249" s="18">
        <f t="shared" si="27"/>
        <v>1.0276341395835997E-2</v>
      </c>
      <c r="E249" s="32">
        <f t="shared" ca="1" si="28"/>
        <v>-1.6721622485343698E-2</v>
      </c>
      <c r="F249" s="18">
        <f t="shared" ca="1" si="29"/>
        <v>57.334963176157984</v>
      </c>
      <c r="G249" s="19">
        <f t="shared" ca="1" si="30"/>
        <v>0.97503782384201543</v>
      </c>
      <c r="H249" s="27">
        <v>58.139999000000003</v>
      </c>
      <c r="I249" s="19">
        <f t="shared" si="31"/>
        <v>-1.3741325768785728E-3</v>
      </c>
      <c r="J249" s="19">
        <f t="shared" ca="1" si="32"/>
        <v>4.663885911783891E-3</v>
      </c>
      <c r="K249" s="19">
        <f t="shared" ca="1" si="33"/>
        <v>83.879385825447059</v>
      </c>
      <c r="L249" s="19">
        <f t="shared" ca="1" si="34"/>
        <v>-0.3893878254470593</v>
      </c>
      <c r="M249" s="19">
        <f t="shared" ca="1" si="35"/>
        <v>0.58564999839495613</v>
      </c>
      <c r="AA249" s="37">
        <v>229</v>
      </c>
      <c r="AB249" s="37">
        <v>1.7266121648197426</v>
      </c>
      <c r="AC249" s="37">
        <v>2.8404187358514461</v>
      </c>
      <c r="AD249" s="37">
        <v>3.4463941298987502</v>
      </c>
    </row>
    <row r="250" spans="2:30" x14ac:dyDescent="0.3">
      <c r="B250" s="28">
        <v>42991</v>
      </c>
      <c r="C250" s="25">
        <v>44.470001000000003</v>
      </c>
      <c r="D250" s="18">
        <f t="shared" si="27"/>
        <v>5.19889217003211E-3</v>
      </c>
      <c r="E250" s="32">
        <f t="shared" ca="1" si="28"/>
        <v>2.0698851130835097E-2</v>
      </c>
      <c r="F250" s="18">
        <f t="shared" ca="1" si="29"/>
        <v>59.516951030137839</v>
      </c>
      <c r="G250" s="19">
        <f t="shared" ca="1" si="30"/>
        <v>-1.2069500301378397</v>
      </c>
      <c r="H250" s="27">
        <v>56.43</v>
      </c>
      <c r="I250" s="19">
        <f t="shared" si="31"/>
        <v>-2.9411748011898053E-2</v>
      </c>
      <c r="J250" s="19">
        <f t="shared" ca="1" si="32"/>
        <v>1.1182503561358989E-2</v>
      </c>
      <c r="K250" s="19">
        <f t="shared" ca="1" si="33"/>
        <v>84.423625199972861</v>
      </c>
      <c r="L250" s="19">
        <f t="shared" ca="1" si="34"/>
        <v>-0.93362719997286092</v>
      </c>
      <c r="M250" s="19">
        <f t="shared" ca="1" si="35"/>
        <v>-2.1405772301107007</v>
      </c>
      <c r="AA250" s="37">
        <v>230</v>
      </c>
      <c r="AB250" s="37">
        <v>1.8915427599710184</v>
      </c>
      <c r="AC250" s="37">
        <v>2.760945237979771</v>
      </c>
      <c r="AD250" s="37">
        <v>3.3102245807571338</v>
      </c>
    </row>
    <row r="251" spans="2:30" x14ac:dyDescent="0.3">
      <c r="B251" s="28">
        <v>42992</v>
      </c>
      <c r="C251" s="25">
        <v>44.209999000000003</v>
      </c>
      <c r="D251" s="18">
        <f t="shared" si="27"/>
        <v>-5.8466830257098978E-3</v>
      </c>
      <c r="E251" s="32">
        <f t="shared" ca="1" si="28"/>
        <v>3.1289607305882879E-2</v>
      </c>
      <c r="F251" s="18">
        <f t="shared" ca="1" si="29"/>
        <v>60.134498033295635</v>
      </c>
      <c r="G251" s="19">
        <f t="shared" ca="1" si="30"/>
        <v>-1.8244970332956356</v>
      </c>
      <c r="H251" s="27">
        <v>55.869999</v>
      </c>
      <c r="I251" s="19">
        <f t="shared" si="31"/>
        <v>-9.9238171185539459E-3</v>
      </c>
      <c r="J251" s="19">
        <f t="shared" ca="1" si="32"/>
        <v>-3.2541752924812775E-2</v>
      </c>
      <c r="K251" s="19">
        <f t="shared" ca="1" si="33"/>
        <v>80.773087113390886</v>
      </c>
      <c r="L251" s="19">
        <f t="shared" ca="1" si="34"/>
        <v>2.7169108866091136</v>
      </c>
      <c r="M251" s="19">
        <f t="shared" ca="1" si="35"/>
        <v>0.892413853313478</v>
      </c>
      <c r="AA251" s="37">
        <v>231</v>
      </c>
      <c r="AB251" s="37">
        <v>1.7373275387786391</v>
      </c>
      <c r="AC251" s="37">
        <v>2.8058806591633041</v>
      </c>
      <c r="AD251" s="37">
        <v>3.4689352953814367</v>
      </c>
    </row>
    <row r="252" spans="2:30" x14ac:dyDescent="0.3">
      <c r="B252" s="28">
        <v>42993</v>
      </c>
      <c r="C252" s="25">
        <v>44.349997999999999</v>
      </c>
      <c r="D252" s="18">
        <f t="shared" si="27"/>
        <v>3.1666818178393008E-3</v>
      </c>
      <c r="E252" s="32">
        <f t="shared" ca="1" si="28"/>
        <v>-1.3338101217342342E-2</v>
      </c>
      <c r="F252" s="18">
        <f t="shared" ca="1" si="29"/>
        <v>57.532256304678668</v>
      </c>
      <c r="G252" s="19">
        <f t="shared" ca="1" si="30"/>
        <v>0.77774469532133139</v>
      </c>
      <c r="H252" s="27">
        <v>55.259998000000003</v>
      </c>
      <c r="I252" s="19">
        <f t="shared" si="31"/>
        <v>-1.0918221065298384E-2</v>
      </c>
      <c r="J252" s="19">
        <f t="shared" ca="1" si="32"/>
        <v>-3.2446403028235871E-2</v>
      </c>
      <c r="K252" s="19">
        <f t="shared" ca="1" si="33"/>
        <v>80.781047876065387</v>
      </c>
      <c r="L252" s="19">
        <f t="shared" ca="1" si="34"/>
        <v>2.7089501239346134</v>
      </c>
      <c r="M252" s="19">
        <f t="shared" ca="1" si="35"/>
        <v>3.4866948192559448</v>
      </c>
      <c r="AA252" s="37">
        <v>232</v>
      </c>
      <c r="AB252" s="37">
        <v>1.8723968296922033</v>
      </c>
      <c r="AC252" s="37">
        <v>2.8610728185778433</v>
      </c>
      <c r="AD252" s="37">
        <v>3.6921660436174313</v>
      </c>
    </row>
    <row r="253" spans="2:30" x14ac:dyDescent="0.3">
      <c r="B253" s="28">
        <v>42996</v>
      </c>
      <c r="C253" s="25">
        <v>43.540000999999997</v>
      </c>
      <c r="D253" s="18">
        <f t="shared" si="27"/>
        <v>-1.826374377739548E-2</v>
      </c>
      <c r="E253" s="32">
        <f t="shared" ca="1" si="28"/>
        <v>2.3481181332071555E-2</v>
      </c>
      <c r="F253" s="18">
        <f t="shared" ca="1" si="29"/>
        <v>59.679188706954264</v>
      </c>
      <c r="G253" s="19">
        <f t="shared" ca="1" si="30"/>
        <v>-1.3691877069542642</v>
      </c>
      <c r="H253" s="27">
        <v>55.189999</v>
      </c>
      <c r="I253" s="19">
        <f t="shared" si="31"/>
        <v>-1.2667210013290742E-3</v>
      </c>
      <c r="J253" s="19">
        <f t="shared" ca="1" si="32"/>
        <v>1.0283312259031487E-2</v>
      </c>
      <c r="K253" s="19">
        <f t="shared" ca="1" si="33"/>
        <v>84.34855171993992</v>
      </c>
      <c r="L253" s="19">
        <f t="shared" ca="1" si="34"/>
        <v>-0.8585537199399198</v>
      </c>
      <c r="M253" s="19">
        <f t="shared" ca="1" si="35"/>
        <v>-2.227741426894184</v>
      </c>
      <c r="AA253" s="37">
        <v>233</v>
      </c>
      <c r="AB253" s="37">
        <v>1.7944217367098718</v>
      </c>
      <c r="AC253" s="37">
        <v>2.9617079246378122</v>
      </c>
      <c r="AD253" s="37">
        <v>3.1368850291345685</v>
      </c>
    </row>
    <row r="254" spans="2:30" x14ac:dyDescent="0.3">
      <c r="B254" s="28">
        <v>42997</v>
      </c>
      <c r="C254" s="25">
        <v>43.060001</v>
      </c>
      <c r="D254" s="18">
        <f t="shared" si="27"/>
        <v>-1.1024345176289696E-2</v>
      </c>
      <c r="E254" s="32">
        <f t="shared" ca="1" si="28"/>
        <v>2.472724931539234E-2</v>
      </c>
      <c r="F254" s="18">
        <f t="shared" ca="1" si="29"/>
        <v>59.751846932307771</v>
      </c>
      <c r="G254" s="19">
        <f t="shared" ca="1" si="30"/>
        <v>-1.4418459323077712</v>
      </c>
      <c r="H254" s="27">
        <v>55.380001</v>
      </c>
      <c r="I254" s="19">
        <f t="shared" si="31"/>
        <v>3.4426889552943152E-3</v>
      </c>
      <c r="J254" s="19">
        <f t="shared" ca="1" si="32"/>
        <v>5.3975522049547267E-3</v>
      </c>
      <c r="K254" s="19">
        <f t="shared" ca="1" si="33"/>
        <v>83.940639622796567</v>
      </c>
      <c r="L254" s="19">
        <f t="shared" ca="1" si="34"/>
        <v>-0.45064162279656728</v>
      </c>
      <c r="M254" s="19">
        <f t="shared" ca="1" si="35"/>
        <v>-1.8924875551043385</v>
      </c>
      <c r="AA254" s="37">
        <v>234</v>
      </c>
      <c r="AB254" s="37">
        <v>1.788630005277281</v>
      </c>
      <c r="AC254" s="37">
        <v>2.7411963907526142</v>
      </c>
      <c r="AD254" s="37">
        <v>3.2954720559204329</v>
      </c>
    </row>
    <row r="255" spans="2:30" x14ac:dyDescent="0.3">
      <c r="B255" s="28">
        <v>42998</v>
      </c>
      <c r="C255" s="25">
        <v>43.009998000000003</v>
      </c>
      <c r="D255" s="18">
        <f t="shared" si="27"/>
        <v>-1.1612401030830499E-3</v>
      </c>
      <c r="E255" s="32">
        <f t="shared" ca="1" si="28"/>
        <v>-3.527167193201792E-4</v>
      </c>
      <c r="F255" s="18">
        <f t="shared" ca="1" si="29"/>
        <v>58.289434087743729</v>
      </c>
      <c r="G255" s="19">
        <f t="shared" ca="1" si="30"/>
        <v>2.0566912256271053E-2</v>
      </c>
      <c r="H255" s="27">
        <v>55.389999000000003</v>
      </c>
      <c r="I255" s="19">
        <f t="shared" si="31"/>
        <v>1.8053448572530328E-4</v>
      </c>
      <c r="J255" s="19">
        <f t="shared" ca="1" si="32"/>
        <v>8.7493101552254086E-3</v>
      </c>
      <c r="K255" s="19">
        <f t="shared" ca="1" si="33"/>
        <v>84.220477887361142</v>
      </c>
      <c r="L255" s="19">
        <f t="shared" ca="1" si="34"/>
        <v>-0.73047988736114178</v>
      </c>
      <c r="M255" s="19">
        <f t="shared" ca="1" si="35"/>
        <v>-0.70991297510487072</v>
      </c>
      <c r="AA255" s="37">
        <v>235</v>
      </c>
      <c r="AB255" s="37">
        <v>1.7516158919129095</v>
      </c>
      <c r="AC255" s="37">
        <v>2.9066076164010721</v>
      </c>
      <c r="AD255" s="37">
        <v>3.4410119776324866</v>
      </c>
    </row>
    <row r="256" spans="2:30" x14ac:dyDescent="0.3">
      <c r="B256" s="28">
        <v>42999</v>
      </c>
      <c r="C256" s="25">
        <v>42.610000999999997</v>
      </c>
      <c r="D256" s="18">
        <f t="shared" si="27"/>
        <v>-9.3000934340895514E-3</v>
      </c>
      <c r="E256" s="32">
        <f t="shared" ca="1" si="28"/>
        <v>-2.4620454640071291E-2</v>
      </c>
      <c r="F256" s="18">
        <f t="shared" ca="1" si="29"/>
        <v>56.874382265316989</v>
      </c>
      <c r="G256" s="19">
        <f t="shared" ca="1" si="30"/>
        <v>1.4356187346830112</v>
      </c>
      <c r="H256" s="27">
        <v>54.900002000000001</v>
      </c>
      <c r="I256" s="19">
        <f t="shared" si="31"/>
        <v>-8.8463081575430591E-3</v>
      </c>
      <c r="J256" s="19">
        <f t="shared" ca="1" si="32"/>
        <v>-1.6544960475677172E-3</v>
      </c>
      <c r="K256" s="19">
        <f t="shared" ca="1" si="33"/>
        <v>83.351864128297564</v>
      </c>
      <c r="L256" s="19">
        <f t="shared" ca="1" si="34"/>
        <v>0.13813387170243629</v>
      </c>
      <c r="M256" s="19">
        <f t="shared" ca="1" si="35"/>
        <v>1.5737526063854475</v>
      </c>
      <c r="AA256" s="37">
        <v>236</v>
      </c>
      <c r="AB256" s="37">
        <v>1.8560669131990599</v>
      </c>
      <c r="AC256" s="37">
        <v>2.854108895014154</v>
      </c>
      <c r="AD256" s="37">
        <v>3.2556963665124901</v>
      </c>
    </row>
    <row r="257" spans="2:30" x14ac:dyDescent="0.3">
      <c r="B257" s="28">
        <v>43000</v>
      </c>
      <c r="C257" s="25">
        <v>42.810001</v>
      </c>
      <c r="D257" s="18">
        <f t="shared" si="27"/>
        <v>4.6937337551342662E-3</v>
      </c>
      <c r="E257" s="32">
        <f t="shared" ca="1" si="28"/>
        <v>8.6822021693874173E-3</v>
      </c>
      <c r="F257" s="18">
        <f t="shared" ca="1" si="29"/>
        <v>58.816260217179178</v>
      </c>
      <c r="G257" s="19">
        <f t="shared" ca="1" si="30"/>
        <v>-0.50625921717917777</v>
      </c>
      <c r="H257" s="27">
        <v>54.689999</v>
      </c>
      <c r="I257" s="19">
        <f t="shared" si="31"/>
        <v>-3.8251911174793651E-3</v>
      </c>
      <c r="J257" s="19">
        <f t="shared" ca="1" si="32"/>
        <v>1.7002249367031791E-2</v>
      </c>
      <c r="K257" s="19">
        <f t="shared" ca="1" si="33"/>
        <v>84.90951576564899</v>
      </c>
      <c r="L257" s="19">
        <f t="shared" ca="1" si="34"/>
        <v>-1.4195177656489903</v>
      </c>
      <c r="M257" s="19">
        <f t="shared" ca="1" si="35"/>
        <v>-1.9257769828281681</v>
      </c>
      <c r="AA257" s="37">
        <v>237</v>
      </c>
      <c r="AB257" s="37">
        <v>1.7893453362596368</v>
      </c>
      <c r="AC257" s="37">
        <v>2.9777981637075923</v>
      </c>
      <c r="AD257" s="37">
        <v>3.2086764022928653</v>
      </c>
    </row>
    <row r="258" spans="2:30" x14ac:dyDescent="0.3">
      <c r="B258" s="28">
        <v>43003</v>
      </c>
      <c r="C258" s="25">
        <v>43.25</v>
      </c>
      <c r="D258" s="18">
        <f t="shared" si="27"/>
        <v>1.027794883723554E-2</v>
      </c>
      <c r="E258" s="32">
        <f t="shared" ca="1" si="28"/>
        <v>9.2220709326581406E-3</v>
      </c>
      <c r="F258" s="18">
        <f t="shared" ca="1" si="29"/>
        <v>58.847739965305358</v>
      </c>
      <c r="G258" s="19">
        <f t="shared" ca="1" si="30"/>
        <v>-0.53773896530535836</v>
      </c>
      <c r="H258" s="27">
        <v>54.029998999999997</v>
      </c>
      <c r="I258" s="19">
        <f t="shared" si="31"/>
        <v>-1.2068019968331067E-2</v>
      </c>
      <c r="J258" s="19">
        <f t="shared" ca="1" si="32"/>
        <v>3.3493531704140343E-2</v>
      </c>
      <c r="K258" s="19">
        <f t="shared" ca="1" si="33"/>
        <v>86.286372894991601</v>
      </c>
      <c r="L258" s="19">
        <f t="shared" ca="1" si="34"/>
        <v>-2.796374894991601</v>
      </c>
      <c r="M258" s="19">
        <f t="shared" ca="1" si="35"/>
        <v>-3.3341138602969593</v>
      </c>
      <c r="AA258" s="37">
        <v>238</v>
      </c>
      <c r="AB258" s="37">
        <v>1.6590085591951609</v>
      </c>
      <c r="AC258" s="37">
        <v>2.8417674893366787</v>
      </c>
      <c r="AD258" s="37">
        <v>3.516644875863649</v>
      </c>
    </row>
    <row r="259" spans="2:30" x14ac:dyDescent="0.3">
      <c r="B259" s="28">
        <v>43004</v>
      </c>
      <c r="C259" s="25">
        <v>43.360000999999997</v>
      </c>
      <c r="D259" s="18">
        <f t="shared" si="27"/>
        <v>2.5433757225432618E-3</v>
      </c>
      <c r="E259" s="32">
        <f t="shared" ca="1" si="28"/>
        <v>-9.9512698115658618E-3</v>
      </c>
      <c r="F259" s="18">
        <f t="shared" ca="1" si="29"/>
        <v>57.729742447336321</v>
      </c>
      <c r="G259" s="19">
        <f t="shared" ca="1" si="30"/>
        <v>0.58025855266367898</v>
      </c>
      <c r="H259" s="27">
        <v>54.470001000000003</v>
      </c>
      <c r="I259" s="19">
        <f t="shared" si="31"/>
        <v>8.1436610798384379E-3</v>
      </c>
      <c r="J259" s="19">
        <f t="shared" ca="1" si="32"/>
        <v>8.7458977067923372E-3</v>
      </c>
      <c r="K259" s="19">
        <f t="shared" ca="1" si="33"/>
        <v>84.220192982048289</v>
      </c>
      <c r="L259" s="19">
        <f t="shared" ca="1" si="34"/>
        <v>-0.73019498204828892</v>
      </c>
      <c r="M259" s="19">
        <f t="shared" ca="1" si="35"/>
        <v>-0.14993642938460994</v>
      </c>
      <c r="AA259" s="37">
        <v>239</v>
      </c>
      <c r="AB259" s="37">
        <v>1.8331594055218368</v>
      </c>
      <c r="AC259" s="37">
        <v>2.8232891363677624</v>
      </c>
      <c r="AD259" s="37">
        <v>3.3969987457801953</v>
      </c>
    </row>
    <row r="260" spans="2:30" x14ac:dyDescent="0.3">
      <c r="B260" s="28">
        <v>43005</v>
      </c>
      <c r="C260" s="25">
        <v>43.189999</v>
      </c>
      <c r="D260" s="18">
        <f t="shared" si="27"/>
        <v>-3.920710241680947E-3</v>
      </c>
      <c r="E260" s="32">
        <f t="shared" ca="1" si="28"/>
        <v>2.5095530260444324E-2</v>
      </c>
      <c r="F260" s="18">
        <f t="shared" ca="1" si="29"/>
        <v>59.773321394582041</v>
      </c>
      <c r="G260" s="19">
        <f t="shared" ca="1" si="30"/>
        <v>-1.4633203945820412</v>
      </c>
      <c r="H260" s="27">
        <v>54.959999000000003</v>
      </c>
      <c r="I260" s="19">
        <f t="shared" si="31"/>
        <v>8.9957406095879655E-3</v>
      </c>
      <c r="J260" s="19">
        <f t="shared" ca="1" si="32"/>
        <v>-6.3860180097464539E-3</v>
      </c>
      <c r="K260" s="19">
        <f t="shared" ca="1" si="33"/>
        <v>82.956829369138305</v>
      </c>
      <c r="L260" s="19">
        <f t="shared" ca="1" si="34"/>
        <v>0.53316863086169519</v>
      </c>
      <c r="M260" s="19">
        <f t="shared" ca="1" si="35"/>
        <v>-0.93015176372034603</v>
      </c>
      <c r="AA260" s="37">
        <v>240</v>
      </c>
      <c r="AB260" s="37">
        <v>1.8967206182165637</v>
      </c>
      <c r="AC260" s="37">
        <v>2.7608774862787149</v>
      </c>
      <c r="AD260" s="37">
        <v>3.389171825172685</v>
      </c>
    </row>
    <row r="261" spans="2:30" x14ac:dyDescent="0.3">
      <c r="B261" s="29">
        <v>43006</v>
      </c>
      <c r="C261" s="26">
        <v>43.990001999999997</v>
      </c>
      <c r="D261" s="18">
        <f t="shared" si="27"/>
        <v>1.8522876094532847E-2</v>
      </c>
      <c r="E261" s="32">
        <f t="shared" ca="1" si="28"/>
        <v>2.607618994083109E-2</v>
      </c>
      <c r="F261" s="18">
        <f t="shared" ca="1" si="29"/>
        <v>59.830503661526045</v>
      </c>
      <c r="G261" s="19">
        <f t="shared" ca="1" si="30"/>
        <v>-1.5205026615260451</v>
      </c>
      <c r="H261" s="27">
        <v>56</v>
      </c>
      <c r="I261" s="19">
        <f t="shared" si="31"/>
        <v>1.8922871523341822E-2</v>
      </c>
      <c r="J261" s="19">
        <f t="shared" ca="1" si="32"/>
        <v>2.6435950005453644E-2</v>
      </c>
      <c r="K261" s="19">
        <f t="shared" ca="1" si="33"/>
        <v>85.69713541308343</v>
      </c>
      <c r="L261" s="19">
        <f t="shared" ca="1" si="34"/>
        <v>-2.20713741308343</v>
      </c>
      <c r="M261" s="19">
        <f t="shared" ca="1" si="35"/>
        <v>-3.7276400746094751</v>
      </c>
      <c r="AA261" s="37">
        <v>241</v>
      </c>
      <c r="AB261" s="37">
        <v>1.714502918582532</v>
      </c>
      <c r="AC261" s="37">
        <v>2.721167754397928</v>
      </c>
      <c r="AD261" s="37">
        <v>3.3048686905425972</v>
      </c>
    </row>
    <row r="262" spans="2:30" x14ac:dyDescent="0.3">
      <c r="B262" s="28">
        <v>43007</v>
      </c>
      <c r="C262" s="25">
        <v>43.970001000000003</v>
      </c>
      <c r="D262" s="18">
        <f t="shared" si="27"/>
        <v>-4.5467149558198194E-4</v>
      </c>
      <c r="E262" s="32">
        <f t="shared" ca="1" si="28"/>
        <v>-8.3848095816861038E-3</v>
      </c>
      <c r="F262" s="18">
        <f t="shared" ca="1" si="29"/>
        <v>57.821082744907073</v>
      </c>
      <c r="G262" s="19">
        <f t="shared" ca="1" si="30"/>
        <v>0.4889182550929263</v>
      </c>
      <c r="H262" s="27">
        <v>55.689999</v>
      </c>
      <c r="I262" s="19">
        <f t="shared" si="31"/>
        <v>-5.535732142857186E-3</v>
      </c>
      <c r="J262" s="19">
        <f t="shared" ca="1" si="32"/>
        <v>-3.1953406924449916E-2</v>
      </c>
      <c r="K262" s="19">
        <f t="shared" ca="1" si="33"/>
        <v>80.822208119784491</v>
      </c>
      <c r="L262" s="19">
        <f t="shared" ca="1" si="34"/>
        <v>2.6677898802155084</v>
      </c>
      <c r="M262" s="19">
        <f t="shared" ca="1" si="35"/>
        <v>3.1567081353084347</v>
      </c>
      <c r="AA262" s="37">
        <v>242</v>
      </c>
      <c r="AB262" s="37">
        <v>1.9337936007172287</v>
      </c>
      <c r="AC262" s="37">
        <v>2.8680975306529968</v>
      </c>
      <c r="AD262" s="37">
        <v>3.5261721262843535</v>
      </c>
    </row>
    <row r="263" spans="2:30" x14ac:dyDescent="0.3">
      <c r="B263" s="28">
        <v>43010</v>
      </c>
      <c r="C263" s="25">
        <v>44.509998000000003</v>
      </c>
      <c r="D263" s="18">
        <f t="shared" si="27"/>
        <v>1.2281032242869472E-2</v>
      </c>
      <c r="E263" s="32">
        <f t="shared" ca="1" si="28"/>
        <v>-1.5747828489614604E-2</v>
      </c>
      <c r="F263" s="18">
        <f t="shared" ca="1" si="29"/>
        <v>57.391745105022743</v>
      </c>
      <c r="G263" s="19">
        <f t="shared" ca="1" si="30"/>
        <v>0.91825589497725701</v>
      </c>
      <c r="H263" s="27">
        <v>55.18</v>
      </c>
      <c r="I263" s="19">
        <f t="shared" si="31"/>
        <v>-9.157820239860337E-3</v>
      </c>
      <c r="J263" s="19">
        <f t="shared" ca="1" si="32"/>
        <v>-6.5972418453227849E-2</v>
      </c>
      <c r="K263" s="19">
        <f t="shared" ca="1" si="33"/>
        <v>77.981960915284844</v>
      </c>
      <c r="L263" s="19">
        <f t="shared" ca="1" si="34"/>
        <v>5.5080370847151556</v>
      </c>
      <c r="M263" s="19">
        <f t="shared" ca="1" si="35"/>
        <v>6.4262929796924126</v>
      </c>
      <c r="AA263" s="37">
        <v>243</v>
      </c>
      <c r="AB263" s="37">
        <v>1.7759461426116914</v>
      </c>
      <c r="AC263" s="37">
        <v>2.7775139934100905</v>
      </c>
      <c r="AD263" s="37">
        <v>3.3128373879759576</v>
      </c>
    </row>
    <row r="264" spans="2:30" x14ac:dyDescent="0.3">
      <c r="B264" s="28">
        <v>43011</v>
      </c>
      <c r="C264" s="25">
        <v>44.889999000000003</v>
      </c>
      <c r="D264" s="18">
        <f t="shared" ref="D264:D327" si="36">C264/C263-1</f>
        <v>8.5374301746767856E-3</v>
      </c>
      <c r="E264" s="32">
        <f t="shared" ref="E264:E327" ca="1" si="37">NORMINV(RAND(),$E$3,$E$4)</f>
        <v>-4.2293434039748536E-3</v>
      </c>
      <c r="F264" s="18">
        <f t="shared" ref="F264:F327" ca="1" si="38">$C$1261*(1+E264)</f>
        <v>58.06338798188488</v>
      </c>
      <c r="G264" s="19">
        <f t="shared" ref="G264:G327" ca="1" si="39">$C$1261-F264</f>
        <v>0.24661301811512004</v>
      </c>
      <c r="H264" s="27">
        <v>55.959999000000003</v>
      </c>
      <c r="I264" s="19">
        <f t="shared" ref="I264:I327" si="40">H264/H263-1</f>
        <v>1.4135538238492229E-2</v>
      </c>
      <c r="J264" s="19">
        <f t="shared" ref="J264:J327" ca="1" si="41">NORMINV(RAND(),$J$3,$J$4)</f>
        <v>-5.2032038559918347E-3</v>
      </c>
      <c r="K264" s="19">
        <f t="shared" ref="K264:K327" ca="1" si="42">$H$1261*(1+J264)</f>
        <v>83.055582520469656</v>
      </c>
      <c r="L264" s="19">
        <f t="shared" ref="L264:L327" ca="1" si="43">$H$1261-K264</f>
        <v>0.43441547953034387</v>
      </c>
      <c r="M264" s="19">
        <f t="shared" ref="M264:M327" ca="1" si="44">SUM(G264,L264)</f>
        <v>0.68102849764546391</v>
      </c>
      <c r="AA264" s="37">
        <v>244</v>
      </c>
      <c r="AB264" s="37">
        <v>1.7628548170648226</v>
      </c>
      <c r="AC264" s="37">
        <v>2.7617490902082289</v>
      </c>
      <c r="AD264" s="37">
        <v>3.1288767325435103</v>
      </c>
    </row>
    <row r="265" spans="2:30" x14ac:dyDescent="0.3">
      <c r="B265" s="28">
        <v>43012</v>
      </c>
      <c r="C265" s="25">
        <v>45.880001</v>
      </c>
      <c r="D265" s="18">
        <f t="shared" si="36"/>
        <v>2.2053954601335413E-2</v>
      </c>
      <c r="E265" s="32">
        <f t="shared" ca="1" si="37"/>
        <v>-1.0270537153880844E-2</v>
      </c>
      <c r="F265" s="18">
        <f t="shared" ca="1" si="38"/>
        <v>57.711125968286673</v>
      </c>
      <c r="G265" s="19">
        <f t="shared" ca="1" si="39"/>
        <v>0.59887503171332668</v>
      </c>
      <c r="H265" s="27">
        <v>56.27</v>
      </c>
      <c r="I265" s="19">
        <f t="shared" si="40"/>
        <v>5.5396891626104949E-3</v>
      </c>
      <c r="J265" s="19">
        <f t="shared" ca="1" si="41"/>
        <v>-7.938874513795751E-3</v>
      </c>
      <c r="K265" s="19">
        <f t="shared" ca="1" si="42"/>
        <v>82.827181382720951</v>
      </c>
      <c r="L265" s="19">
        <f t="shared" ca="1" si="43"/>
        <v>0.66281661727904861</v>
      </c>
      <c r="M265" s="19">
        <f t="shared" ca="1" si="44"/>
        <v>1.2616916489923753</v>
      </c>
      <c r="AA265" s="37">
        <v>245</v>
      </c>
      <c r="AB265" s="37">
        <v>1.8721511899373913</v>
      </c>
      <c r="AC265" s="37">
        <v>3.0700098424544815</v>
      </c>
      <c r="AD265" s="37">
        <v>3.2854714250127008</v>
      </c>
    </row>
    <row r="266" spans="2:30" x14ac:dyDescent="0.3">
      <c r="B266" s="28">
        <v>43013</v>
      </c>
      <c r="C266" s="25">
        <v>45.860000999999997</v>
      </c>
      <c r="D266" s="18">
        <f t="shared" si="36"/>
        <v>-4.3591978125723241E-4</v>
      </c>
      <c r="E266" s="32">
        <f t="shared" ca="1" si="37"/>
        <v>7.1373108044912913E-3</v>
      </c>
      <c r="F266" s="18">
        <f t="shared" ca="1" si="38"/>
        <v>58.726177600147196</v>
      </c>
      <c r="G266" s="19">
        <f t="shared" ca="1" si="39"/>
        <v>-0.41617660014719604</v>
      </c>
      <c r="H266" s="27">
        <v>57.91</v>
      </c>
      <c r="I266" s="19">
        <f t="shared" si="40"/>
        <v>2.9145192820330346E-2</v>
      </c>
      <c r="J266" s="19">
        <f t="shared" ca="1" si="41"/>
        <v>4.9572050526010852E-2</v>
      </c>
      <c r="K266" s="19">
        <f t="shared" ca="1" si="42"/>
        <v>87.628768399272545</v>
      </c>
      <c r="L266" s="19">
        <f t="shared" ca="1" si="43"/>
        <v>-4.1387703992725449</v>
      </c>
      <c r="M266" s="19">
        <f t="shared" ca="1" si="44"/>
        <v>-4.5549469994197409</v>
      </c>
      <c r="AA266" s="37">
        <v>246</v>
      </c>
      <c r="AB266" s="37">
        <v>1.7530367943503784</v>
      </c>
      <c r="AC266" s="37">
        <v>2.6774899061118398</v>
      </c>
      <c r="AD266" s="37">
        <v>3.3402048580738564</v>
      </c>
    </row>
    <row r="267" spans="2:30" x14ac:dyDescent="0.3">
      <c r="B267" s="28">
        <v>43014</v>
      </c>
      <c r="C267" s="25">
        <v>45.830002</v>
      </c>
      <c r="D267" s="18">
        <f t="shared" si="36"/>
        <v>-6.5414302978306083E-4</v>
      </c>
      <c r="E267" s="32">
        <f t="shared" ca="1" si="37"/>
        <v>1.9101326400453783E-2</v>
      </c>
      <c r="F267" s="18">
        <f t="shared" ca="1" si="38"/>
        <v>59.42379936151179</v>
      </c>
      <c r="G267" s="19">
        <f t="shared" ca="1" si="39"/>
        <v>-1.1137983615117903</v>
      </c>
      <c r="H267" s="27">
        <v>57.950001</v>
      </c>
      <c r="I267" s="19">
        <f t="shared" si="40"/>
        <v>6.9074425833193231E-4</v>
      </c>
      <c r="J267" s="19">
        <f t="shared" ca="1" si="41"/>
        <v>-1.3020803265317156E-2</v>
      </c>
      <c r="K267" s="19">
        <f t="shared" ca="1" si="42"/>
        <v>82.402891161420271</v>
      </c>
      <c r="L267" s="19">
        <f t="shared" ca="1" si="43"/>
        <v>1.0871068385797287</v>
      </c>
      <c r="M267" s="19">
        <f t="shared" ca="1" si="44"/>
        <v>-2.6691522932061673E-2</v>
      </c>
      <c r="AA267" s="37">
        <v>247</v>
      </c>
      <c r="AB267" s="37">
        <v>1.826988232313516</v>
      </c>
      <c r="AC267" s="37">
        <v>2.6994784889197718</v>
      </c>
      <c r="AD267" s="37">
        <v>3.2742903586605379</v>
      </c>
    </row>
    <row r="268" spans="2:30" x14ac:dyDescent="0.3">
      <c r="B268" s="28">
        <v>43017</v>
      </c>
      <c r="C268" s="25">
        <v>45.68</v>
      </c>
      <c r="D268" s="18">
        <f t="shared" si="36"/>
        <v>-3.2730088032726368E-3</v>
      </c>
      <c r="E268" s="32">
        <f t="shared" ca="1" si="37"/>
        <v>1.4662461566939722E-2</v>
      </c>
      <c r="F268" s="18">
        <f t="shared" ca="1" si="38"/>
        <v>59.164969148630718</v>
      </c>
      <c r="G268" s="19">
        <f t="shared" ca="1" si="39"/>
        <v>-0.85496814863071791</v>
      </c>
      <c r="H268" s="27">
        <v>58.119999</v>
      </c>
      <c r="I268" s="19">
        <f t="shared" si="40"/>
        <v>2.9335288536060933E-3</v>
      </c>
      <c r="J268" s="19">
        <f t="shared" ca="1" si="41"/>
        <v>-1.3565152377965517E-2</v>
      </c>
      <c r="K268" s="19">
        <f t="shared" ca="1" si="42"/>
        <v>82.357443455093957</v>
      </c>
      <c r="L268" s="19">
        <f t="shared" ca="1" si="43"/>
        <v>1.1325545449060428</v>
      </c>
      <c r="M268" s="19">
        <f t="shared" ca="1" si="44"/>
        <v>0.27758639627532489</v>
      </c>
      <c r="AA268" s="37">
        <v>248</v>
      </c>
      <c r="AB268" s="37">
        <v>1.8227680030550752</v>
      </c>
      <c r="AC268" s="37">
        <v>2.8788786045281451</v>
      </c>
      <c r="AD268" s="37">
        <v>3.4154025679567375</v>
      </c>
    </row>
    <row r="269" spans="2:30" x14ac:dyDescent="0.3">
      <c r="B269" s="28">
        <v>43018</v>
      </c>
      <c r="C269" s="25">
        <v>45.099997999999999</v>
      </c>
      <c r="D269" s="18">
        <f t="shared" si="36"/>
        <v>-1.2697066549912428E-2</v>
      </c>
      <c r="E269" s="32">
        <f t="shared" ca="1" si="37"/>
        <v>-1.7695613172253804E-2</v>
      </c>
      <c r="F269" s="18">
        <f t="shared" ca="1" si="38"/>
        <v>57.278169778230271</v>
      </c>
      <c r="G269" s="19">
        <f t="shared" ca="1" si="39"/>
        <v>1.0318312217697283</v>
      </c>
      <c r="H269" s="27">
        <v>58.549999</v>
      </c>
      <c r="I269" s="19">
        <f t="shared" si="40"/>
        <v>7.398486018556083E-3</v>
      </c>
      <c r="J269" s="19">
        <f t="shared" ca="1" si="41"/>
        <v>-2.9086374183680267E-2</v>
      </c>
      <c r="K269" s="19">
        <f t="shared" ca="1" si="42"/>
        <v>81.061576677577278</v>
      </c>
      <c r="L269" s="19">
        <f t="shared" ca="1" si="43"/>
        <v>2.4284213224227216</v>
      </c>
      <c r="M269" s="19">
        <f t="shared" ca="1" si="44"/>
        <v>3.4602525441924499</v>
      </c>
      <c r="AA269" s="37">
        <v>249</v>
      </c>
      <c r="AB269" s="37">
        <v>1.8282420388861489</v>
      </c>
      <c r="AC269" s="37">
        <v>2.9083200601664303</v>
      </c>
      <c r="AD269" s="37">
        <v>3.3314328825248065</v>
      </c>
    </row>
    <row r="270" spans="2:30" x14ac:dyDescent="0.3">
      <c r="B270" s="28">
        <v>43019</v>
      </c>
      <c r="C270" s="25">
        <v>45.630001</v>
      </c>
      <c r="D270" s="18">
        <f t="shared" si="36"/>
        <v>1.1751730011163142E-2</v>
      </c>
      <c r="E270" s="32">
        <f t="shared" ca="1" si="37"/>
        <v>4.0266899434418897E-3</v>
      </c>
      <c r="F270" s="18">
        <f t="shared" ca="1" si="38"/>
        <v>58.544797294628779</v>
      </c>
      <c r="G270" s="19">
        <f t="shared" ca="1" si="39"/>
        <v>-0.23479629462877938</v>
      </c>
      <c r="H270" s="27">
        <v>58.900002000000001</v>
      </c>
      <c r="I270" s="19">
        <f t="shared" si="40"/>
        <v>5.9778480952663582E-3</v>
      </c>
      <c r="J270" s="19">
        <f t="shared" ca="1" si="41"/>
        <v>3.6650126111640205E-3</v>
      </c>
      <c r="K270" s="19">
        <f t="shared" ca="1" si="42"/>
        <v>83.795989895576056</v>
      </c>
      <c r="L270" s="19">
        <f t="shared" ca="1" si="43"/>
        <v>-0.30599189557605655</v>
      </c>
      <c r="M270" s="19">
        <f t="shared" ca="1" si="44"/>
        <v>-0.54078819020483593</v>
      </c>
      <c r="AA270" s="37">
        <v>250</v>
      </c>
      <c r="AB270" s="37">
        <v>1.719831403392839</v>
      </c>
      <c r="AC270" s="37">
        <v>3.1589029483236142</v>
      </c>
      <c r="AD270" s="37">
        <v>3.4872026343282432</v>
      </c>
    </row>
    <row r="271" spans="2:30" x14ac:dyDescent="0.3">
      <c r="B271" s="28">
        <v>43020</v>
      </c>
      <c r="C271" s="25">
        <v>45.43</v>
      </c>
      <c r="D271" s="18">
        <f t="shared" si="36"/>
        <v>-4.3831031255072705E-3</v>
      </c>
      <c r="E271" s="32">
        <f t="shared" ca="1" si="37"/>
        <v>-2.6583564358281384E-2</v>
      </c>
      <c r="F271" s="18">
        <f t="shared" ca="1" si="38"/>
        <v>56.759913335685049</v>
      </c>
      <c r="G271" s="19">
        <f t="shared" ca="1" si="39"/>
        <v>1.550087664314951</v>
      </c>
      <c r="H271" s="27">
        <v>58.580002</v>
      </c>
      <c r="I271" s="19">
        <f t="shared" si="40"/>
        <v>-5.4329369971838348E-3</v>
      </c>
      <c r="J271" s="19">
        <f t="shared" ca="1" si="41"/>
        <v>1.6429783862194011E-2</v>
      </c>
      <c r="K271" s="19">
        <f t="shared" ca="1" si="42"/>
        <v>84.861720621795016</v>
      </c>
      <c r="L271" s="19">
        <f t="shared" ca="1" si="43"/>
        <v>-1.3717226217950156</v>
      </c>
      <c r="M271" s="19">
        <f t="shared" ca="1" si="44"/>
        <v>0.17836504251993546</v>
      </c>
      <c r="AA271" s="37">
        <v>251</v>
      </c>
      <c r="AB271" s="37">
        <v>1.7601028275371926</v>
      </c>
      <c r="AC271" s="37">
        <v>2.8878757513773552</v>
      </c>
      <c r="AD271" s="37">
        <v>3.4284878547672131</v>
      </c>
    </row>
    <row r="272" spans="2:30" x14ac:dyDescent="0.3">
      <c r="B272" s="28">
        <v>43021</v>
      </c>
      <c r="C272" s="25">
        <v>45.52</v>
      </c>
      <c r="D272" s="18">
        <f t="shared" si="36"/>
        <v>1.981069777680089E-3</v>
      </c>
      <c r="E272" s="32">
        <f t="shared" ca="1" si="37"/>
        <v>-1.3934965658684097E-2</v>
      </c>
      <c r="F272" s="18">
        <f t="shared" ca="1" si="38"/>
        <v>57.497453138507161</v>
      </c>
      <c r="G272" s="19">
        <f t="shared" ca="1" si="39"/>
        <v>0.81254786149283831</v>
      </c>
      <c r="H272" s="27">
        <v>59.369999</v>
      </c>
      <c r="I272" s="19">
        <f t="shared" si="40"/>
        <v>1.3485779669314413E-2</v>
      </c>
      <c r="J272" s="19">
        <f t="shared" ca="1" si="41"/>
        <v>-2.3426351243215199E-2</v>
      </c>
      <c r="K272" s="19">
        <f t="shared" ca="1" si="42"/>
        <v>81.534131981556669</v>
      </c>
      <c r="L272" s="19">
        <f t="shared" ca="1" si="43"/>
        <v>1.9558660184433307</v>
      </c>
      <c r="M272" s="19">
        <f t="shared" ca="1" si="44"/>
        <v>2.7684138799361691</v>
      </c>
      <c r="AA272" s="37">
        <v>252</v>
      </c>
      <c r="AB272" s="37">
        <v>1.8178627207357292</v>
      </c>
      <c r="AC272" s="37">
        <v>2.8686705029137878</v>
      </c>
      <c r="AD272" s="37">
        <v>3.5296616635531568</v>
      </c>
    </row>
    <row r="273" spans="2:30" x14ac:dyDescent="0.3">
      <c r="B273" s="28">
        <v>43024</v>
      </c>
      <c r="C273" s="25">
        <v>44.529998999999997</v>
      </c>
      <c r="D273" s="18">
        <f t="shared" si="36"/>
        <v>-2.1748703866432462E-2</v>
      </c>
      <c r="E273" s="32">
        <f t="shared" ca="1" si="37"/>
        <v>1.7242293020187507E-2</v>
      </c>
      <c r="F273" s="18">
        <f t="shared" ca="1" si="38"/>
        <v>59.315399123249421</v>
      </c>
      <c r="G273" s="19">
        <f t="shared" ca="1" si="39"/>
        <v>-1.0053981232494209</v>
      </c>
      <c r="H273" s="27">
        <v>61.490001999999997</v>
      </c>
      <c r="I273" s="19">
        <f t="shared" si="40"/>
        <v>3.5708321302144519E-2</v>
      </c>
      <c r="J273" s="19">
        <f t="shared" ca="1" si="41"/>
        <v>2.5668665556047628E-2</v>
      </c>
      <c r="K273" s="19">
        <f t="shared" ca="1" si="42"/>
        <v>85.63307483593708</v>
      </c>
      <c r="L273" s="19">
        <f t="shared" ca="1" si="43"/>
        <v>-2.1430768359370802</v>
      </c>
      <c r="M273" s="19">
        <f t="shared" ca="1" si="44"/>
        <v>-3.1484749591865011</v>
      </c>
      <c r="AA273" s="37">
        <v>253</v>
      </c>
      <c r="AB273" s="37">
        <v>1.7564581061457494</v>
      </c>
      <c r="AC273" s="37">
        <v>2.8325296972976628</v>
      </c>
      <c r="AD273" s="37">
        <v>3.1694424718708736</v>
      </c>
    </row>
    <row r="274" spans="2:30" x14ac:dyDescent="0.3">
      <c r="B274" s="28">
        <v>43025</v>
      </c>
      <c r="C274" s="25">
        <v>45.790000999999997</v>
      </c>
      <c r="D274" s="18">
        <f t="shared" si="36"/>
        <v>2.829557665159621E-2</v>
      </c>
      <c r="E274" s="32">
        <f t="shared" ca="1" si="37"/>
        <v>-4.2312401283065237E-2</v>
      </c>
      <c r="F274" s="18">
        <f t="shared" ca="1" si="38"/>
        <v>55.842764838872064</v>
      </c>
      <c r="G274" s="19">
        <f t="shared" ca="1" si="39"/>
        <v>2.4672361611279356</v>
      </c>
      <c r="H274" s="27">
        <v>61.779998999999997</v>
      </c>
      <c r="I274" s="19">
        <f t="shared" si="40"/>
        <v>4.7161650767224561E-3</v>
      </c>
      <c r="J274" s="19">
        <f t="shared" ca="1" si="41"/>
        <v>6.9582078488655795E-3</v>
      </c>
      <c r="K274" s="19">
        <f t="shared" ca="1" si="42"/>
        <v>84.070938759385356</v>
      </c>
      <c r="L274" s="19">
        <f t="shared" ca="1" si="43"/>
        <v>-0.58094075938535639</v>
      </c>
      <c r="M274" s="19">
        <f t="shared" ca="1" si="44"/>
        <v>1.8862954017425793</v>
      </c>
      <c r="AA274" s="37">
        <v>254</v>
      </c>
      <c r="AB274" s="37">
        <v>1.7849506465277356</v>
      </c>
      <c r="AC274" s="37">
        <v>2.8462077719335381</v>
      </c>
      <c r="AD274" s="37">
        <v>3.1545548675593711</v>
      </c>
    </row>
    <row r="275" spans="2:30" x14ac:dyDescent="0.3">
      <c r="B275" s="28">
        <v>43026</v>
      </c>
      <c r="C275" s="25">
        <v>45.029998999999997</v>
      </c>
      <c r="D275" s="18">
        <f t="shared" si="36"/>
        <v>-1.6597553688631694E-2</v>
      </c>
      <c r="E275" s="32">
        <f t="shared" ca="1" si="37"/>
        <v>5.6454602403114985E-2</v>
      </c>
      <c r="F275" s="18">
        <f t="shared" ca="1" si="38"/>
        <v>61.601868922580238</v>
      </c>
      <c r="G275" s="19">
        <f t="shared" ca="1" si="39"/>
        <v>-3.2918679225802379</v>
      </c>
      <c r="H275" s="27">
        <v>61.720001000000003</v>
      </c>
      <c r="I275" s="19">
        <f t="shared" si="40"/>
        <v>-9.7115572954276086E-4</v>
      </c>
      <c r="J275" s="19">
        <f t="shared" ca="1" si="41"/>
        <v>1.148481317199648E-2</v>
      </c>
      <c r="K275" s="19">
        <f t="shared" ca="1" si="42"/>
        <v>84.448865028760352</v>
      </c>
      <c r="L275" s="19">
        <f t="shared" ca="1" si="43"/>
        <v>-0.95886702876035201</v>
      </c>
      <c r="M275" s="19">
        <f t="shared" ca="1" si="44"/>
        <v>-4.2507349513405899</v>
      </c>
      <c r="AA275" s="37">
        <v>255</v>
      </c>
      <c r="AB275" s="37">
        <v>1.7444393155256108</v>
      </c>
      <c r="AC275" s="37">
        <v>2.7925522805845593</v>
      </c>
      <c r="AD275" s="37">
        <v>3.2359390768823024</v>
      </c>
    </row>
    <row r="276" spans="2:30" x14ac:dyDescent="0.3">
      <c r="B276" s="28">
        <v>43027</v>
      </c>
      <c r="C276" s="25">
        <v>44.59</v>
      </c>
      <c r="D276" s="18">
        <f t="shared" si="36"/>
        <v>-9.7712416116196854E-3</v>
      </c>
      <c r="E276" s="32">
        <f t="shared" ca="1" si="37"/>
        <v>-1.3713218833551912E-2</v>
      </c>
      <c r="F276" s="18">
        <f t="shared" ca="1" si="38"/>
        <v>57.510383196102367</v>
      </c>
      <c r="G276" s="19">
        <f t="shared" ca="1" si="39"/>
        <v>0.79961780389763248</v>
      </c>
      <c r="H276" s="27">
        <v>61.290000999999997</v>
      </c>
      <c r="I276" s="19">
        <f t="shared" si="40"/>
        <v>-6.9669473919808933E-3</v>
      </c>
      <c r="J276" s="19">
        <f t="shared" ca="1" si="41"/>
        <v>2.2752668115412444E-2</v>
      </c>
      <c r="K276" s="19">
        <f t="shared" ca="1" si="42"/>
        <v>85.389618215450454</v>
      </c>
      <c r="L276" s="19">
        <f t="shared" ca="1" si="43"/>
        <v>-1.8996202154504545</v>
      </c>
      <c r="M276" s="19">
        <f t="shared" ca="1" si="44"/>
        <v>-1.100002411552822</v>
      </c>
      <c r="AA276" s="37">
        <v>256</v>
      </c>
      <c r="AB276" s="37">
        <v>1.7682098739510892</v>
      </c>
      <c r="AC276" s="37">
        <v>2.7897570902995903</v>
      </c>
      <c r="AD276" s="37">
        <v>3.3907141538628522</v>
      </c>
    </row>
    <row r="277" spans="2:30" x14ac:dyDescent="0.3">
      <c r="B277" s="28">
        <v>43028</v>
      </c>
      <c r="C277" s="25">
        <v>44.02</v>
      </c>
      <c r="D277" s="18">
        <f t="shared" si="36"/>
        <v>-1.2783135232114828E-2</v>
      </c>
      <c r="E277" s="32">
        <f t="shared" ca="1" si="37"/>
        <v>1.0070629980227608E-2</v>
      </c>
      <c r="F277" s="18">
        <f t="shared" ca="1" si="38"/>
        <v>58.897219444217697</v>
      </c>
      <c r="G277" s="19">
        <f t="shared" ca="1" si="39"/>
        <v>-0.58721844421769731</v>
      </c>
      <c r="H277" s="27">
        <v>60.029998999999997</v>
      </c>
      <c r="I277" s="19">
        <f t="shared" si="40"/>
        <v>-2.055803523318589E-2</v>
      </c>
      <c r="J277" s="19">
        <f t="shared" ca="1" si="41"/>
        <v>-1.3442026103299604E-2</v>
      </c>
      <c r="K277" s="19">
        <f t="shared" ca="1" si="42"/>
        <v>82.367723267519565</v>
      </c>
      <c r="L277" s="19">
        <f t="shared" ca="1" si="43"/>
        <v>1.1222747324804345</v>
      </c>
      <c r="M277" s="19">
        <f t="shared" ca="1" si="44"/>
        <v>0.53505628826273721</v>
      </c>
      <c r="AA277" s="37">
        <v>257</v>
      </c>
      <c r="AB277" s="37">
        <v>1.8106323592090527</v>
      </c>
      <c r="AC277" s="37">
        <v>2.9372290944901578</v>
      </c>
      <c r="AD277" s="37">
        <v>3.2332695784452952</v>
      </c>
    </row>
    <row r="278" spans="2:30" x14ac:dyDescent="0.3">
      <c r="B278" s="28">
        <v>43031</v>
      </c>
      <c r="C278" s="25">
        <v>45</v>
      </c>
      <c r="D278" s="18">
        <f t="shared" si="36"/>
        <v>2.22626079054975E-2</v>
      </c>
      <c r="E278" s="32">
        <f t="shared" ca="1" si="37"/>
        <v>6.6038844905321583E-3</v>
      </c>
      <c r="F278" s="18">
        <f t="shared" ca="1" si="38"/>
        <v>58.695073511246811</v>
      </c>
      <c r="G278" s="19">
        <f t="shared" ca="1" si="39"/>
        <v>-0.38507251124681119</v>
      </c>
      <c r="H278" s="27">
        <v>60.150002000000001</v>
      </c>
      <c r="I278" s="19">
        <f t="shared" si="40"/>
        <v>1.9990505080635934E-3</v>
      </c>
      <c r="J278" s="19">
        <f t="shared" ca="1" si="41"/>
        <v>1.4657494816083168E-2</v>
      </c>
      <c r="K278" s="19">
        <f t="shared" ca="1" si="42"/>
        <v>84.713752212879797</v>
      </c>
      <c r="L278" s="19">
        <f t="shared" ca="1" si="43"/>
        <v>-1.2237542128797969</v>
      </c>
      <c r="M278" s="19">
        <f t="shared" ca="1" si="44"/>
        <v>-1.6088267241266081</v>
      </c>
      <c r="AA278" s="37">
        <v>258</v>
      </c>
      <c r="AB278" s="37">
        <v>1.8538176850663111</v>
      </c>
      <c r="AC278" s="37">
        <v>2.7979805530597157</v>
      </c>
      <c r="AD278" s="37">
        <v>3.4012889672349766</v>
      </c>
    </row>
    <row r="279" spans="2:30" x14ac:dyDescent="0.3">
      <c r="B279" s="28">
        <v>43032</v>
      </c>
      <c r="C279" s="25">
        <v>44.830002</v>
      </c>
      <c r="D279" s="18">
        <f t="shared" si="36"/>
        <v>-3.7777333333333107E-3</v>
      </c>
      <c r="E279" s="32">
        <f t="shared" ca="1" si="37"/>
        <v>-1.2394307924203339E-2</v>
      </c>
      <c r="F279" s="18">
        <f t="shared" ca="1" si="38"/>
        <v>57.587288892545395</v>
      </c>
      <c r="G279" s="19">
        <f t="shared" ca="1" si="39"/>
        <v>0.72271210745460479</v>
      </c>
      <c r="H279" s="27">
        <v>61.84</v>
      </c>
      <c r="I279" s="19">
        <f t="shared" si="40"/>
        <v>2.8096391418241495E-2</v>
      </c>
      <c r="J279" s="19">
        <f t="shared" ca="1" si="41"/>
        <v>-1.7993608765334908E-2</v>
      </c>
      <c r="K279" s="19">
        <f t="shared" ca="1" si="42"/>
        <v>81.987711640169408</v>
      </c>
      <c r="L279" s="19">
        <f t="shared" ca="1" si="43"/>
        <v>1.5022863598305918</v>
      </c>
      <c r="M279" s="19">
        <f t="shared" ca="1" si="44"/>
        <v>2.2249984672851966</v>
      </c>
      <c r="AA279" s="37">
        <v>259</v>
      </c>
      <c r="AB279" s="37">
        <v>1.8683990209455805</v>
      </c>
      <c r="AC279" s="37">
        <v>2.57891973791325</v>
      </c>
      <c r="AD279" s="37">
        <v>3.1090506970317802</v>
      </c>
    </row>
    <row r="280" spans="2:30" x14ac:dyDescent="0.3">
      <c r="B280" s="28">
        <v>43033</v>
      </c>
      <c r="C280" s="25">
        <v>45.049999</v>
      </c>
      <c r="D280" s="18">
        <f t="shared" si="36"/>
        <v>4.9073609231602422E-3</v>
      </c>
      <c r="E280" s="32">
        <f t="shared" ca="1" si="37"/>
        <v>-1.2924320416128655E-2</v>
      </c>
      <c r="F280" s="18">
        <f t="shared" ca="1" si="38"/>
        <v>57.556383863611217</v>
      </c>
      <c r="G280" s="19">
        <f t="shared" ca="1" si="39"/>
        <v>0.75361713638878314</v>
      </c>
      <c r="H280" s="27">
        <v>63.049999</v>
      </c>
      <c r="I280" s="19">
        <f t="shared" si="40"/>
        <v>1.9566607373868061E-2</v>
      </c>
      <c r="J280" s="19">
        <f t="shared" ca="1" si="41"/>
        <v>2.5590487959220174E-2</v>
      </c>
      <c r="K280" s="19">
        <f t="shared" ca="1" si="42"/>
        <v>85.62654778853431</v>
      </c>
      <c r="L280" s="19">
        <f t="shared" ca="1" si="43"/>
        <v>-2.1365497885343103</v>
      </c>
      <c r="M280" s="19">
        <f t="shared" ca="1" si="44"/>
        <v>-1.3829326521455272</v>
      </c>
      <c r="AA280" s="37">
        <v>260</v>
      </c>
      <c r="AB280" s="37">
        <v>1.7916484077485415</v>
      </c>
      <c r="AC280" s="37">
        <v>2.8363461721485579</v>
      </c>
      <c r="AD280" s="37">
        <v>3.3202167227096231</v>
      </c>
    </row>
    <row r="281" spans="2:30" x14ac:dyDescent="0.3">
      <c r="B281" s="28">
        <v>43034</v>
      </c>
      <c r="C281" s="25">
        <v>45.02</v>
      </c>
      <c r="D281" s="18">
        <f t="shared" si="36"/>
        <v>-6.659045652808171E-4</v>
      </c>
      <c r="E281" s="32">
        <f t="shared" ca="1" si="37"/>
        <v>1.3342480020185461E-2</v>
      </c>
      <c r="F281" s="18">
        <f t="shared" ca="1" si="38"/>
        <v>59.088001023319499</v>
      </c>
      <c r="G281" s="19">
        <f t="shared" ca="1" si="39"/>
        <v>-0.77800002331949969</v>
      </c>
      <c r="H281" s="27">
        <v>63.490001999999997</v>
      </c>
      <c r="I281" s="19">
        <f t="shared" si="40"/>
        <v>6.9786361138561848E-3</v>
      </c>
      <c r="J281" s="19">
        <f t="shared" ca="1" si="41"/>
        <v>8.5604748814922024E-3</v>
      </c>
      <c r="K281" s="19">
        <f t="shared" ca="1" si="42"/>
        <v>84.204712030734839</v>
      </c>
      <c r="L281" s="19">
        <f t="shared" ca="1" si="43"/>
        <v>-0.71471403073483941</v>
      </c>
      <c r="M281" s="19">
        <f t="shared" ca="1" si="44"/>
        <v>-1.4927140540543391</v>
      </c>
      <c r="AA281" s="37">
        <v>261</v>
      </c>
      <c r="AB281" s="37">
        <v>1.9056001991089544</v>
      </c>
      <c r="AC281" s="37">
        <v>2.7273737338612194</v>
      </c>
      <c r="AD281" s="37">
        <v>3.5180639711022996</v>
      </c>
    </row>
    <row r="282" spans="2:30" x14ac:dyDescent="0.3">
      <c r="B282" s="28">
        <v>43035</v>
      </c>
      <c r="C282" s="25">
        <v>45.009998000000003</v>
      </c>
      <c r="D282" s="18">
        <f t="shared" si="36"/>
        <v>-2.221679253665565E-4</v>
      </c>
      <c r="E282" s="32">
        <f t="shared" ca="1" si="37"/>
        <v>-5.04441937825736E-3</v>
      </c>
      <c r="F282" s="18">
        <f t="shared" ca="1" si="38"/>
        <v>58.01586090100939</v>
      </c>
      <c r="G282" s="19">
        <f t="shared" ca="1" si="39"/>
        <v>0.29414009899061</v>
      </c>
      <c r="H282" s="27">
        <v>63.27</v>
      </c>
      <c r="I282" s="19">
        <f t="shared" si="40"/>
        <v>-3.4651440080281093E-3</v>
      </c>
      <c r="J282" s="19">
        <f t="shared" ca="1" si="41"/>
        <v>-2.3359608183459108E-3</v>
      </c>
      <c r="K282" s="19">
        <f t="shared" ca="1" si="42"/>
        <v>83.294968635948223</v>
      </c>
      <c r="L282" s="19">
        <f t="shared" ca="1" si="43"/>
        <v>0.19502936405177707</v>
      </c>
      <c r="M282" s="19">
        <f t="shared" ca="1" si="44"/>
        <v>0.48916946304238706</v>
      </c>
      <c r="AA282" s="37">
        <v>262</v>
      </c>
      <c r="AB282" s="37">
        <v>1.876394028496098</v>
      </c>
      <c r="AC282" s="37">
        <v>2.923498230588411</v>
      </c>
      <c r="AD282" s="37">
        <v>3.5296486767330104</v>
      </c>
    </row>
    <row r="283" spans="2:30" x14ac:dyDescent="0.3">
      <c r="B283" s="28">
        <v>43038</v>
      </c>
      <c r="C283" s="25">
        <v>44.529998999999997</v>
      </c>
      <c r="D283" s="18">
        <f t="shared" si="36"/>
        <v>-1.0664275079505847E-2</v>
      </c>
      <c r="E283" s="32">
        <f t="shared" ca="1" si="37"/>
        <v>-1.3752283309020999E-2</v>
      </c>
      <c r="F283" s="18">
        <f t="shared" ca="1" si="38"/>
        <v>57.508105346498702</v>
      </c>
      <c r="G283" s="19">
        <f t="shared" ca="1" si="39"/>
        <v>0.80189565350129755</v>
      </c>
      <c r="H283" s="27">
        <v>62.360000999999997</v>
      </c>
      <c r="I283" s="19">
        <f t="shared" si="40"/>
        <v>-1.4382788051209183E-2</v>
      </c>
      <c r="J283" s="19">
        <f t="shared" ca="1" si="41"/>
        <v>-5.565196437734417E-3</v>
      </c>
      <c r="K283" s="19">
        <f t="shared" ca="1" si="42"/>
        <v>83.02535976054395</v>
      </c>
      <c r="L283" s="19">
        <f t="shared" ca="1" si="43"/>
        <v>0.46463823945605043</v>
      </c>
      <c r="M283" s="19">
        <f t="shared" ca="1" si="44"/>
        <v>1.266533892957348</v>
      </c>
      <c r="AA283" s="37">
        <v>263</v>
      </c>
      <c r="AB283" s="37">
        <v>1.7974966346513879</v>
      </c>
      <c r="AC283" s="37">
        <v>2.946635723328491</v>
      </c>
      <c r="AD283" s="37">
        <v>3.3448637930940013</v>
      </c>
    </row>
    <row r="284" spans="2:30" x14ac:dyDescent="0.3">
      <c r="B284" s="28">
        <v>43039</v>
      </c>
      <c r="C284" s="25">
        <v>44.32</v>
      </c>
      <c r="D284" s="18">
        <f t="shared" si="36"/>
        <v>-4.7158994995709635E-3</v>
      </c>
      <c r="E284" s="32">
        <f t="shared" ca="1" si="37"/>
        <v>1.5994422457734424E-2</v>
      </c>
      <c r="F284" s="18">
        <f t="shared" ca="1" si="38"/>
        <v>59.242635789504916</v>
      </c>
      <c r="G284" s="19">
        <f t="shared" ca="1" si="39"/>
        <v>-0.93263478950491674</v>
      </c>
      <c r="H284" s="27">
        <v>62.34</v>
      </c>
      <c r="I284" s="19">
        <f t="shared" si="40"/>
        <v>-3.2073444001379237E-4</v>
      </c>
      <c r="J284" s="19">
        <f t="shared" ca="1" si="41"/>
        <v>6.4485814129077706E-3</v>
      </c>
      <c r="K284" s="19">
        <f t="shared" ca="1" si="42"/>
        <v>84.028390049266505</v>
      </c>
      <c r="L284" s="19">
        <f t="shared" ca="1" si="43"/>
        <v>-0.53839204926650552</v>
      </c>
      <c r="M284" s="19">
        <f t="shared" ca="1" si="44"/>
        <v>-1.4710268387714223</v>
      </c>
      <c r="AA284" s="37">
        <v>264</v>
      </c>
      <c r="AB284" s="37">
        <v>1.7839661470155803</v>
      </c>
      <c r="AC284" s="37">
        <v>2.9260842143987231</v>
      </c>
      <c r="AD284" s="37">
        <v>3.3562612902470561</v>
      </c>
    </row>
    <row r="285" spans="2:30" x14ac:dyDescent="0.3">
      <c r="B285" s="28">
        <v>43040</v>
      </c>
      <c r="C285" s="25">
        <v>43.959999000000003</v>
      </c>
      <c r="D285" s="18">
        <f t="shared" si="36"/>
        <v>-8.1227662454872451E-3</v>
      </c>
      <c r="E285" s="32">
        <f t="shared" ca="1" si="37"/>
        <v>-1.187008364839191E-2</v>
      </c>
      <c r="F285" s="18">
        <f t="shared" ca="1" si="38"/>
        <v>57.617856410592182</v>
      </c>
      <c r="G285" s="19">
        <f t="shared" ca="1" si="39"/>
        <v>0.69214458940781753</v>
      </c>
      <c r="H285" s="27">
        <v>62.349997999999999</v>
      </c>
      <c r="I285" s="19">
        <f t="shared" si="40"/>
        <v>1.6037856913686532E-4</v>
      </c>
      <c r="J285" s="19">
        <f t="shared" ca="1" si="41"/>
        <v>-1.3522435027587683E-2</v>
      </c>
      <c r="K285" s="19">
        <f t="shared" ca="1" si="42"/>
        <v>82.361009926591578</v>
      </c>
      <c r="L285" s="19">
        <f t="shared" ca="1" si="43"/>
        <v>1.1289880734084221</v>
      </c>
      <c r="M285" s="19">
        <f t="shared" ca="1" si="44"/>
        <v>1.8211326628162396</v>
      </c>
      <c r="AA285" s="37">
        <v>265</v>
      </c>
      <c r="AB285" s="37">
        <v>1.7938673209705587</v>
      </c>
      <c r="AC285" s="37">
        <v>2.9478170504813841</v>
      </c>
      <c r="AD285" s="37">
        <v>3.2674547721155212</v>
      </c>
    </row>
    <row r="286" spans="2:30" x14ac:dyDescent="0.3">
      <c r="B286" s="28">
        <v>43042</v>
      </c>
      <c r="C286" s="25">
        <v>45.110000999999997</v>
      </c>
      <c r="D286" s="18">
        <f t="shared" si="36"/>
        <v>2.6160191677893296E-2</v>
      </c>
      <c r="E286" s="32">
        <f t="shared" ca="1" si="37"/>
        <v>4.5410996558951705E-3</v>
      </c>
      <c r="F286" s="18">
        <f t="shared" ca="1" si="38"/>
        <v>58.574792525476347</v>
      </c>
      <c r="G286" s="19">
        <f t="shared" ca="1" si="39"/>
        <v>-0.26479152547634754</v>
      </c>
      <c r="H286" s="27">
        <v>62.990001999999997</v>
      </c>
      <c r="I286" s="19">
        <f t="shared" si="40"/>
        <v>1.0264699607528405E-2</v>
      </c>
      <c r="J286" s="19">
        <f t="shared" ca="1" si="41"/>
        <v>-7.9451153587591658E-4</v>
      </c>
      <c r="K286" s="19">
        <f t="shared" ca="1" si="42"/>
        <v>83.423664233458737</v>
      </c>
      <c r="L286" s="19">
        <f t="shared" ca="1" si="43"/>
        <v>6.6333766541262662E-2</v>
      </c>
      <c r="M286" s="19">
        <f t="shared" ca="1" si="44"/>
        <v>-0.19845775893508488</v>
      </c>
      <c r="AA286" s="37">
        <v>266</v>
      </c>
      <c r="AB286" s="37">
        <v>1.8563612485146765</v>
      </c>
      <c r="AC286" s="37">
        <v>2.8628456851814241</v>
      </c>
      <c r="AD286" s="37">
        <v>3.2900475723456841</v>
      </c>
    </row>
    <row r="287" spans="2:30" x14ac:dyDescent="0.3">
      <c r="B287" s="28">
        <v>43045</v>
      </c>
      <c r="C287" s="25">
        <v>45.75</v>
      </c>
      <c r="D287" s="18">
        <f t="shared" si="36"/>
        <v>1.418751908252025E-2</v>
      </c>
      <c r="E287" s="32">
        <f t="shared" ca="1" si="37"/>
        <v>-5.8653637335181084E-3</v>
      </c>
      <c r="F287" s="18">
        <f t="shared" ca="1" si="38"/>
        <v>57.967991634833197</v>
      </c>
      <c r="G287" s="19">
        <f t="shared" ca="1" si="39"/>
        <v>0.34200936516680258</v>
      </c>
      <c r="H287" s="27">
        <v>63.32</v>
      </c>
      <c r="I287" s="19">
        <f t="shared" si="40"/>
        <v>5.2388948963679738E-3</v>
      </c>
      <c r="J287" s="19">
        <f t="shared" ca="1" si="41"/>
        <v>4.2282318824179689E-2</v>
      </c>
      <c r="K287" s="19">
        <f t="shared" ca="1" si="42"/>
        <v>87.020148714066124</v>
      </c>
      <c r="L287" s="19">
        <f t="shared" ca="1" si="43"/>
        <v>-3.5301507140661244</v>
      </c>
      <c r="M287" s="19">
        <f t="shared" ca="1" si="44"/>
        <v>-3.1881413488993218</v>
      </c>
      <c r="AA287" s="37">
        <v>267</v>
      </c>
      <c r="AB287" s="37">
        <v>1.7893600472046876</v>
      </c>
      <c r="AC287" s="37">
        <v>2.8738255928899985</v>
      </c>
      <c r="AD287" s="37">
        <v>3.3693486157201855</v>
      </c>
    </row>
    <row r="288" spans="2:30" x14ac:dyDescent="0.3">
      <c r="B288" s="28">
        <v>43046</v>
      </c>
      <c r="C288" s="25">
        <v>46.09</v>
      </c>
      <c r="D288" s="18">
        <f t="shared" si="36"/>
        <v>7.4316939890710643E-3</v>
      </c>
      <c r="E288" s="32">
        <f t="shared" ca="1" si="37"/>
        <v>2.1251902367444883E-2</v>
      </c>
      <c r="F288" s="18">
        <f t="shared" ca="1" si="38"/>
        <v>59.549199448297614</v>
      </c>
      <c r="G288" s="19">
        <f t="shared" ca="1" si="39"/>
        <v>-1.2391984482976142</v>
      </c>
      <c r="H288" s="27">
        <v>63.810001</v>
      </c>
      <c r="I288" s="19">
        <f t="shared" si="40"/>
        <v>7.7384870499053182E-3</v>
      </c>
      <c r="J288" s="19">
        <f t="shared" ca="1" si="41"/>
        <v>-2.3963995361676597E-2</v>
      </c>
      <c r="K288" s="19">
        <f t="shared" ca="1" si="42"/>
        <v>81.489244075181617</v>
      </c>
      <c r="L288" s="19">
        <f t="shared" ca="1" si="43"/>
        <v>2.0007539248183832</v>
      </c>
      <c r="M288" s="19">
        <f t="shared" ca="1" si="44"/>
        <v>0.76155547652076905</v>
      </c>
      <c r="AA288" s="37">
        <v>268</v>
      </c>
      <c r="AB288" s="37">
        <v>1.7333355234648835</v>
      </c>
      <c r="AC288" s="37">
        <v>2.7554032278363336</v>
      </c>
      <c r="AD288" s="37">
        <v>3.1644404278145326</v>
      </c>
    </row>
    <row r="289" spans="2:30" x14ac:dyDescent="0.3">
      <c r="B289" s="28">
        <v>43047</v>
      </c>
      <c r="C289" s="25">
        <v>44.98</v>
      </c>
      <c r="D289" s="18">
        <f t="shared" si="36"/>
        <v>-2.4083315252766413E-2</v>
      </c>
      <c r="E289" s="32">
        <f t="shared" ca="1" si="37"/>
        <v>-1.0487170570339948E-2</v>
      </c>
      <c r="F289" s="18">
        <f t="shared" ca="1" si="38"/>
        <v>57.698494073556304</v>
      </c>
      <c r="G289" s="19">
        <f t="shared" ca="1" si="39"/>
        <v>0.61150692644369542</v>
      </c>
      <c r="H289" s="27">
        <v>63.799999</v>
      </c>
      <c r="I289" s="19">
        <f t="shared" si="40"/>
        <v>-1.5674658898690019E-4</v>
      </c>
      <c r="J289" s="19">
        <f t="shared" ca="1" si="41"/>
        <v>1.8632180561283383E-3</v>
      </c>
      <c r="K289" s="19">
        <f t="shared" ca="1" si="42"/>
        <v>83.645558071779732</v>
      </c>
      <c r="L289" s="19">
        <f t="shared" ca="1" si="43"/>
        <v>-0.15556007177973186</v>
      </c>
      <c r="M289" s="19">
        <f t="shared" ca="1" si="44"/>
        <v>0.45594685466396356</v>
      </c>
      <c r="AA289" s="37">
        <v>269</v>
      </c>
      <c r="AB289" s="37">
        <v>1.7246339149733283</v>
      </c>
      <c r="AC289" s="37">
        <v>3.1089225554736513</v>
      </c>
      <c r="AD289" s="37">
        <v>3.4284563738961387</v>
      </c>
    </row>
    <row r="290" spans="2:30" x14ac:dyDescent="0.3">
      <c r="B290" s="28">
        <v>43048</v>
      </c>
      <c r="C290" s="25">
        <v>44.68</v>
      </c>
      <c r="D290" s="18">
        <f t="shared" si="36"/>
        <v>-6.6696309470875015E-3</v>
      </c>
      <c r="E290" s="32">
        <f t="shared" ca="1" si="37"/>
        <v>-1.4782800655981469E-2</v>
      </c>
      <c r="F290" s="18">
        <f t="shared" ca="1" si="38"/>
        <v>57.44801587896692</v>
      </c>
      <c r="G290" s="19">
        <f t="shared" ca="1" si="39"/>
        <v>0.86198512103307934</v>
      </c>
      <c r="H290" s="27">
        <v>62.450001</v>
      </c>
      <c r="I290" s="19">
        <f t="shared" si="40"/>
        <v>-2.1159843591847083E-2</v>
      </c>
      <c r="J290" s="19">
        <f t="shared" ca="1" si="41"/>
        <v>-2.6433455510682605E-2</v>
      </c>
      <c r="K290" s="19">
        <f t="shared" ca="1" si="42"/>
        <v>81.28306885228001</v>
      </c>
      <c r="L290" s="19">
        <f t="shared" ca="1" si="43"/>
        <v>2.2069291477199897</v>
      </c>
      <c r="M290" s="19">
        <f t="shared" ca="1" si="44"/>
        <v>3.0689142687530691</v>
      </c>
      <c r="AA290" s="37">
        <v>270</v>
      </c>
      <c r="AB290" s="37">
        <v>1.8393752113407205</v>
      </c>
      <c r="AC290" s="37">
        <v>2.7907591762719259</v>
      </c>
      <c r="AD290" s="37">
        <v>3.3082007129366477</v>
      </c>
    </row>
    <row r="291" spans="2:30" x14ac:dyDescent="0.3">
      <c r="B291" s="28">
        <v>43049</v>
      </c>
      <c r="C291" s="25">
        <v>43.709999000000003</v>
      </c>
      <c r="D291" s="18">
        <f t="shared" si="36"/>
        <v>-2.1709959713518301E-2</v>
      </c>
      <c r="E291" s="32">
        <f t="shared" ca="1" si="37"/>
        <v>6.1694580616940015E-3</v>
      </c>
      <c r="F291" s="18">
        <f t="shared" ca="1" si="38"/>
        <v>58.669742105746835</v>
      </c>
      <c r="G291" s="19">
        <f t="shared" ca="1" si="39"/>
        <v>-0.35974110574683493</v>
      </c>
      <c r="H291" s="27">
        <v>61.330002</v>
      </c>
      <c r="I291" s="19">
        <f t="shared" si="40"/>
        <v>-1.7934331177993146E-2</v>
      </c>
      <c r="J291" s="19">
        <f t="shared" ca="1" si="41"/>
        <v>5.1751478830450756E-4</v>
      </c>
      <c r="K291" s="19">
        <f t="shared" ca="1" si="42"/>
        <v>83.533205308640518</v>
      </c>
      <c r="L291" s="19">
        <f t="shared" ca="1" si="43"/>
        <v>-4.3207308640518249E-2</v>
      </c>
      <c r="M291" s="19">
        <f t="shared" ca="1" si="44"/>
        <v>-0.40294841438735318</v>
      </c>
      <c r="AA291" s="37">
        <v>271</v>
      </c>
      <c r="AB291" s="37">
        <v>1.7013841068548665</v>
      </c>
      <c r="AC291" s="37">
        <v>2.8111640519094432</v>
      </c>
      <c r="AD291" s="37">
        <v>3.1465114238876581</v>
      </c>
    </row>
    <row r="292" spans="2:30" x14ac:dyDescent="0.3">
      <c r="B292" s="28">
        <v>43052</v>
      </c>
      <c r="C292" s="25">
        <v>43.919998</v>
      </c>
      <c r="D292" s="18">
        <f t="shared" si="36"/>
        <v>4.8043698193631634E-3</v>
      </c>
      <c r="E292" s="32">
        <f t="shared" ca="1" si="37"/>
        <v>1.972339463479255E-2</v>
      </c>
      <c r="F292" s="18">
        <f t="shared" ca="1" si="38"/>
        <v>59.460072160878148</v>
      </c>
      <c r="G292" s="19">
        <f t="shared" ca="1" si="39"/>
        <v>-1.1500711608781486</v>
      </c>
      <c r="H292" s="27">
        <v>60.34</v>
      </c>
      <c r="I292" s="19">
        <f t="shared" si="40"/>
        <v>-1.6142213724369303E-2</v>
      </c>
      <c r="J292" s="19">
        <f t="shared" ca="1" si="41"/>
        <v>2.0089252794521038E-3</v>
      </c>
      <c r="K292" s="19">
        <f t="shared" ca="1" si="42"/>
        <v>83.657723167563617</v>
      </c>
      <c r="L292" s="19">
        <f t="shared" ca="1" si="43"/>
        <v>-0.16772516756361711</v>
      </c>
      <c r="M292" s="19">
        <f t="shared" ca="1" si="44"/>
        <v>-1.3177963284417658</v>
      </c>
      <c r="AA292" s="37">
        <v>272</v>
      </c>
      <c r="AB292" s="37">
        <v>1.7810653439166564</v>
      </c>
      <c r="AC292" s="37">
        <v>2.5324492792091244</v>
      </c>
      <c r="AD292" s="37">
        <v>3.396037882871858</v>
      </c>
    </row>
    <row r="293" spans="2:30" x14ac:dyDescent="0.3">
      <c r="B293" s="28">
        <v>43053</v>
      </c>
      <c r="C293" s="25">
        <v>43.98</v>
      </c>
      <c r="D293" s="18">
        <f t="shared" si="36"/>
        <v>1.3661658181314262E-3</v>
      </c>
      <c r="E293" s="32">
        <f t="shared" ca="1" si="37"/>
        <v>-6.6082329343264742E-3</v>
      </c>
      <c r="F293" s="18">
        <f t="shared" ca="1" si="38"/>
        <v>57.924674930991195</v>
      </c>
      <c r="G293" s="19">
        <f t="shared" ca="1" si="39"/>
        <v>0.38532606900880495</v>
      </c>
      <c r="H293" s="27">
        <v>59.459999000000003</v>
      </c>
      <c r="I293" s="19">
        <f t="shared" si="40"/>
        <v>-1.4584040437520707E-2</v>
      </c>
      <c r="J293" s="19">
        <f t="shared" ca="1" si="41"/>
        <v>-2.2790929399292868E-2</v>
      </c>
      <c r="K293" s="19">
        <f t="shared" ca="1" si="42"/>
        <v>81.587183350034906</v>
      </c>
      <c r="L293" s="19">
        <f t="shared" ca="1" si="43"/>
        <v>1.9028146499650944</v>
      </c>
      <c r="M293" s="19">
        <f t="shared" ca="1" si="44"/>
        <v>2.2881407189738994</v>
      </c>
      <c r="AA293" s="37">
        <v>273</v>
      </c>
      <c r="AB293" s="37">
        <v>1.778761328281677</v>
      </c>
      <c r="AC293" s="37">
        <v>2.823950930947118</v>
      </c>
      <c r="AD293" s="37">
        <v>3.4149196200700964</v>
      </c>
    </row>
    <row r="294" spans="2:30" x14ac:dyDescent="0.3">
      <c r="B294" s="28">
        <v>43054</v>
      </c>
      <c r="C294" s="25">
        <v>43.759998000000003</v>
      </c>
      <c r="D294" s="18">
        <f t="shared" si="36"/>
        <v>-5.0023192360162394E-3</v>
      </c>
      <c r="E294" s="32">
        <f t="shared" ca="1" si="37"/>
        <v>-1.0322057529234102E-2</v>
      </c>
      <c r="F294" s="18">
        <f t="shared" ca="1" si="38"/>
        <v>57.708121815148303</v>
      </c>
      <c r="G294" s="19">
        <f t="shared" ca="1" si="39"/>
        <v>0.60187918485169689</v>
      </c>
      <c r="H294" s="27">
        <v>58.189999</v>
      </c>
      <c r="I294" s="19">
        <f t="shared" si="40"/>
        <v>-2.1358897096516949E-2</v>
      </c>
      <c r="J294" s="19">
        <f t="shared" ca="1" si="41"/>
        <v>2.3191342214866358E-2</v>
      </c>
      <c r="K294" s="19">
        <f t="shared" ca="1" si="42"/>
        <v>85.426243115136515</v>
      </c>
      <c r="L294" s="19">
        <f t="shared" ca="1" si="43"/>
        <v>-1.936245115136515</v>
      </c>
      <c r="M294" s="19">
        <f t="shared" ca="1" si="44"/>
        <v>-1.3343659302848181</v>
      </c>
      <c r="AA294" s="37">
        <v>274</v>
      </c>
      <c r="AB294" s="37">
        <v>1.9090762807158803</v>
      </c>
      <c r="AC294" s="37">
        <v>2.8538814000337855</v>
      </c>
      <c r="AD294" s="37">
        <v>3.3733022573826545</v>
      </c>
    </row>
    <row r="295" spans="2:30" x14ac:dyDescent="0.3">
      <c r="B295" s="28">
        <v>43055</v>
      </c>
      <c r="C295" s="25">
        <v>44.360000999999997</v>
      </c>
      <c r="D295" s="18">
        <f t="shared" si="36"/>
        <v>1.3711220919159883E-2</v>
      </c>
      <c r="E295" s="32">
        <f t="shared" ca="1" si="37"/>
        <v>-1.6643198226958082E-2</v>
      </c>
      <c r="F295" s="18">
        <f t="shared" ca="1" si="38"/>
        <v>57.339536094742876</v>
      </c>
      <c r="G295" s="19">
        <f t="shared" ca="1" si="39"/>
        <v>0.97046490525712414</v>
      </c>
      <c r="H295" s="27">
        <v>58.400002000000001</v>
      </c>
      <c r="I295" s="19">
        <f t="shared" si="40"/>
        <v>3.6089191202770543E-3</v>
      </c>
      <c r="J295" s="19">
        <f t="shared" ca="1" si="41"/>
        <v>5.5368850995660942E-3</v>
      </c>
      <c r="K295" s="19">
        <f t="shared" ca="1" si="42"/>
        <v>83.952272525889001</v>
      </c>
      <c r="L295" s="19">
        <f t="shared" ca="1" si="43"/>
        <v>-0.46227452588900064</v>
      </c>
      <c r="M295" s="19">
        <f t="shared" ca="1" si="44"/>
        <v>0.5081903793681235</v>
      </c>
      <c r="AA295" s="37">
        <v>275</v>
      </c>
      <c r="AB295" s="37">
        <v>1.7288623077096228</v>
      </c>
      <c r="AC295" s="37">
        <v>2.720816155268436</v>
      </c>
      <c r="AD295" s="37">
        <v>3.3563897654957167</v>
      </c>
    </row>
    <row r="296" spans="2:30" x14ac:dyDescent="0.3">
      <c r="B296" s="28">
        <v>43056</v>
      </c>
      <c r="C296" s="25">
        <v>43.669998</v>
      </c>
      <c r="D296" s="18">
        <f t="shared" si="36"/>
        <v>-1.5554620929787544E-2</v>
      </c>
      <c r="E296" s="32">
        <f t="shared" ca="1" si="37"/>
        <v>2.1087683742713866E-2</v>
      </c>
      <c r="F296" s="18">
        <f t="shared" ca="1" si="38"/>
        <v>59.539623860125332</v>
      </c>
      <c r="G296" s="19">
        <f t="shared" ca="1" si="39"/>
        <v>-1.2296228601253318</v>
      </c>
      <c r="H296" s="27">
        <v>58.889999000000003</v>
      </c>
      <c r="I296" s="19">
        <f t="shared" si="40"/>
        <v>8.3903593017000677E-3</v>
      </c>
      <c r="J296" s="19">
        <f t="shared" ca="1" si="41"/>
        <v>-1.1432726968541125E-2</v>
      </c>
      <c r="K296" s="19">
        <f t="shared" ca="1" si="42"/>
        <v>82.535479648261955</v>
      </c>
      <c r="L296" s="19">
        <f t="shared" ca="1" si="43"/>
        <v>0.95451835173804511</v>
      </c>
      <c r="M296" s="19">
        <f t="shared" ca="1" si="44"/>
        <v>-0.27510450838728673</v>
      </c>
      <c r="AA296" s="37">
        <v>276</v>
      </c>
      <c r="AB296" s="37">
        <v>1.8059841785570201</v>
      </c>
      <c r="AC296" s="37">
        <v>2.9157235388252674</v>
      </c>
      <c r="AD296" s="37">
        <v>3.4603834403042035</v>
      </c>
    </row>
    <row r="297" spans="2:30" x14ac:dyDescent="0.3">
      <c r="B297" s="28">
        <v>43060</v>
      </c>
      <c r="C297" s="25">
        <v>44.279998999999997</v>
      </c>
      <c r="D297" s="18">
        <f t="shared" si="36"/>
        <v>1.3968422897569166E-2</v>
      </c>
      <c r="E297" s="32">
        <f t="shared" ca="1" si="37"/>
        <v>2.6976594021091128E-3</v>
      </c>
      <c r="F297" s="18">
        <f t="shared" ca="1" si="38"/>
        <v>58.467301522434639</v>
      </c>
      <c r="G297" s="19">
        <f t="shared" ca="1" si="39"/>
        <v>-0.15730052243463888</v>
      </c>
      <c r="H297" s="27">
        <v>59.849997999999999</v>
      </c>
      <c r="I297" s="19">
        <f t="shared" si="40"/>
        <v>1.6301562511488621E-2</v>
      </c>
      <c r="J297" s="19">
        <f t="shared" ca="1" si="41"/>
        <v>-7.7789536132740712E-3</v>
      </c>
      <c r="K297" s="19">
        <f t="shared" ca="1" si="42"/>
        <v>82.840533178385655</v>
      </c>
      <c r="L297" s="19">
        <f t="shared" ca="1" si="43"/>
        <v>0.6494648216143446</v>
      </c>
      <c r="M297" s="19">
        <f t="shared" ca="1" si="44"/>
        <v>0.49216429917970572</v>
      </c>
      <c r="AA297" s="37">
        <v>277</v>
      </c>
      <c r="AB297" s="37">
        <v>1.7884300295535198</v>
      </c>
      <c r="AC297" s="37">
        <v>2.9350683726897722</v>
      </c>
      <c r="AD297" s="37">
        <v>3.2661950330806113</v>
      </c>
    </row>
    <row r="298" spans="2:30" x14ac:dyDescent="0.3">
      <c r="B298" s="28">
        <v>43061</v>
      </c>
      <c r="C298" s="25">
        <v>44.419998</v>
      </c>
      <c r="D298" s="18">
        <f t="shared" si="36"/>
        <v>3.1616757714922894E-3</v>
      </c>
      <c r="E298" s="32">
        <f t="shared" ca="1" si="37"/>
        <v>1.4673346497090683E-2</v>
      </c>
      <c r="F298" s="18">
        <f t="shared" ca="1" si="38"/>
        <v>59.165603848918707</v>
      </c>
      <c r="G298" s="19">
        <f t="shared" ca="1" si="39"/>
        <v>-0.85560284891870708</v>
      </c>
      <c r="H298" s="27">
        <v>61.52</v>
      </c>
      <c r="I298" s="19">
        <f t="shared" si="40"/>
        <v>2.7903125410296603E-2</v>
      </c>
      <c r="J298" s="19">
        <f t="shared" ca="1" si="41"/>
        <v>3.7156164856589596E-2</v>
      </c>
      <c r="K298" s="19">
        <f t="shared" ca="1" si="42"/>
        <v>86.592166129564347</v>
      </c>
      <c r="L298" s="19">
        <f t="shared" ca="1" si="43"/>
        <v>-3.1021681295643475</v>
      </c>
      <c r="M298" s="19">
        <f t="shared" ca="1" si="44"/>
        <v>-3.9577709784830546</v>
      </c>
      <c r="AA298" s="37">
        <v>278</v>
      </c>
      <c r="AB298" s="37">
        <v>1.7612767285843101</v>
      </c>
      <c r="AC298" s="37">
        <v>2.8027424032835397</v>
      </c>
      <c r="AD298" s="37">
        <v>3.4643579123117898</v>
      </c>
    </row>
    <row r="299" spans="2:30" x14ac:dyDescent="0.3">
      <c r="B299" s="28">
        <v>43062</v>
      </c>
      <c r="C299" s="25">
        <v>44.48</v>
      </c>
      <c r="D299" s="18">
        <f t="shared" si="36"/>
        <v>1.3507879941820899E-3</v>
      </c>
      <c r="E299" s="32">
        <f t="shared" ca="1" si="37"/>
        <v>2.9816426909112192E-2</v>
      </c>
      <c r="F299" s="18">
        <f t="shared" ca="1" si="38"/>
        <v>60.048596882886756</v>
      </c>
      <c r="G299" s="19">
        <f t="shared" ca="1" si="39"/>
        <v>-1.7385958828867558</v>
      </c>
      <c r="H299" s="27">
        <v>60.240001999999997</v>
      </c>
      <c r="I299" s="19">
        <f t="shared" si="40"/>
        <v>-2.0806209362808969E-2</v>
      </c>
      <c r="J299" s="19">
        <f t="shared" ca="1" si="41"/>
        <v>2.4096350329626138E-2</v>
      </c>
      <c r="K299" s="19">
        <f t="shared" ca="1" si="42"/>
        <v>85.501802240827786</v>
      </c>
      <c r="L299" s="19">
        <f t="shared" ca="1" si="43"/>
        <v>-2.0118042408277859</v>
      </c>
      <c r="M299" s="19">
        <f t="shared" ca="1" si="44"/>
        <v>-3.7504001237145417</v>
      </c>
      <c r="AA299" s="37">
        <v>279</v>
      </c>
      <c r="AB299" s="37">
        <v>1.7071299255867138</v>
      </c>
      <c r="AC299" s="37">
        <v>2.7944584151377794</v>
      </c>
      <c r="AD299" s="37">
        <v>3.210920086622524</v>
      </c>
    </row>
    <row r="300" spans="2:30" x14ac:dyDescent="0.3">
      <c r="B300" s="28">
        <v>43063</v>
      </c>
      <c r="C300" s="25">
        <v>44.27</v>
      </c>
      <c r="D300" s="18">
        <f t="shared" si="36"/>
        <v>-4.7212230215826212E-3</v>
      </c>
      <c r="E300" s="32">
        <f t="shared" ca="1" si="37"/>
        <v>1.1246231992250867E-2</v>
      </c>
      <c r="F300" s="18">
        <f t="shared" ca="1" si="38"/>
        <v>58.965768798714379</v>
      </c>
      <c r="G300" s="19">
        <f t="shared" ca="1" si="39"/>
        <v>-0.65576779871437907</v>
      </c>
      <c r="H300" s="27">
        <v>60.560001</v>
      </c>
      <c r="I300" s="19">
        <f t="shared" si="40"/>
        <v>5.3120682167309141E-3</v>
      </c>
      <c r="J300" s="19">
        <f t="shared" ca="1" si="41"/>
        <v>-6.7808238779539049E-3</v>
      </c>
      <c r="K300" s="19">
        <f t="shared" ca="1" si="42"/>
        <v>82.923867027991278</v>
      </c>
      <c r="L300" s="19">
        <f t="shared" ca="1" si="43"/>
        <v>0.56613097200872176</v>
      </c>
      <c r="M300" s="19">
        <f t="shared" ca="1" si="44"/>
        <v>-8.9636826705657313E-2</v>
      </c>
      <c r="AA300" s="37">
        <v>280</v>
      </c>
      <c r="AB300" s="37">
        <v>1.7067059369856905</v>
      </c>
      <c r="AC300" s="37">
        <v>2.8509783924334879</v>
      </c>
      <c r="AD300" s="37">
        <v>3.3515568573818806</v>
      </c>
    </row>
    <row r="301" spans="2:30" x14ac:dyDescent="0.3">
      <c r="B301" s="28">
        <v>43066</v>
      </c>
      <c r="C301" s="25">
        <v>43.599997999999999</v>
      </c>
      <c r="D301" s="18">
        <f t="shared" si="36"/>
        <v>-1.5134447707251031E-2</v>
      </c>
      <c r="E301" s="32">
        <f t="shared" ca="1" si="37"/>
        <v>2.3457112085319452E-4</v>
      </c>
      <c r="F301" s="18">
        <f t="shared" ca="1" si="38"/>
        <v>58.323678842291514</v>
      </c>
      <c r="G301" s="19">
        <f t="shared" ca="1" si="39"/>
        <v>-1.3677842291514253E-2</v>
      </c>
      <c r="H301" s="27">
        <v>59.970001000000003</v>
      </c>
      <c r="I301" s="19">
        <f t="shared" si="40"/>
        <v>-9.7424040663406375E-3</v>
      </c>
      <c r="J301" s="19">
        <f t="shared" ca="1" si="41"/>
        <v>9.7370298487182755E-4</v>
      </c>
      <c r="K301" s="19">
        <f t="shared" ca="1" si="42"/>
        <v>83.571292460259542</v>
      </c>
      <c r="L301" s="19">
        <f t="shared" ca="1" si="43"/>
        <v>-8.1294460259542234E-2</v>
      </c>
      <c r="M301" s="19">
        <f t="shared" ca="1" si="44"/>
        <v>-9.4972302551056487E-2</v>
      </c>
      <c r="AA301" s="37">
        <v>281</v>
      </c>
      <c r="AB301" s="37">
        <v>1.8034925178359618</v>
      </c>
      <c r="AC301" s="37">
        <v>2.8887254999956724</v>
      </c>
      <c r="AD301" s="37">
        <v>3.3451677936114881</v>
      </c>
    </row>
    <row r="302" spans="2:30" x14ac:dyDescent="0.3">
      <c r="B302" s="28">
        <v>43067</v>
      </c>
      <c r="C302" s="25">
        <v>43.099997999999999</v>
      </c>
      <c r="D302" s="18">
        <f t="shared" si="36"/>
        <v>-1.1467890434306849E-2</v>
      </c>
      <c r="E302" s="32">
        <f t="shared" ca="1" si="37"/>
        <v>-1.4729192209988516E-2</v>
      </c>
      <c r="F302" s="18">
        <f t="shared" ca="1" si="38"/>
        <v>57.45114178750638</v>
      </c>
      <c r="G302" s="19">
        <f t="shared" ca="1" si="39"/>
        <v>0.85885921249361985</v>
      </c>
      <c r="H302" s="27">
        <v>60.799999</v>
      </c>
      <c r="I302" s="19">
        <f t="shared" si="40"/>
        <v>1.3840219879269311E-2</v>
      </c>
      <c r="J302" s="19">
        <f t="shared" ca="1" si="41"/>
        <v>1.2757723283963008E-2</v>
      </c>
      <c r="K302" s="19">
        <f t="shared" ca="1" si="42"/>
        <v>84.555140291462635</v>
      </c>
      <c r="L302" s="19">
        <f t="shared" ca="1" si="43"/>
        <v>-1.0651422914626352</v>
      </c>
      <c r="M302" s="19">
        <f t="shared" ca="1" si="44"/>
        <v>-0.20628307896901532</v>
      </c>
      <c r="AA302" s="37">
        <v>282</v>
      </c>
      <c r="AB302" s="37">
        <v>1.9044416026694313</v>
      </c>
      <c r="AC302" s="37">
        <v>2.9499276375255059</v>
      </c>
      <c r="AD302" s="37">
        <v>3.2842670222450532</v>
      </c>
    </row>
    <row r="303" spans="2:30" x14ac:dyDescent="0.3">
      <c r="B303" s="28">
        <v>43068</v>
      </c>
      <c r="C303" s="25">
        <v>44.139999000000003</v>
      </c>
      <c r="D303" s="18">
        <f t="shared" si="36"/>
        <v>2.4129954716007207E-2</v>
      </c>
      <c r="E303" s="32">
        <f t="shared" ca="1" si="37"/>
        <v>-9.8056705902591149E-3</v>
      </c>
      <c r="F303" s="18">
        <f t="shared" ca="1" si="38"/>
        <v>57.738232338076315</v>
      </c>
      <c r="G303" s="19">
        <f t="shared" ca="1" si="39"/>
        <v>0.57176866192368436</v>
      </c>
      <c r="H303" s="27">
        <v>60.689999</v>
      </c>
      <c r="I303" s="19">
        <f t="shared" si="40"/>
        <v>-1.8092105560725269E-3</v>
      </c>
      <c r="J303" s="19">
        <f t="shared" ca="1" si="41"/>
        <v>-2.1778897655588689E-2</v>
      </c>
      <c r="K303" s="19">
        <f t="shared" ca="1" si="42"/>
        <v>81.671677878292698</v>
      </c>
      <c r="L303" s="19">
        <f t="shared" ca="1" si="43"/>
        <v>1.818320121707302</v>
      </c>
      <c r="M303" s="19">
        <f t="shared" ca="1" si="44"/>
        <v>2.3900887836309863</v>
      </c>
      <c r="AA303" s="37">
        <v>283</v>
      </c>
      <c r="AB303" s="37">
        <v>1.8502144192729224</v>
      </c>
      <c r="AC303" s="37">
        <v>2.77436998926138</v>
      </c>
      <c r="AD303" s="37">
        <v>3.2197622452685799</v>
      </c>
    </row>
    <row r="304" spans="2:30" x14ac:dyDescent="0.3">
      <c r="B304" s="28">
        <v>43069</v>
      </c>
      <c r="C304" s="25">
        <v>43.450001</v>
      </c>
      <c r="D304" s="18">
        <f t="shared" si="36"/>
        <v>-1.5632034790032612E-2</v>
      </c>
      <c r="E304" s="32">
        <f t="shared" ca="1" si="37"/>
        <v>2.4310458565427046E-2</v>
      </c>
      <c r="F304" s="18">
        <f t="shared" ca="1" si="38"/>
        <v>59.727543863260507</v>
      </c>
      <c r="G304" s="19">
        <f t="shared" ca="1" si="39"/>
        <v>-1.4175428632605076</v>
      </c>
      <c r="H304" s="27">
        <v>58.330002</v>
      </c>
      <c r="I304" s="19">
        <f t="shared" si="40"/>
        <v>-3.8886093901566832E-2</v>
      </c>
      <c r="J304" s="19">
        <f t="shared" ca="1" si="41"/>
        <v>-1.6833469766681569E-2</v>
      </c>
      <c r="K304" s="19">
        <f t="shared" ca="1" si="42"/>
        <v>82.084571642846697</v>
      </c>
      <c r="L304" s="19">
        <f t="shared" ca="1" si="43"/>
        <v>1.4054263571533028</v>
      </c>
      <c r="M304" s="19">
        <f t="shared" ca="1" si="44"/>
        <v>-1.2116506107204827E-2</v>
      </c>
      <c r="AA304" s="37">
        <v>284</v>
      </c>
      <c r="AB304" s="37">
        <v>1.7375646005037919</v>
      </c>
      <c r="AC304" s="37">
        <v>2.8070122072014669</v>
      </c>
      <c r="AD304" s="37">
        <v>3.4095308971086107</v>
      </c>
    </row>
    <row r="305" spans="2:30" x14ac:dyDescent="0.3">
      <c r="B305" s="28">
        <v>43070</v>
      </c>
      <c r="C305" s="25">
        <v>43.450001</v>
      </c>
      <c r="D305" s="18">
        <f t="shared" si="36"/>
        <v>0</v>
      </c>
      <c r="E305" s="32">
        <f t="shared" ca="1" si="37"/>
        <v>-3.4610324934621316E-3</v>
      </c>
      <c r="F305" s="18">
        <f t="shared" ca="1" si="38"/>
        <v>58.108188191845194</v>
      </c>
      <c r="G305" s="19">
        <f t="shared" ca="1" si="39"/>
        <v>0.20181280815480562</v>
      </c>
      <c r="H305" s="27">
        <v>58.25</v>
      </c>
      <c r="I305" s="19">
        <f t="shared" si="40"/>
        <v>-1.3715411839004821E-3</v>
      </c>
      <c r="J305" s="19">
        <f t="shared" ca="1" si="41"/>
        <v>-9.6335403593317149E-3</v>
      </c>
      <c r="K305" s="19">
        <f t="shared" ca="1" si="42"/>
        <v>82.685693734666472</v>
      </c>
      <c r="L305" s="19">
        <f t="shared" ca="1" si="43"/>
        <v>0.80430426533352772</v>
      </c>
      <c r="M305" s="19">
        <f t="shared" ca="1" si="44"/>
        <v>1.0061170734883333</v>
      </c>
      <c r="AA305" s="37">
        <v>285</v>
      </c>
      <c r="AB305" s="37">
        <v>1.7511028453383322</v>
      </c>
      <c r="AC305" s="37">
        <v>3.0865549296764923</v>
      </c>
      <c r="AD305" s="37">
        <v>3.1528772711904511</v>
      </c>
    </row>
    <row r="306" spans="2:30" x14ac:dyDescent="0.3">
      <c r="B306" s="28">
        <v>43073</v>
      </c>
      <c r="C306" s="25">
        <v>43.43</v>
      </c>
      <c r="D306" s="18">
        <f t="shared" si="36"/>
        <v>-4.6032219884184489E-4</v>
      </c>
      <c r="E306" s="32">
        <f t="shared" ca="1" si="37"/>
        <v>1.7345349859732705E-2</v>
      </c>
      <c r="F306" s="18">
        <f t="shared" ca="1" si="38"/>
        <v>59.321408367666365</v>
      </c>
      <c r="G306" s="19">
        <f t="shared" ca="1" si="39"/>
        <v>-1.0114073676663651</v>
      </c>
      <c r="H306" s="27">
        <v>58.02</v>
      </c>
      <c r="I306" s="19">
        <f t="shared" si="40"/>
        <v>-3.9484978540772486E-3</v>
      </c>
      <c r="J306" s="19">
        <f t="shared" ca="1" si="41"/>
        <v>3.36667906106084E-3</v>
      </c>
      <c r="K306" s="19">
        <f t="shared" ca="1" si="42"/>
        <v>83.771082028074616</v>
      </c>
      <c r="L306" s="19">
        <f t="shared" ca="1" si="43"/>
        <v>-0.2810840280746163</v>
      </c>
      <c r="M306" s="19">
        <f t="shared" ca="1" si="44"/>
        <v>-1.2924913957409814</v>
      </c>
      <c r="AA306" s="37">
        <v>286</v>
      </c>
      <c r="AB306" s="37">
        <v>1.8317193296366638</v>
      </c>
      <c r="AC306" s="37">
        <v>2.845176932277524</v>
      </c>
      <c r="AD306" s="37">
        <v>3.5679880914486208</v>
      </c>
    </row>
    <row r="307" spans="2:30" x14ac:dyDescent="0.3">
      <c r="B307" s="28">
        <v>43074</v>
      </c>
      <c r="C307" s="25">
        <v>43.380001</v>
      </c>
      <c r="D307" s="18">
        <f t="shared" si="36"/>
        <v>-1.1512548929311084E-3</v>
      </c>
      <c r="E307" s="32">
        <f t="shared" ca="1" si="37"/>
        <v>2.5772796823291727E-2</v>
      </c>
      <c r="F307" s="18">
        <f t="shared" ca="1" si="38"/>
        <v>59.812812808538936</v>
      </c>
      <c r="G307" s="19">
        <f t="shared" ca="1" si="39"/>
        <v>-1.5028118085389366</v>
      </c>
      <c r="H307" s="27">
        <v>58.07</v>
      </c>
      <c r="I307" s="19">
        <f t="shared" si="40"/>
        <v>8.6177180282653865E-4</v>
      </c>
      <c r="J307" s="19">
        <f t="shared" ca="1" si="41"/>
        <v>-2.223615522462016E-2</v>
      </c>
      <c r="K307" s="19">
        <f t="shared" ca="1" si="42"/>
        <v>81.633501444768768</v>
      </c>
      <c r="L307" s="19">
        <f t="shared" ca="1" si="43"/>
        <v>1.8564965552312316</v>
      </c>
      <c r="M307" s="19">
        <f t="shared" ca="1" si="44"/>
        <v>0.35368474669229499</v>
      </c>
      <c r="AA307" s="37">
        <v>287</v>
      </c>
      <c r="AB307" s="37">
        <v>1.7103522567429223</v>
      </c>
      <c r="AC307" s="37">
        <v>2.9685312085743223</v>
      </c>
      <c r="AD307" s="37">
        <v>3.350140729390743</v>
      </c>
    </row>
    <row r="308" spans="2:30" x14ac:dyDescent="0.3">
      <c r="B308" s="28">
        <v>43075</v>
      </c>
      <c r="C308" s="25">
        <v>42.509998000000003</v>
      </c>
      <c r="D308" s="18">
        <f t="shared" si="36"/>
        <v>-2.0055393728552362E-2</v>
      </c>
      <c r="E308" s="32">
        <f t="shared" ca="1" si="37"/>
        <v>2.105783163839569E-2</v>
      </c>
      <c r="F308" s="18">
        <f t="shared" ca="1" si="38"/>
        <v>59.537883183892681</v>
      </c>
      <c r="G308" s="19">
        <f t="shared" ca="1" si="39"/>
        <v>-1.2278821838926817</v>
      </c>
      <c r="H308" s="27">
        <v>57</v>
      </c>
      <c r="I308" s="19">
        <f t="shared" si="40"/>
        <v>-1.8426037540898887E-2</v>
      </c>
      <c r="J308" s="19">
        <f t="shared" ca="1" si="41"/>
        <v>2.1525504698677034E-2</v>
      </c>
      <c r="K308" s="19">
        <f t="shared" ca="1" si="42"/>
        <v>85.287162344241537</v>
      </c>
      <c r="L308" s="19">
        <f t="shared" ca="1" si="43"/>
        <v>-1.797164344241537</v>
      </c>
      <c r="M308" s="19">
        <f t="shared" ca="1" si="44"/>
        <v>-3.0250465281342187</v>
      </c>
      <c r="AA308" s="37">
        <v>288</v>
      </c>
      <c r="AB308" s="37">
        <v>1.9132291671024455</v>
      </c>
      <c r="AC308" s="37">
        <v>2.7745561964699514</v>
      </c>
      <c r="AD308" s="37">
        <v>3.5420545876319474</v>
      </c>
    </row>
    <row r="309" spans="2:30" x14ac:dyDescent="0.3">
      <c r="B309" s="28">
        <v>43076</v>
      </c>
      <c r="C309" s="25">
        <v>42.509998000000003</v>
      </c>
      <c r="D309" s="18">
        <f t="shared" si="36"/>
        <v>0</v>
      </c>
      <c r="E309" s="32">
        <f t="shared" ca="1" si="37"/>
        <v>-7.76237568658653E-3</v>
      </c>
      <c r="F309" s="18">
        <f t="shared" ca="1" si="38"/>
        <v>57.857376865952759</v>
      </c>
      <c r="G309" s="19">
        <f t="shared" ca="1" si="39"/>
        <v>0.452624134047241</v>
      </c>
      <c r="H309" s="27">
        <v>58.849997999999999</v>
      </c>
      <c r="I309" s="19">
        <f t="shared" si="40"/>
        <v>3.2456105263157786E-2</v>
      </c>
      <c r="J309" s="19">
        <f t="shared" ca="1" si="41"/>
        <v>-1.6394971572081578E-2</v>
      </c>
      <c r="K309" s="19">
        <f t="shared" ca="1" si="42"/>
        <v>82.121181856236845</v>
      </c>
      <c r="L309" s="19">
        <f t="shared" ca="1" si="43"/>
        <v>1.368816143763155</v>
      </c>
      <c r="M309" s="19">
        <f t="shared" ca="1" si="44"/>
        <v>1.821440277810396</v>
      </c>
      <c r="AA309" s="37">
        <v>289</v>
      </c>
      <c r="AB309" s="37">
        <v>1.7349645969277427</v>
      </c>
      <c r="AC309" s="37">
        <v>2.7713343711750618</v>
      </c>
      <c r="AD309" s="37">
        <v>3.2206635293560426</v>
      </c>
    </row>
    <row r="310" spans="2:30" x14ac:dyDescent="0.3">
      <c r="B310" s="28">
        <v>43077</v>
      </c>
      <c r="C310" s="25">
        <v>42.650002000000001</v>
      </c>
      <c r="D310" s="18">
        <f t="shared" si="36"/>
        <v>3.2934369933397267E-3</v>
      </c>
      <c r="E310" s="32">
        <f t="shared" ca="1" si="37"/>
        <v>-8.3696066009511776E-3</v>
      </c>
      <c r="F310" s="18">
        <f t="shared" ca="1" si="38"/>
        <v>57.821969230728925</v>
      </c>
      <c r="G310" s="19">
        <f t="shared" ca="1" si="39"/>
        <v>0.48803176927107472</v>
      </c>
      <c r="H310" s="27">
        <v>58.939999</v>
      </c>
      <c r="I310" s="19">
        <f t="shared" si="40"/>
        <v>1.5293288540128014E-3</v>
      </c>
      <c r="J310" s="19">
        <f t="shared" ca="1" si="41"/>
        <v>-2.5158096149013685E-2</v>
      </c>
      <c r="K310" s="19">
        <f t="shared" ca="1" si="42"/>
        <v>81.389548602835049</v>
      </c>
      <c r="L310" s="19">
        <f t="shared" ca="1" si="43"/>
        <v>2.1004493971649509</v>
      </c>
      <c r="M310" s="19">
        <f t="shared" ca="1" si="44"/>
        <v>2.5884811664360257</v>
      </c>
      <c r="AA310" s="37">
        <v>290</v>
      </c>
      <c r="AB310" s="37">
        <v>1.869446483573646</v>
      </c>
      <c r="AC310" s="37">
        <v>2.9712804385798539</v>
      </c>
      <c r="AD310" s="37">
        <v>3.202284958687851</v>
      </c>
    </row>
    <row r="311" spans="2:30" x14ac:dyDescent="0.3">
      <c r="B311" s="28">
        <v>43080</v>
      </c>
      <c r="C311" s="25">
        <v>42.360000999999997</v>
      </c>
      <c r="D311" s="18">
        <f t="shared" si="36"/>
        <v>-6.7995541946282989E-3</v>
      </c>
      <c r="E311" s="32">
        <f t="shared" ca="1" si="37"/>
        <v>-1.2010488876248906E-2</v>
      </c>
      <c r="F311" s="18">
        <f t="shared" ca="1" si="38"/>
        <v>57.60966938161544</v>
      </c>
      <c r="G311" s="19">
        <f t="shared" ca="1" si="39"/>
        <v>0.70033161838455982</v>
      </c>
      <c r="H311" s="27">
        <v>58.939999</v>
      </c>
      <c r="I311" s="19">
        <f t="shared" si="40"/>
        <v>0</v>
      </c>
      <c r="J311" s="19">
        <f t="shared" ca="1" si="41"/>
        <v>-2.4250037896529769E-2</v>
      </c>
      <c r="K311" s="19">
        <f t="shared" ca="1" si="42"/>
        <v>81.465362384518798</v>
      </c>
      <c r="L311" s="19">
        <f t="shared" ca="1" si="43"/>
        <v>2.024635615481202</v>
      </c>
      <c r="M311" s="19">
        <f t="shared" ca="1" si="44"/>
        <v>2.7249672338657618</v>
      </c>
      <c r="AA311" s="37">
        <v>291</v>
      </c>
      <c r="AB311" s="37">
        <v>1.848411912733517</v>
      </c>
      <c r="AC311" s="37">
        <v>2.8401608772649989</v>
      </c>
      <c r="AD311" s="37">
        <v>3.3711966132558393</v>
      </c>
    </row>
    <row r="312" spans="2:30" x14ac:dyDescent="0.3">
      <c r="B312" s="28">
        <v>43082</v>
      </c>
      <c r="C312" s="25">
        <v>43.849997999999999</v>
      </c>
      <c r="D312" s="18">
        <f t="shared" si="36"/>
        <v>3.5174621454801214E-2</v>
      </c>
      <c r="E312" s="32">
        <f t="shared" ca="1" si="37"/>
        <v>1.0097235413094596E-2</v>
      </c>
      <c r="F312" s="18">
        <f t="shared" ca="1" si="38"/>
        <v>58.898770807034779</v>
      </c>
      <c r="G312" s="19">
        <f t="shared" ca="1" si="39"/>
        <v>-0.58876980703477955</v>
      </c>
      <c r="H312" s="27">
        <v>60.689999</v>
      </c>
      <c r="I312" s="19">
        <f t="shared" si="40"/>
        <v>2.9691211905178427E-2</v>
      </c>
      <c r="J312" s="19">
        <f t="shared" ca="1" si="41"/>
        <v>-2.2847070259718442E-2</v>
      </c>
      <c r="K312" s="19">
        <f t="shared" ca="1" si="42"/>
        <v>81.582496149710252</v>
      </c>
      <c r="L312" s="19">
        <f t="shared" ca="1" si="43"/>
        <v>1.9075018502897478</v>
      </c>
      <c r="M312" s="19">
        <f t="shared" ca="1" si="44"/>
        <v>1.3187320432549683</v>
      </c>
      <c r="AA312" s="37">
        <v>292</v>
      </c>
      <c r="AB312" s="37">
        <v>1.7055561622931159</v>
      </c>
      <c r="AC312" s="37">
        <v>2.9542239910393695</v>
      </c>
      <c r="AD312" s="37">
        <v>3.4665278950429004</v>
      </c>
    </row>
    <row r="313" spans="2:30" x14ac:dyDescent="0.3">
      <c r="B313" s="28">
        <v>43083</v>
      </c>
      <c r="C313" s="25">
        <v>44.139999000000003</v>
      </c>
      <c r="D313" s="18">
        <f t="shared" si="36"/>
        <v>6.6134780667492787E-3</v>
      </c>
      <c r="E313" s="32">
        <f t="shared" ca="1" si="37"/>
        <v>-2.0690253885031662E-3</v>
      </c>
      <c r="F313" s="18">
        <f t="shared" ca="1" si="38"/>
        <v>58.189356127527354</v>
      </c>
      <c r="G313" s="19">
        <f t="shared" ca="1" si="39"/>
        <v>0.12064487247264566</v>
      </c>
      <c r="H313" s="27">
        <v>59.959999000000003</v>
      </c>
      <c r="I313" s="19">
        <f t="shared" si="40"/>
        <v>-1.2028340946257043E-2</v>
      </c>
      <c r="J313" s="19">
        <f t="shared" ca="1" si="41"/>
        <v>-5.293902027225017E-3</v>
      </c>
      <c r="K313" s="19">
        <f t="shared" ca="1" si="42"/>
        <v>83.048010130334788</v>
      </c>
      <c r="L313" s="19">
        <f t="shared" ca="1" si="43"/>
        <v>0.44198786966521197</v>
      </c>
      <c r="M313" s="19">
        <f t="shared" ca="1" si="44"/>
        <v>0.56263274213785763</v>
      </c>
      <c r="AA313" s="37">
        <v>293</v>
      </c>
      <c r="AB313" s="37">
        <v>1.8477350609260017</v>
      </c>
      <c r="AC313" s="37">
        <v>2.7100053112296458</v>
      </c>
      <c r="AD313" s="37">
        <v>3.3149288484979329</v>
      </c>
    </row>
    <row r="314" spans="2:30" x14ac:dyDescent="0.3">
      <c r="B314" s="28">
        <v>43084</v>
      </c>
      <c r="C314" s="25">
        <v>44.09</v>
      </c>
      <c r="D314" s="18">
        <f t="shared" si="36"/>
        <v>-1.1327367723773518E-3</v>
      </c>
      <c r="E314" s="32">
        <f t="shared" ca="1" si="37"/>
        <v>3.7610384364901358E-4</v>
      </c>
      <c r="F314" s="18">
        <f t="shared" ca="1" si="38"/>
        <v>58.331931615499272</v>
      </c>
      <c r="G314" s="19">
        <f t="shared" ca="1" si="39"/>
        <v>-2.1930615499272221E-2</v>
      </c>
      <c r="H314" s="27">
        <v>59.93</v>
      </c>
      <c r="I314" s="19">
        <f t="shared" si="40"/>
        <v>-5.0031688626284154E-4</v>
      </c>
      <c r="J314" s="19">
        <f t="shared" ca="1" si="41"/>
        <v>6.0509272708234229E-3</v>
      </c>
      <c r="K314" s="19">
        <f t="shared" ca="1" si="42"/>
        <v>83.995189905739181</v>
      </c>
      <c r="L314" s="19">
        <f t="shared" ca="1" si="43"/>
        <v>-0.50519190573918138</v>
      </c>
      <c r="M314" s="19">
        <f t="shared" ca="1" si="44"/>
        <v>-0.5271225212384536</v>
      </c>
      <c r="AA314" s="37">
        <v>294</v>
      </c>
      <c r="AB314" s="37">
        <v>1.6773112874141167</v>
      </c>
      <c r="AC314" s="37">
        <v>2.9425105112791319</v>
      </c>
      <c r="AD314" s="37">
        <v>3.4791474173724799</v>
      </c>
    </row>
    <row r="315" spans="2:30" x14ac:dyDescent="0.3">
      <c r="B315" s="28">
        <v>43087</v>
      </c>
      <c r="C315" s="25">
        <v>43.82</v>
      </c>
      <c r="D315" s="18">
        <f t="shared" si="36"/>
        <v>-6.1238376048990961E-3</v>
      </c>
      <c r="E315" s="32">
        <f t="shared" ca="1" si="37"/>
        <v>-2.9027854381531076E-2</v>
      </c>
      <c r="F315" s="18">
        <f t="shared" ca="1" si="38"/>
        <v>56.617386781985068</v>
      </c>
      <c r="G315" s="19">
        <f t="shared" ca="1" si="39"/>
        <v>1.6926142180149313</v>
      </c>
      <c r="H315" s="27">
        <v>60.799999</v>
      </c>
      <c r="I315" s="19">
        <f t="shared" si="40"/>
        <v>1.4516919739696377E-2</v>
      </c>
      <c r="J315" s="19">
        <f t="shared" ca="1" si="41"/>
        <v>1.7395373641255516E-2</v>
      </c>
      <c r="K315" s="19">
        <f t="shared" ca="1" si="42"/>
        <v>84.942337710517677</v>
      </c>
      <c r="L315" s="19">
        <f t="shared" ca="1" si="43"/>
        <v>-1.452339710517677</v>
      </c>
      <c r="M315" s="19">
        <f t="shared" ca="1" si="44"/>
        <v>0.24027450749725432</v>
      </c>
      <c r="AA315" s="37">
        <v>295</v>
      </c>
      <c r="AB315" s="37">
        <v>1.7193668417174877</v>
      </c>
      <c r="AC315" s="37">
        <v>3.008557616799163</v>
      </c>
      <c r="AD315" s="37">
        <v>3.4181368473834235</v>
      </c>
    </row>
    <row r="316" spans="2:30" x14ac:dyDescent="0.3">
      <c r="B316" s="28">
        <v>43088</v>
      </c>
      <c r="C316" s="25">
        <v>42.75</v>
      </c>
      <c r="D316" s="18">
        <f t="shared" si="36"/>
        <v>-2.4418073938840767E-2</v>
      </c>
      <c r="E316" s="32">
        <f t="shared" ca="1" si="37"/>
        <v>1.374616651410593E-2</v>
      </c>
      <c r="F316" s="18">
        <f t="shared" ca="1" si="38"/>
        <v>59.111539983183683</v>
      </c>
      <c r="G316" s="19">
        <f t="shared" ca="1" si="39"/>
        <v>-0.80153898318368277</v>
      </c>
      <c r="H316" s="27">
        <v>61.049999</v>
      </c>
      <c r="I316" s="19">
        <f t="shared" si="40"/>
        <v>4.1118421728920662E-3</v>
      </c>
      <c r="J316" s="19">
        <f t="shared" ca="1" si="41"/>
        <v>2.4150819087329577E-4</v>
      </c>
      <c r="K316" s="19">
        <f t="shared" ca="1" si="42"/>
        <v>83.510161518372996</v>
      </c>
      <c r="L316" s="19">
        <f t="shared" ca="1" si="43"/>
        <v>-2.0163518372996236E-2</v>
      </c>
      <c r="M316" s="19">
        <f t="shared" ca="1" si="44"/>
        <v>-0.82170250155667901</v>
      </c>
      <c r="AA316" s="37">
        <v>296</v>
      </c>
      <c r="AB316" s="37">
        <v>1.7643211532920755</v>
      </c>
      <c r="AC316" s="37">
        <v>2.7857962697645289</v>
      </c>
      <c r="AD316" s="37">
        <v>3.2717757188047867</v>
      </c>
    </row>
    <row r="317" spans="2:30" x14ac:dyDescent="0.3">
      <c r="B317" s="28">
        <v>43089</v>
      </c>
      <c r="C317" s="25">
        <v>43</v>
      </c>
      <c r="D317" s="18">
        <f t="shared" si="36"/>
        <v>5.8479532163742132E-3</v>
      </c>
      <c r="E317" s="32">
        <f t="shared" ca="1" si="37"/>
        <v>1.6087690832856653E-2</v>
      </c>
      <c r="F317" s="18">
        <f t="shared" ca="1" si="38"/>
        <v>59.248074268551562</v>
      </c>
      <c r="G317" s="19">
        <f t="shared" ca="1" si="39"/>
        <v>-0.93807326855156248</v>
      </c>
      <c r="H317" s="27">
        <v>60.759998000000003</v>
      </c>
      <c r="I317" s="19">
        <f t="shared" si="40"/>
        <v>-4.7502212080298145E-3</v>
      </c>
      <c r="J317" s="19">
        <f t="shared" ca="1" si="41"/>
        <v>9.1862179277638015E-3</v>
      </c>
      <c r="K317" s="19">
        <f t="shared" ca="1" si="42"/>
        <v>84.256955316416565</v>
      </c>
      <c r="L317" s="19">
        <f t="shared" ca="1" si="43"/>
        <v>-0.7669573164165655</v>
      </c>
      <c r="M317" s="19">
        <f t="shared" ca="1" si="44"/>
        <v>-1.705030584968128</v>
      </c>
      <c r="AA317" s="37">
        <v>297</v>
      </c>
      <c r="AB317" s="37">
        <v>1.8009174870196429</v>
      </c>
      <c r="AC317" s="37">
        <v>3.0574205009690552</v>
      </c>
      <c r="AD317" s="37">
        <v>3.3679675374656566</v>
      </c>
    </row>
    <row r="318" spans="2:30" x14ac:dyDescent="0.3">
      <c r="B318" s="28">
        <v>43090</v>
      </c>
      <c r="C318" s="25">
        <v>42.98</v>
      </c>
      <c r="D318" s="18">
        <f t="shared" si="36"/>
        <v>-4.6511627906986597E-4</v>
      </c>
      <c r="E318" s="32">
        <f t="shared" ca="1" si="37"/>
        <v>-3.1447381194784962E-2</v>
      </c>
      <c r="F318" s="18">
        <f t="shared" ca="1" si="38"/>
        <v>56.476304171084706</v>
      </c>
      <c r="G318" s="19">
        <f t="shared" ca="1" si="39"/>
        <v>1.8336968289152935</v>
      </c>
      <c r="H318" s="27">
        <v>61.52</v>
      </c>
      <c r="I318" s="19">
        <f t="shared" si="40"/>
        <v>1.2508262426210059E-2</v>
      </c>
      <c r="J318" s="19">
        <f t="shared" ca="1" si="41"/>
        <v>3.0872628687166989E-2</v>
      </c>
      <c r="K318" s="19">
        <f t="shared" ca="1" si="42"/>
        <v>86.06755370734632</v>
      </c>
      <c r="L318" s="19">
        <f t="shared" ca="1" si="43"/>
        <v>-2.5775557073463204</v>
      </c>
      <c r="M318" s="19">
        <f t="shared" ca="1" si="44"/>
        <v>-0.74385887843102694</v>
      </c>
      <c r="AA318" s="37">
        <v>298</v>
      </c>
      <c r="AB318" s="37">
        <v>1.7281171129265611</v>
      </c>
      <c r="AC318" s="37">
        <v>3.0669591787132915</v>
      </c>
      <c r="AD318" s="37">
        <v>3.5397432464383183</v>
      </c>
    </row>
    <row r="319" spans="2:30" x14ac:dyDescent="0.3">
      <c r="B319" s="28">
        <v>43091</v>
      </c>
      <c r="C319" s="25">
        <v>42.279998999999997</v>
      </c>
      <c r="D319" s="18">
        <f t="shared" si="36"/>
        <v>-1.6286668217775691E-2</v>
      </c>
      <c r="E319" s="32">
        <f t="shared" ca="1" si="37"/>
        <v>-2.208586397162416E-3</v>
      </c>
      <c r="F319" s="18">
        <f t="shared" ca="1" si="38"/>
        <v>58.181218324972875</v>
      </c>
      <c r="G319" s="19">
        <f t="shared" ca="1" si="39"/>
        <v>0.12878267502712504</v>
      </c>
      <c r="H319" s="27">
        <v>62.27</v>
      </c>
      <c r="I319" s="19">
        <f t="shared" si="40"/>
        <v>1.2191157347204218E-2</v>
      </c>
      <c r="J319" s="19">
        <f t="shared" ca="1" si="41"/>
        <v>7.4115884863404265E-3</v>
      </c>
      <c r="K319" s="19">
        <f t="shared" ca="1" si="42"/>
        <v>84.108791507901387</v>
      </c>
      <c r="L319" s="19">
        <f t="shared" ca="1" si="43"/>
        <v>-0.61879350790138687</v>
      </c>
      <c r="M319" s="19">
        <f t="shared" ca="1" si="44"/>
        <v>-0.49001083287426184</v>
      </c>
      <c r="AA319" s="37">
        <v>299</v>
      </c>
      <c r="AB319" s="37">
        <v>1.6729980585055222</v>
      </c>
      <c r="AC319" s="37">
        <v>2.8067991055296608</v>
      </c>
      <c r="AD319" s="37">
        <v>3.5671951334814973</v>
      </c>
    </row>
    <row r="320" spans="2:30" x14ac:dyDescent="0.3">
      <c r="B320" s="28">
        <v>43095</v>
      </c>
      <c r="C320" s="25">
        <v>42.189999</v>
      </c>
      <c r="D320" s="18">
        <f t="shared" si="36"/>
        <v>-2.1286660862975815E-3</v>
      </c>
      <c r="E320" s="32">
        <f t="shared" ca="1" si="37"/>
        <v>-3.2477965535059494E-2</v>
      </c>
      <c r="F320" s="18">
        <f t="shared" ca="1" si="38"/>
        <v>56.41621079717271</v>
      </c>
      <c r="G320" s="19">
        <f t="shared" ca="1" si="39"/>
        <v>1.8937902028272902</v>
      </c>
      <c r="H320" s="27">
        <v>61.869999</v>
      </c>
      <c r="I320" s="19">
        <f t="shared" si="40"/>
        <v>-6.4236550505861745E-3</v>
      </c>
      <c r="J320" s="19">
        <f t="shared" ca="1" si="41"/>
        <v>1.1750629040979338E-2</v>
      </c>
      <c r="K320" s="19">
        <f t="shared" ca="1" si="42"/>
        <v>84.471057995130096</v>
      </c>
      <c r="L320" s="19">
        <f t="shared" ca="1" si="43"/>
        <v>-0.98105999513009579</v>
      </c>
      <c r="M320" s="19">
        <f t="shared" ca="1" si="44"/>
        <v>0.91273020769719437</v>
      </c>
      <c r="AA320" s="37">
        <v>300</v>
      </c>
      <c r="AB320" s="37">
        <v>1.7169947059094166</v>
      </c>
      <c r="AC320" s="37">
        <v>2.7731336836427034</v>
      </c>
      <c r="AD320" s="37">
        <v>3.5320333628607519</v>
      </c>
    </row>
    <row r="321" spans="2:30" x14ac:dyDescent="0.3">
      <c r="B321" s="28">
        <v>43096</v>
      </c>
      <c r="C321" s="25">
        <v>42.380001</v>
      </c>
      <c r="D321" s="18">
        <f t="shared" si="36"/>
        <v>4.5034843447140371E-3</v>
      </c>
      <c r="E321" s="32">
        <f t="shared" ca="1" si="37"/>
        <v>-1.016858934692858E-2</v>
      </c>
      <c r="F321" s="18">
        <f t="shared" ca="1" si="38"/>
        <v>57.717070545012007</v>
      </c>
      <c r="G321" s="19">
        <f t="shared" ca="1" si="39"/>
        <v>0.59293045498799302</v>
      </c>
      <c r="H321" s="27">
        <v>62.41</v>
      </c>
      <c r="I321" s="19">
        <f t="shared" si="40"/>
        <v>8.7279943224178869E-3</v>
      </c>
      <c r="J321" s="19">
        <f t="shared" ca="1" si="41"/>
        <v>1.5144105655316115E-2</v>
      </c>
      <c r="K321" s="19">
        <f t="shared" ca="1" si="42"/>
        <v>84.754379350874132</v>
      </c>
      <c r="L321" s="19">
        <f t="shared" ca="1" si="43"/>
        <v>-1.2643813508741317</v>
      </c>
      <c r="M321" s="19">
        <f t="shared" ca="1" si="44"/>
        <v>-0.67145089588613871</v>
      </c>
      <c r="AA321" s="37">
        <v>301</v>
      </c>
      <c r="AB321" s="37">
        <v>1.8213741881229735</v>
      </c>
      <c r="AC321" s="37">
        <v>2.8674173634006319</v>
      </c>
      <c r="AD321" s="37">
        <v>3.6613004835143528</v>
      </c>
    </row>
    <row r="322" spans="2:30" x14ac:dyDescent="0.3">
      <c r="B322" s="28">
        <v>43097</v>
      </c>
      <c r="C322" s="25">
        <v>43.02</v>
      </c>
      <c r="D322" s="18">
        <f t="shared" si="36"/>
        <v>1.5101439001853789E-2</v>
      </c>
      <c r="E322" s="32">
        <f t="shared" ca="1" si="37"/>
        <v>-2.9019722301239014E-2</v>
      </c>
      <c r="F322" s="18">
        <f t="shared" ca="1" si="38"/>
        <v>56.617860963595028</v>
      </c>
      <c r="G322" s="19">
        <f t="shared" ca="1" si="39"/>
        <v>1.6921400364049717</v>
      </c>
      <c r="H322" s="27">
        <v>62.98</v>
      </c>
      <c r="I322" s="19">
        <f t="shared" si="40"/>
        <v>9.1331517385033756E-3</v>
      </c>
      <c r="J322" s="19">
        <f t="shared" ca="1" si="41"/>
        <v>-5.6055473200231445E-5</v>
      </c>
      <c r="K322" s="19">
        <f t="shared" ca="1" si="42"/>
        <v>83.485317928654624</v>
      </c>
      <c r="L322" s="19">
        <f t="shared" ca="1" si="43"/>
        <v>4.680071345376291E-3</v>
      </c>
      <c r="M322" s="19">
        <f t="shared" ca="1" si="44"/>
        <v>1.696820107750348</v>
      </c>
      <c r="AA322" s="37">
        <v>302</v>
      </c>
      <c r="AB322" s="37">
        <v>1.7887519984461222</v>
      </c>
      <c r="AC322" s="37">
        <v>2.9128012959125731</v>
      </c>
      <c r="AD322" s="37">
        <v>3.4137198590600359</v>
      </c>
    </row>
    <row r="323" spans="2:30" x14ac:dyDescent="0.3">
      <c r="B323" s="28">
        <v>43098</v>
      </c>
      <c r="C323" s="25">
        <v>43.509998000000003</v>
      </c>
      <c r="D323" s="18">
        <f t="shared" si="36"/>
        <v>1.1390004649000529E-2</v>
      </c>
      <c r="E323" s="32">
        <f t="shared" ca="1" si="37"/>
        <v>1.2051102984345116E-3</v>
      </c>
      <c r="F323" s="18">
        <f t="shared" ca="1" si="38"/>
        <v>58.380270982706826</v>
      </c>
      <c r="G323" s="19">
        <f t="shared" ca="1" si="39"/>
        <v>-7.0269982706825829E-2</v>
      </c>
      <c r="H323" s="27">
        <v>64.910004000000001</v>
      </c>
      <c r="I323" s="19">
        <f t="shared" si="40"/>
        <v>3.0644712607176938E-2</v>
      </c>
      <c r="J323" s="19">
        <f t="shared" ca="1" si="41"/>
        <v>2.8511247742748113E-2</v>
      </c>
      <c r="K323" s="19">
        <f t="shared" ca="1" si="42"/>
        <v>85.870402017019543</v>
      </c>
      <c r="L323" s="19">
        <f t="shared" ca="1" si="43"/>
        <v>-2.3804040170195435</v>
      </c>
      <c r="M323" s="19">
        <f t="shared" ca="1" si="44"/>
        <v>-2.4506739997263693</v>
      </c>
      <c r="AA323" s="37">
        <v>303</v>
      </c>
      <c r="AB323" s="37">
        <v>1.7048399683383815</v>
      </c>
      <c r="AC323" s="37">
        <v>2.8651527904751317</v>
      </c>
      <c r="AD323" s="37">
        <v>3.3140164509664491</v>
      </c>
    </row>
    <row r="324" spans="2:30" x14ac:dyDescent="0.3">
      <c r="B324" s="28">
        <v>43102</v>
      </c>
      <c r="C324" s="25">
        <v>43.380001</v>
      </c>
      <c r="D324" s="18">
        <f t="shared" si="36"/>
        <v>-2.9877500798782819E-3</v>
      </c>
      <c r="E324" s="32">
        <f t="shared" ca="1" si="37"/>
        <v>-1.3857616507326826E-2</v>
      </c>
      <c r="F324" s="18">
        <f t="shared" ca="1" si="38"/>
        <v>57.501963367600155</v>
      </c>
      <c r="G324" s="19">
        <f t="shared" ca="1" si="39"/>
        <v>0.80803763239984505</v>
      </c>
      <c r="H324" s="27">
        <v>65.989998</v>
      </c>
      <c r="I324" s="19">
        <f t="shared" si="40"/>
        <v>1.6638328970061345E-2</v>
      </c>
      <c r="J324" s="19">
        <f t="shared" ca="1" si="41"/>
        <v>2.9452894560303066E-3</v>
      </c>
      <c r="K324" s="19">
        <f t="shared" ca="1" si="42"/>
        <v>83.735900210793389</v>
      </c>
      <c r="L324" s="19">
        <f t="shared" ca="1" si="43"/>
        <v>-0.24590221079338903</v>
      </c>
      <c r="M324" s="19">
        <f t="shared" ca="1" si="44"/>
        <v>0.56213542160645602</v>
      </c>
      <c r="AA324" s="37">
        <v>304</v>
      </c>
      <c r="AB324" s="37">
        <v>1.8134472541378541</v>
      </c>
      <c r="AC324" s="37">
        <v>2.7274836188951537</v>
      </c>
      <c r="AD324" s="37">
        <v>3.4226417084716694</v>
      </c>
    </row>
    <row r="325" spans="2:30" x14ac:dyDescent="0.3">
      <c r="B325" s="28">
        <v>43103</v>
      </c>
      <c r="C325" s="25">
        <v>43.400002000000001</v>
      </c>
      <c r="D325" s="18">
        <f t="shared" si="36"/>
        <v>4.6106499628706388E-4</v>
      </c>
      <c r="E325" s="32">
        <f t="shared" ca="1" si="37"/>
        <v>-4.1999713383073746E-3</v>
      </c>
      <c r="F325" s="18">
        <f t="shared" ca="1" si="38"/>
        <v>58.065100667063327</v>
      </c>
      <c r="G325" s="19">
        <f t="shared" ca="1" si="39"/>
        <v>0.24490033293667324</v>
      </c>
      <c r="H325" s="27">
        <v>66.199996999999996</v>
      </c>
      <c r="I325" s="19">
        <f t="shared" si="40"/>
        <v>3.1822852911738142E-3</v>
      </c>
      <c r="J325" s="19">
        <f t="shared" ca="1" si="41"/>
        <v>-2.3348742618217552E-2</v>
      </c>
      <c r="K325" s="19">
        <f t="shared" ca="1" si="42"/>
        <v>81.540611525502499</v>
      </c>
      <c r="L325" s="19">
        <f t="shared" ca="1" si="43"/>
        <v>1.9493864744975014</v>
      </c>
      <c r="M325" s="19">
        <f t="shared" ca="1" si="44"/>
        <v>2.1942868074341746</v>
      </c>
      <c r="AA325" s="37">
        <v>305</v>
      </c>
      <c r="AB325" s="37">
        <v>1.691295034082245</v>
      </c>
      <c r="AC325" s="37">
        <v>2.854708481687406</v>
      </c>
      <c r="AD325" s="37">
        <v>3.2809440012581144</v>
      </c>
    </row>
    <row r="326" spans="2:30" x14ac:dyDescent="0.3">
      <c r="B326" s="28">
        <v>43104</v>
      </c>
      <c r="C326" s="25">
        <v>43.669998</v>
      </c>
      <c r="D326" s="18">
        <f t="shared" si="36"/>
        <v>6.2211057040963968E-3</v>
      </c>
      <c r="E326" s="32">
        <f t="shared" ca="1" si="37"/>
        <v>-9.3255542534075447E-3</v>
      </c>
      <c r="F326" s="18">
        <f t="shared" ca="1" si="38"/>
        <v>57.766227922158251</v>
      </c>
      <c r="G326" s="19">
        <f t="shared" ca="1" si="39"/>
        <v>0.54377307784174889</v>
      </c>
      <c r="H326" s="27">
        <v>65.129997000000003</v>
      </c>
      <c r="I326" s="19">
        <f t="shared" si="40"/>
        <v>-1.6163142726426272E-2</v>
      </c>
      <c r="J326" s="19">
        <f t="shared" ca="1" si="41"/>
        <v>-3.0478933250095243E-2</v>
      </c>
      <c r="K326" s="19">
        <f t="shared" ca="1" si="42"/>
        <v>80.945311923907411</v>
      </c>
      <c r="L326" s="19">
        <f t="shared" ca="1" si="43"/>
        <v>2.5446860760925887</v>
      </c>
      <c r="M326" s="19">
        <f t="shared" ca="1" si="44"/>
        <v>3.0884591539343376</v>
      </c>
      <c r="AA326" s="37">
        <v>306</v>
      </c>
      <c r="AB326" s="37">
        <v>1.8714999509951127</v>
      </c>
      <c r="AC326" s="37">
        <v>2.8640276726347151</v>
      </c>
      <c r="AD326" s="37">
        <v>3.2842621007874939</v>
      </c>
    </row>
    <row r="327" spans="2:30" x14ac:dyDescent="0.3">
      <c r="B327" s="28">
        <v>43105</v>
      </c>
      <c r="C327" s="25">
        <v>43.540000999999997</v>
      </c>
      <c r="D327" s="18">
        <f t="shared" si="36"/>
        <v>-2.9768034337900318E-3</v>
      </c>
      <c r="E327" s="32">
        <f t="shared" ca="1" si="37"/>
        <v>1.5246878037438382E-2</v>
      </c>
      <c r="F327" s="18">
        <f t="shared" ca="1" si="38"/>
        <v>59.199046473609911</v>
      </c>
      <c r="G327" s="19">
        <f t="shared" ca="1" si="39"/>
        <v>-0.8890454736099116</v>
      </c>
      <c r="H327" s="27">
        <v>65.669998000000007</v>
      </c>
      <c r="I327" s="19">
        <f t="shared" si="40"/>
        <v>8.2911258233284713E-3</v>
      </c>
      <c r="J327" s="19">
        <f t="shared" ca="1" si="41"/>
        <v>-4.4337714818133769E-3</v>
      </c>
      <c r="K327" s="19">
        <f t="shared" ca="1" si="42"/>
        <v>83.119822427850949</v>
      </c>
      <c r="L327" s="19">
        <f t="shared" ca="1" si="43"/>
        <v>0.37017557214905139</v>
      </c>
      <c r="M327" s="19">
        <f t="shared" ca="1" si="44"/>
        <v>-0.51886990146086021</v>
      </c>
      <c r="AA327" s="37">
        <v>307</v>
      </c>
      <c r="AB327" s="37">
        <v>1.8091360490325392</v>
      </c>
      <c r="AC327" s="37">
        <v>2.7305476006498433</v>
      </c>
      <c r="AD327" s="37">
        <v>3.4537562952115635</v>
      </c>
    </row>
    <row r="328" spans="2:30" x14ac:dyDescent="0.3">
      <c r="B328" s="28">
        <v>43108</v>
      </c>
      <c r="C328" s="25">
        <v>43.509998000000003</v>
      </c>
      <c r="D328" s="18">
        <f t="shared" ref="D328:D391" si="45">C328/C327-1</f>
        <v>-6.8909047567533577E-4</v>
      </c>
      <c r="E328" s="32">
        <f t="shared" ref="E328:E391" ca="1" si="46">NORMINV(RAND(),$E$3,$E$4)</f>
        <v>1.2984347168995157E-2</v>
      </c>
      <c r="F328" s="18">
        <f t="shared" ref="F328:F391" ca="1" si="47">$C$1261*(1+E328)</f>
        <v>59.067118296408459</v>
      </c>
      <c r="G328" s="19">
        <f t="shared" ref="G328:G391" ca="1" si="48">$C$1261-F328</f>
        <v>-0.75711729640845959</v>
      </c>
      <c r="H328" s="27">
        <v>65.339995999999999</v>
      </c>
      <c r="I328" s="19">
        <f t="shared" ref="I328:I391" si="49">H328/H327-1</f>
        <v>-5.0251562364903579E-3</v>
      </c>
      <c r="J328" s="19">
        <f t="shared" ref="J328:J391" ca="1" si="50">NORMINV(RAND(),$J$3,$J$4)</f>
        <v>8.9519014459681148E-3</v>
      </c>
      <c r="K328" s="19">
        <f t="shared" ref="K328:K391" ca="1" si="51">$H$1261*(1+J328)</f>
        <v>84.237392233820074</v>
      </c>
      <c r="L328" s="19">
        <f t="shared" ref="L328:L391" ca="1" si="52">$H$1261-K328</f>
        <v>-0.74739423382007431</v>
      </c>
      <c r="M328" s="19">
        <f t="shared" ref="M328:M391" ca="1" si="53">SUM(G328,L328)</f>
        <v>-1.5045115302285339</v>
      </c>
      <c r="AA328" s="37">
        <v>308</v>
      </c>
      <c r="AB328" s="37">
        <v>1.7601320802269917</v>
      </c>
      <c r="AC328" s="37">
        <v>2.6023791875272391</v>
      </c>
      <c r="AD328" s="37">
        <v>3.20867055868439</v>
      </c>
    </row>
    <row r="329" spans="2:30" x14ac:dyDescent="0.3">
      <c r="B329" s="28">
        <v>43109</v>
      </c>
      <c r="C329" s="25">
        <v>43.630001</v>
      </c>
      <c r="D329" s="18">
        <f t="shared" si="45"/>
        <v>2.7580557461757138E-3</v>
      </c>
      <c r="E329" s="32">
        <f t="shared" ca="1" si="46"/>
        <v>1.9789007689667022E-2</v>
      </c>
      <c r="F329" s="18">
        <f t="shared" ca="1" si="47"/>
        <v>59.463898058173491</v>
      </c>
      <c r="G329" s="19">
        <f t="shared" ca="1" si="48"/>
        <v>-1.1538970581734915</v>
      </c>
      <c r="H329" s="27">
        <v>65.660004000000001</v>
      </c>
      <c r="I329" s="19">
        <f t="shared" si="49"/>
        <v>4.8975821792214269E-3</v>
      </c>
      <c r="J329" s="19">
        <f t="shared" ca="1" si="50"/>
        <v>-9.0168255787273829E-3</v>
      </c>
      <c r="K329" s="19">
        <f t="shared" ca="1" si="51"/>
        <v>82.737183250465705</v>
      </c>
      <c r="L329" s="19">
        <f t="shared" ca="1" si="52"/>
        <v>0.75281474953429495</v>
      </c>
      <c r="M329" s="19">
        <f t="shared" ca="1" si="53"/>
        <v>-0.40108230863919658</v>
      </c>
      <c r="AA329" s="37">
        <v>309</v>
      </c>
      <c r="AB329" s="37">
        <v>1.7232128390734758</v>
      </c>
      <c r="AC329" s="37">
        <v>2.8250142959898632</v>
      </c>
      <c r="AD329" s="37">
        <v>3.4002813710882571</v>
      </c>
    </row>
    <row r="330" spans="2:30" x14ac:dyDescent="0.3">
      <c r="B330" s="28">
        <v>43110</v>
      </c>
      <c r="C330" s="25">
        <v>43.07</v>
      </c>
      <c r="D330" s="18">
        <f t="shared" si="45"/>
        <v>-1.2835227759907641E-2</v>
      </c>
      <c r="E330" s="32">
        <f t="shared" ca="1" si="46"/>
        <v>-3.2785166878517645E-2</v>
      </c>
      <c r="F330" s="18">
        <f t="shared" ca="1" si="47"/>
        <v>56.398297886528468</v>
      </c>
      <c r="G330" s="19">
        <f t="shared" ca="1" si="48"/>
        <v>1.9117031134715319</v>
      </c>
      <c r="H330" s="27">
        <v>65.400002000000001</v>
      </c>
      <c r="I330" s="19">
        <f t="shared" si="49"/>
        <v>-3.9598230910860011E-3</v>
      </c>
      <c r="J330" s="19">
        <f t="shared" ca="1" si="50"/>
        <v>1.1081592011763706E-2</v>
      </c>
      <c r="K330" s="19">
        <f t="shared" ca="1" si="51"/>
        <v>84.415200094898964</v>
      </c>
      <c r="L330" s="19">
        <f t="shared" ca="1" si="52"/>
        <v>-0.92520209489896388</v>
      </c>
      <c r="M330" s="19">
        <f t="shared" ca="1" si="53"/>
        <v>0.986501018572568</v>
      </c>
      <c r="AA330" s="37">
        <v>310</v>
      </c>
      <c r="AB330" s="37">
        <v>1.7711376675156572</v>
      </c>
      <c r="AC330" s="37">
        <v>2.6359881786336903</v>
      </c>
      <c r="AD330" s="37">
        <v>3.344785114019138</v>
      </c>
    </row>
    <row r="331" spans="2:30" x14ac:dyDescent="0.3">
      <c r="B331" s="28">
        <v>43111</v>
      </c>
      <c r="C331" s="25">
        <v>43.450001</v>
      </c>
      <c r="D331" s="18">
        <f t="shared" si="45"/>
        <v>8.8228697469237005E-3</v>
      </c>
      <c r="E331" s="32">
        <f t="shared" ca="1" si="46"/>
        <v>5.6185224048169837E-3</v>
      </c>
      <c r="F331" s="18">
        <f t="shared" ca="1" si="47"/>
        <v>58.637617047043406</v>
      </c>
      <c r="G331" s="19">
        <f t="shared" ca="1" si="48"/>
        <v>-0.32761604704340641</v>
      </c>
      <c r="H331" s="27">
        <v>66.059997999999993</v>
      </c>
      <c r="I331" s="19">
        <f t="shared" si="49"/>
        <v>1.0091681648572326E-2</v>
      </c>
      <c r="J331" s="19">
        <f t="shared" ca="1" si="50"/>
        <v>1.2168689674317461E-2</v>
      </c>
      <c r="K331" s="19">
        <f t="shared" ca="1" si="51"/>
        <v>84.505961876571376</v>
      </c>
      <c r="L331" s="19">
        <f t="shared" ca="1" si="52"/>
        <v>-1.0159638765713765</v>
      </c>
      <c r="M331" s="19">
        <f t="shared" ca="1" si="53"/>
        <v>-1.343579923614783</v>
      </c>
      <c r="AA331" s="37">
        <v>311</v>
      </c>
      <c r="AB331" s="37">
        <v>1.8348893530039048</v>
      </c>
      <c r="AC331" s="37">
        <v>2.8013132207475722</v>
      </c>
      <c r="AD331" s="37">
        <v>3.391314844856967</v>
      </c>
    </row>
    <row r="332" spans="2:30" x14ac:dyDescent="0.3">
      <c r="B332" s="28">
        <v>43112</v>
      </c>
      <c r="C332" s="25">
        <v>43.580002</v>
      </c>
      <c r="D332" s="18">
        <f t="shared" si="45"/>
        <v>2.991967710196386E-3</v>
      </c>
      <c r="E332" s="32">
        <f t="shared" ca="1" si="46"/>
        <v>-2.1652112379971757E-2</v>
      </c>
      <c r="F332" s="18">
        <f t="shared" ca="1" si="47"/>
        <v>57.04746630547173</v>
      </c>
      <c r="G332" s="19">
        <f t="shared" ca="1" si="48"/>
        <v>1.2625346945282701</v>
      </c>
      <c r="H332" s="27">
        <v>66.190002000000007</v>
      </c>
      <c r="I332" s="19">
        <f t="shared" si="49"/>
        <v>1.9679685730540353E-3</v>
      </c>
      <c r="J332" s="19">
        <f t="shared" ca="1" si="50"/>
        <v>-4.4210531421533465E-2</v>
      </c>
      <c r="K332" s="19">
        <f t="shared" ca="1" si="51"/>
        <v>79.798860820037234</v>
      </c>
      <c r="L332" s="19">
        <f t="shared" ca="1" si="52"/>
        <v>3.6911371799627659</v>
      </c>
      <c r="M332" s="19">
        <f t="shared" ca="1" si="53"/>
        <v>4.953671874491036</v>
      </c>
      <c r="AA332" s="37">
        <v>312</v>
      </c>
      <c r="AB332" s="37">
        <v>1.6934743926874338</v>
      </c>
      <c r="AC332" s="37">
        <v>2.7329498780390797</v>
      </c>
      <c r="AD332" s="37">
        <v>3.2088506507368373</v>
      </c>
    </row>
    <row r="333" spans="2:30" x14ac:dyDescent="0.3">
      <c r="B333" s="28">
        <v>43115</v>
      </c>
      <c r="C333" s="25">
        <v>43.880001</v>
      </c>
      <c r="D333" s="18">
        <f t="shared" si="45"/>
        <v>6.8838684312129139E-3</v>
      </c>
      <c r="E333" s="32">
        <f t="shared" ca="1" si="46"/>
        <v>-9.1036794465052823E-3</v>
      </c>
      <c r="F333" s="18">
        <f t="shared" ca="1" si="47"/>
        <v>57.779165442370598</v>
      </c>
      <c r="G333" s="19">
        <f t="shared" ca="1" si="48"/>
        <v>0.53083555762940193</v>
      </c>
      <c r="H333" s="27">
        <v>66.279999000000004</v>
      </c>
      <c r="I333" s="19">
        <f t="shared" si="49"/>
        <v>1.3596766472374622E-3</v>
      </c>
      <c r="J333" s="19">
        <f t="shared" ca="1" si="50"/>
        <v>-2.357096392753454E-4</v>
      </c>
      <c r="K333" s="19">
        <f t="shared" ca="1" si="51"/>
        <v>83.470318602688323</v>
      </c>
      <c r="L333" s="19">
        <f t="shared" ca="1" si="52"/>
        <v>1.9679397311676894E-2</v>
      </c>
      <c r="M333" s="19">
        <f t="shared" ca="1" si="53"/>
        <v>0.55051495494107883</v>
      </c>
      <c r="AA333" s="37">
        <v>313</v>
      </c>
      <c r="AB333" s="37">
        <v>1.8453582932019197</v>
      </c>
      <c r="AC333" s="37">
        <v>2.8123299922914522</v>
      </c>
      <c r="AD333" s="37">
        <v>3.3848246995104261</v>
      </c>
    </row>
    <row r="334" spans="2:30" x14ac:dyDescent="0.3">
      <c r="B334" s="28">
        <v>43116</v>
      </c>
      <c r="C334" s="25">
        <v>44.400002000000001</v>
      </c>
      <c r="D334" s="18">
        <f t="shared" si="45"/>
        <v>1.1850523886724584E-2</v>
      </c>
      <c r="E334" s="32">
        <f t="shared" ca="1" si="46"/>
        <v>-1.8059732237034429E-2</v>
      </c>
      <c r="F334" s="18">
        <f t="shared" ca="1" si="47"/>
        <v>57.25693799519879</v>
      </c>
      <c r="G334" s="19">
        <f t="shared" ca="1" si="48"/>
        <v>1.05306300480121</v>
      </c>
      <c r="H334" s="27">
        <v>65.529999000000004</v>
      </c>
      <c r="I334" s="19">
        <f t="shared" si="49"/>
        <v>-1.1315630828540035E-2</v>
      </c>
      <c r="J334" s="19">
        <f t="shared" ca="1" si="50"/>
        <v>2.2739205284727278E-2</v>
      </c>
      <c r="K334" s="19">
        <f t="shared" ca="1" si="51"/>
        <v>85.388494203743477</v>
      </c>
      <c r="L334" s="19">
        <f t="shared" ca="1" si="52"/>
        <v>-1.8984962037434769</v>
      </c>
      <c r="M334" s="19">
        <f t="shared" ca="1" si="53"/>
        <v>-0.84543319894226698</v>
      </c>
      <c r="AA334" s="37">
        <v>314</v>
      </c>
      <c r="AB334" s="37">
        <v>1.8318879296330668</v>
      </c>
      <c r="AC334" s="37">
        <v>2.7093632962308916</v>
      </c>
      <c r="AD334" s="37">
        <v>3.1236353377819985</v>
      </c>
    </row>
    <row r="335" spans="2:30" x14ac:dyDescent="0.3">
      <c r="B335" s="28">
        <v>43117</v>
      </c>
      <c r="C335" s="25">
        <v>45.23</v>
      </c>
      <c r="D335" s="18">
        <f t="shared" si="45"/>
        <v>1.8693647806592439E-2</v>
      </c>
      <c r="E335" s="32">
        <f t="shared" ca="1" si="46"/>
        <v>-1.1841645793465859E-2</v>
      </c>
      <c r="F335" s="18">
        <f t="shared" ca="1" si="47"/>
        <v>57.619514621941363</v>
      </c>
      <c r="G335" s="19">
        <f t="shared" ca="1" si="48"/>
        <v>0.69048637805863677</v>
      </c>
      <c r="H335" s="27">
        <v>65.970000999999996</v>
      </c>
      <c r="I335" s="19">
        <f t="shared" si="49"/>
        <v>6.7145125395162708E-3</v>
      </c>
      <c r="J335" s="19">
        <f t="shared" ca="1" si="50"/>
        <v>2.6610491174078551E-3</v>
      </c>
      <c r="K335" s="19">
        <f t="shared" ca="1" si="51"/>
        <v>83.712168985490294</v>
      </c>
      <c r="L335" s="19">
        <f t="shared" ca="1" si="52"/>
        <v>-0.22217098549029402</v>
      </c>
      <c r="M335" s="19">
        <f t="shared" ca="1" si="53"/>
        <v>0.46831539256834276</v>
      </c>
      <c r="AA335" s="37">
        <v>315</v>
      </c>
      <c r="AB335" s="37">
        <v>1.8201231117319543</v>
      </c>
      <c r="AC335" s="37">
        <v>2.9042238449136946</v>
      </c>
      <c r="AD335" s="37">
        <v>3.0796459912358749</v>
      </c>
    </row>
    <row r="336" spans="2:30" x14ac:dyDescent="0.3">
      <c r="B336" s="28">
        <v>43118</v>
      </c>
      <c r="C336" s="25">
        <v>44.91</v>
      </c>
      <c r="D336" s="18">
        <f t="shared" si="45"/>
        <v>-7.0749502542560849E-3</v>
      </c>
      <c r="E336" s="32">
        <f t="shared" ca="1" si="46"/>
        <v>-1.7167363464976024E-2</v>
      </c>
      <c r="F336" s="18">
        <f t="shared" ca="1" si="47"/>
        <v>57.308972019189881</v>
      </c>
      <c r="G336" s="19">
        <f t="shared" ca="1" si="48"/>
        <v>1.0010289808101192</v>
      </c>
      <c r="H336" s="27">
        <v>65.260002</v>
      </c>
      <c r="I336" s="19">
        <f t="shared" si="49"/>
        <v>-1.0762452466841599E-2</v>
      </c>
      <c r="J336" s="19">
        <f t="shared" ca="1" si="50"/>
        <v>2.1355434042104899E-2</v>
      </c>
      <c r="K336" s="19">
        <f t="shared" ca="1" si="51"/>
        <v>85.272963145464473</v>
      </c>
      <c r="L336" s="19">
        <f t="shared" ca="1" si="52"/>
        <v>-1.7829651454644733</v>
      </c>
      <c r="M336" s="19">
        <f t="shared" ca="1" si="53"/>
        <v>-0.78193616465435412</v>
      </c>
      <c r="AA336" s="37">
        <v>316</v>
      </c>
      <c r="AB336" s="37">
        <v>1.7782813232338679</v>
      </c>
      <c r="AC336" s="37">
        <v>2.7683066765214952</v>
      </c>
      <c r="AD336" s="37">
        <v>3.07239912529398</v>
      </c>
    </row>
    <row r="337" spans="2:30" x14ac:dyDescent="0.3">
      <c r="B337" s="28">
        <v>43119</v>
      </c>
      <c r="C337" s="25">
        <v>44.16</v>
      </c>
      <c r="D337" s="18">
        <f t="shared" si="45"/>
        <v>-1.6700066800267255E-2</v>
      </c>
      <c r="E337" s="32">
        <f t="shared" ca="1" si="46"/>
        <v>4.9590664288722891E-3</v>
      </c>
      <c r="F337" s="18">
        <f t="shared" ca="1" si="47"/>
        <v>58.599164168426611</v>
      </c>
      <c r="G337" s="19">
        <f t="shared" ca="1" si="48"/>
        <v>-0.28916316842661161</v>
      </c>
      <c r="H337" s="27">
        <v>64.599997999999999</v>
      </c>
      <c r="I337" s="19">
        <f t="shared" si="49"/>
        <v>-1.0113453566857111E-2</v>
      </c>
      <c r="J337" s="19">
        <f t="shared" ca="1" si="50"/>
        <v>3.193100120501137E-2</v>
      </c>
      <c r="K337" s="19">
        <f t="shared" ca="1" si="51"/>
        <v>86.155917226744393</v>
      </c>
      <c r="L337" s="19">
        <f t="shared" ca="1" si="52"/>
        <v>-2.6659192267443927</v>
      </c>
      <c r="M337" s="19">
        <f t="shared" ca="1" si="53"/>
        <v>-2.9550823951710044</v>
      </c>
      <c r="AA337" s="37">
        <v>317</v>
      </c>
      <c r="AB337" s="37">
        <v>1.8169358014023493</v>
      </c>
      <c r="AC337" s="37">
        <v>2.9402165324248095</v>
      </c>
      <c r="AD337" s="37">
        <v>3.2860672088466769</v>
      </c>
    </row>
    <row r="338" spans="2:30" x14ac:dyDescent="0.3">
      <c r="B338" s="28">
        <v>43122</v>
      </c>
      <c r="C338" s="25">
        <v>45.599997999999999</v>
      </c>
      <c r="D338" s="18">
        <f t="shared" si="45"/>
        <v>3.2608650362318858E-2</v>
      </c>
      <c r="E338" s="32">
        <f t="shared" ca="1" si="46"/>
        <v>6.6242496020105469E-3</v>
      </c>
      <c r="F338" s="18">
        <f t="shared" ca="1" si="47"/>
        <v>58.696261000917488</v>
      </c>
      <c r="G338" s="19">
        <f t="shared" ca="1" si="48"/>
        <v>-0.38626000091748836</v>
      </c>
      <c r="H338" s="27">
        <v>64.080001999999993</v>
      </c>
      <c r="I338" s="19">
        <f t="shared" si="49"/>
        <v>-8.0494739334203702E-3</v>
      </c>
      <c r="J338" s="19">
        <f t="shared" ca="1" si="50"/>
        <v>-5.6989725502253402E-3</v>
      </c>
      <c r="K338" s="19">
        <f t="shared" ca="1" si="51"/>
        <v>83.014190793179637</v>
      </c>
      <c r="L338" s="19">
        <f t="shared" ca="1" si="52"/>
        <v>0.47580720682036315</v>
      </c>
      <c r="M338" s="19">
        <f t="shared" ca="1" si="53"/>
        <v>8.9547205902874794E-2</v>
      </c>
      <c r="AA338" s="37">
        <v>318</v>
      </c>
      <c r="AB338" s="37">
        <v>1.8275172859668032</v>
      </c>
      <c r="AC338" s="37">
        <v>2.7074373930109714</v>
      </c>
      <c r="AD338" s="37">
        <v>3.2329876103759525</v>
      </c>
    </row>
    <row r="339" spans="2:30" x14ac:dyDescent="0.3">
      <c r="B339" s="28">
        <v>43123</v>
      </c>
      <c r="C339" s="25">
        <v>45.720001000000003</v>
      </c>
      <c r="D339" s="18">
        <f t="shared" si="45"/>
        <v>2.6316448522651914E-3</v>
      </c>
      <c r="E339" s="32">
        <f t="shared" ca="1" si="46"/>
        <v>8.8612598643219506E-3</v>
      </c>
      <c r="F339" s="18">
        <f t="shared" ca="1" si="47"/>
        <v>58.82670107154987</v>
      </c>
      <c r="G339" s="19">
        <f t="shared" ca="1" si="48"/>
        <v>-0.51670007154987019</v>
      </c>
      <c r="H339" s="27">
        <v>63.880001</v>
      </c>
      <c r="I339" s="19">
        <f t="shared" si="49"/>
        <v>-3.1211141347965432E-3</v>
      </c>
      <c r="J339" s="19">
        <f t="shared" ca="1" si="50"/>
        <v>7.4629224969763267E-3</v>
      </c>
      <c r="K339" s="19">
        <f t="shared" ca="1" si="51"/>
        <v>84.113077384346695</v>
      </c>
      <c r="L339" s="19">
        <f t="shared" ca="1" si="52"/>
        <v>-0.62307938434669552</v>
      </c>
      <c r="M339" s="19">
        <f t="shared" ca="1" si="53"/>
        <v>-1.1397794558965657</v>
      </c>
      <c r="AA339" s="37">
        <v>319</v>
      </c>
      <c r="AB339" s="37">
        <v>1.7955787611726424</v>
      </c>
      <c r="AC339" s="37">
        <v>2.7840700558738067</v>
      </c>
      <c r="AD339" s="37">
        <v>3.4569771947909809</v>
      </c>
    </row>
    <row r="340" spans="2:30" x14ac:dyDescent="0.3">
      <c r="B340" s="28">
        <v>43124</v>
      </c>
      <c r="C340" s="25">
        <v>46.560001</v>
      </c>
      <c r="D340" s="18">
        <f t="shared" si="45"/>
        <v>1.8372703010220759E-2</v>
      </c>
      <c r="E340" s="32">
        <f t="shared" ca="1" si="46"/>
        <v>-1.126736752580546E-2</v>
      </c>
      <c r="F340" s="18">
        <f t="shared" ca="1" si="47"/>
        <v>57.653000788302911</v>
      </c>
      <c r="G340" s="19">
        <f t="shared" ca="1" si="48"/>
        <v>0.65700021169708833</v>
      </c>
      <c r="H340" s="27">
        <v>65.550003000000004</v>
      </c>
      <c r="I340" s="19">
        <f t="shared" si="49"/>
        <v>2.6142798588872918E-2</v>
      </c>
      <c r="J340" s="19">
        <f t="shared" ca="1" si="50"/>
        <v>3.9783218971809024E-3</v>
      </c>
      <c r="K340" s="19">
        <f t="shared" ca="1" si="51"/>
        <v>83.822148087239</v>
      </c>
      <c r="L340" s="19">
        <f t="shared" ca="1" si="52"/>
        <v>-0.33215008723900041</v>
      </c>
      <c r="M340" s="19">
        <f t="shared" ca="1" si="53"/>
        <v>0.32485012445808792</v>
      </c>
      <c r="AA340" s="37">
        <v>320</v>
      </c>
      <c r="AB340" s="37">
        <v>1.8423572884550197</v>
      </c>
      <c r="AC340" s="37">
        <v>2.860058909844613</v>
      </c>
      <c r="AD340" s="37">
        <v>3.2723826044170088</v>
      </c>
    </row>
    <row r="341" spans="2:30" x14ac:dyDescent="0.3">
      <c r="B341" s="28">
        <v>43125</v>
      </c>
      <c r="C341" s="25">
        <v>46.07</v>
      </c>
      <c r="D341" s="18">
        <f t="shared" si="45"/>
        <v>-1.0524076234448509E-2</v>
      </c>
      <c r="E341" s="32">
        <f t="shared" ca="1" si="46"/>
        <v>1.7892552237859995E-2</v>
      </c>
      <c r="F341" s="18">
        <f t="shared" ca="1" si="47"/>
        <v>59.353315738882166</v>
      </c>
      <c r="G341" s="19">
        <f t="shared" ca="1" si="48"/>
        <v>-1.0433147388821666</v>
      </c>
      <c r="H341" s="27">
        <v>66.410004000000001</v>
      </c>
      <c r="I341" s="19">
        <f t="shared" si="49"/>
        <v>1.3119770566600852E-2</v>
      </c>
      <c r="J341" s="19">
        <f t="shared" ca="1" si="50"/>
        <v>-6.5889357325101903E-3</v>
      </c>
      <c r="K341" s="19">
        <f t="shared" ca="1" si="51"/>
        <v>82.939887768870591</v>
      </c>
      <c r="L341" s="19">
        <f t="shared" ca="1" si="52"/>
        <v>0.55011023112940904</v>
      </c>
      <c r="M341" s="19">
        <f t="shared" ca="1" si="53"/>
        <v>-0.49320450775275759</v>
      </c>
      <c r="AA341" s="37">
        <v>321</v>
      </c>
      <c r="AB341" s="37">
        <v>1.673235711156738</v>
      </c>
      <c r="AC341" s="37">
        <v>2.9269971558365824</v>
      </c>
      <c r="AD341" s="37">
        <v>3.3905475630608715</v>
      </c>
    </row>
    <row r="342" spans="2:30" x14ac:dyDescent="0.3">
      <c r="B342" s="28">
        <v>43126</v>
      </c>
      <c r="C342" s="25">
        <v>45.57</v>
      </c>
      <c r="D342" s="18">
        <f t="shared" si="45"/>
        <v>-1.0853049706967655E-2</v>
      </c>
      <c r="E342" s="32">
        <f t="shared" ca="1" si="46"/>
        <v>-2.637161830424806E-2</v>
      </c>
      <c r="F342" s="18">
        <f t="shared" ca="1" si="47"/>
        <v>56.77227191030768</v>
      </c>
      <c r="G342" s="19">
        <f t="shared" ca="1" si="48"/>
        <v>1.5377290896923199</v>
      </c>
      <c r="H342" s="27">
        <v>68.040001000000004</v>
      </c>
      <c r="I342" s="19">
        <f t="shared" si="49"/>
        <v>2.4544449658518319E-2</v>
      </c>
      <c r="J342" s="19">
        <f t="shared" ca="1" si="50"/>
        <v>3.9250323630434465E-2</v>
      </c>
      <c r="K342" s="19">
        <f t="shared" ca="1" si="51"/>
        <v>86.767007441404331</v>
      </c>
      <c r="L342" s="19">
        <f t="shared" ca="1" si="52"/>
        <v>-3.2770094414043314</v>
      </c>
      <c r="M342" s="19">
        <f t="shared" ca="1" si="53"/>
        <v>-1.7392803517120115</v>
      </c>
      <c r="AA342" s="37">
        <v>322</v>
      </c>
      <c r="AB342" s="37">
        <v>1.7190911003835063</v>
      </c>
      <c r="AC342" s="37">
        <v>2.8961096127572699</v>
      </c>
      <c r="AD342" s="37">
        <v>3.2669816685917543</v>
      </c>
    </row>
    <row r="343" spans="2:30" x14ac:dyDescent="0.3">
      <c r="B343" s="28">
        <v>43129</v>
      </c>
      <c r="C343" s="25">
        <v>45.439999</v>
      </c>
      <c r="D343" s="18">
        <f t="shared" si="45"/>
        <v>-2.8527759490892812E-3</v>
      </c>
      <c r="E343" s="32">
        <f t="shared" ca="1" si="46"/>
        <v>-2.9005221738777971E-2</v>
      </c>
      <c r="F343" s="18">
        <f t="shared" ca="1" si="47"/>
        <v>56.618706491406634</v>
      </c>
      <c r="G343" s="19">
        <f t="shared" ca="1" si="48"/>
        <v>1.6912945085933657</v>
      </c>
      <c r="H343" s="27">
        <v>67.069999999999993</v>
      </c>
      <c r="I343" s="19">
        <f t="shared" si="49"/>
        <v>-1.4256334299583728E-2</v>
      </c>
      <c r="J343" s="19">
        <f t="shared" ca="1" si="50"/>
        <v>-4.2527024084226062E-3</v>
      </c>
      <c r="K343" s="19">
        <f t="shared" ca="1" si="51"/>
        <v>83.134939884426203</v>
      </c>
      <c r="L343" s="19">
        <f t="shared" ca="1" si="52"/>
        <v>0.35505811557379729</v>
      </c>
      <c r="M343" s="19">
        <f t="shared" ca="1" si="53"/>
        <v>2.046352624167163</v>
      </c>
      <c r="AA343" s="37">
        <v>323</v>
      </c>
      <c r="AB343" s="37">
        <v>1.7748544152985855</v>
      </c>
      <c r="AC343" s="37">
        <v>2.9429249466464569</v>
      </c>
      <c r="AD343" s="37">
        <v>3.3735977270358726</v>
      </c>
    </row>
    <row r="344" spans="2:30" x14ac:dyDescent="0.3">
      <c r="B344" s="28">
        <v>43130</v>
      </c>
      <c r="C344" s="25">
        <v>45.580002</v>
      </c>
      <c r="D344" s="18">
        <f t="shared" si="45"/>
        <v>3.0810520044246559E-3</v>
      </c>
      <c r="E344" s="32">
        <f t="shared" ca="1" si="46"/>
        <v>7.0027376384824589E-3</v>
      </c>
      <c r="F344" s="18">
        <f t="shared" ca="1" si="47"/>
        <v>58.718330638702653</v>
      </c>
      <c r="G344" s="19">
        <f t="shared" ca="1" si="48"/>
        <v>-0.4083296387026536</v>
      </c>
      <c r="H344" s="27">
        <v>65.5</v>
      </c>
      <c r="I344" s="19">
        <f t="shared" si="49"/>
        <v>-2.3408379305203453E-2</v>
      </c>
      <c r="J344" s="19">
        <f t="shared" ca="1" si="50"/>
        <v>1.4003544114976547E-2</v>
      </c>
      <c r="K344" s="19">
        <f t="shared" ca="1" si="51"/>
        <v>84.659153870152309</v>
      </c>
      <c r="L344" s="19">
        <f t="shared" ca="1" si="52"/>
        <v>-1.1691558701523093</v>
      </c>
      <c r="M344" s="19">
        <f t="shared" ca="1" si="53"/>
        <v>-1.5774855088549629</v>
      </c>
      <c r="AA344" s="37">
        <v>324</v>
      </c>
      <c r="AB344" s="37">
        <v>1.6982511419970836</v>
      </c>
      <c r="AC344" s="37">
        <v>2.8967663424934358</v>
      </c>
      <c r="AD344" s="37">
        <v>3.3284890187061071</v>
      </c>
    </row>
    <row r="345" spans="2:30" x14ac:dyDescent="0.3">
      <c r="B345" s="28">
        <v>43131</v>
      </c>
      <c r="C345" s="25">
        <v>45.400002000000001</v>
      </c>
      <c r="D345" s="18">
        <f t="shared" si="45"/>
        <v>-3.9491003093856669E-3</v>
      </c>
      <c r="E345" s="32">
        <f t="shared" ca="1" si="46"/>
        <v>2.2824629670402111E-2</v>
      </c>
      <c r="F345" s="18">
        <f t="shared" ca="1" si="47"/>
        <v>59.640905178905783</v>
      </c>
      <c r="G345" s="19">
        <f t="shared" ca="1" si="48"/>
        <v>-1.3309041789057829</v>
      </c>
      <c r="H345" s="27">
        <v>65.980002999999996</v>
      </c>
      <c r="I345" s="19">
        <f t="shared" si="49"/>
        <v>7.3282900763358416E-3</v>
      </c>
      <c r="J345" s="19">
        <f t="shared" ca="1" si="50"/>
        <v>5.4373480410264642E-3</v>
      </c>
      <c r="K345" s="19">
        <f t="shared" ca="1" si="51"/>
        <v>83.943962177070588</v>
      </c>
      <c r="L345" s="19">
        <f t="shared" ca="1" si="52"/>
        <v>-0.45396417707058845</v>
      </c>
      <c r="M345" s="19">
        <f t="shared" ca="1" si="53"/>
        <v>-1.7848683559763714</v>
      </c>
      <c r="AA345" s="37">
        <v>325</v>
      </c>
      <c r="AB345" s="37">
        <v>1.785778554135419</v>
      </c>
      <c r="AC345" s="37">
        <v>2.8344207302256281</v>
      </c>
      <c r="AD345" s="37">
        <v>3.1999945954054922</v>
      </c>
    </row>
    <row r="346" spans="2:30" x14ac:dyDescent="0.3">
      <c r="B346" s="28">
        <v>43132</v>
      </c>
      <c r="C346" s="25">
        <v>46.169998</v>
      </c>
      <c r="D346" s="18">
        <f t="shared" si="45"/>
        <v>1.696026357003233E-2</v>
      </c>
      <c r="E346" s="32">
        <f t="shared" ca="1" si="46"/>
        <v>1.9896672948734154E-2</v>
      </c>
      <c r="F346" s="18">
        <f t="shared" ca="1" si="47"/>
        <v>59.470176019537362</v>
      </c>
      <c r="G346" s="19">
        <f t="shared" ca="1" si="48"/>
        <v>-1.1601750195373626</v>
      </c>
      <c r="H346" s="27">
        <v>66.209998999999996</v>
      </c>
      <c r="I346" s="19">
        <f t="shared" si="49"/>
        <v>3.4858440367151466E-3</v>
      </c>
      <c r="J346" s="19">
        <f t="shared" ca="1" si="50"/>
        <v>1.8453738419923267E-2</v>
      </c>
      <c r="K346" s="19">
        <f t="shared" ca="1" si="51"/>
        <v>85.030700583771917</v>
      </c>
      <c r="L346" s="19">
        <f t="shared" ca="1" si="52"/>
        <v>-1.5407025837719175</v>
      </c>
      <c r="M346" s="19">
        <f t="shared" ca="1" si="53"/>
        <v>-2.7008776033092801</v>
      </c>
      <c r="AA346" s="37">
        <v>326</v>
      </c>
      <c r="AB346" s="37">
        <v>1.6941502175862806</v>
      </c>
      <c r="AC346" s="37">
        <v>2.8428516016126157</v>
      </c>
      <c r="AD346" s="37">
        <v>3.3605035840358686</v>
      </c>
    </row>
    <row r="347" spans="2:30" x14ac:dyDescent="0.3">
      <c r="B347" s="28">
        <v>43133</v>
      </c>
      <c r="C347" s="25">
        <v>46.310001</v>
      </c>
      <c r="D347" s="18">
        <f t="shared" si="45"/>
        <v>3.0323371467333438E-3</v>
      </c>
      <c r="E347" s="32">
        <f t="shared" ca="1" si="46"/>
        <v>3.8488546205141024E-3</v>
      </c>
      <c r="F347" s="18">
        <f t="shared" ca="1" si="47"/>
        <v>58.534427716771035</v>
      </c>
      <c r="G347" s="19">
        <f t="shared" ca="1" si="48"/>
        <v>-0.22442671677103476</v>
      </c>
      <c r="H347" s="27">
        <v>64.959998999999996</v>
      </c>
      <c r="I347" s="19">
        <f t="shared" si="49"/>
        <v>-1.8879323650193736E-2</v>
      </c>
      <c r="J347" s="19">
        <f t="shared" ca="1" si="50"/>
        <v>-2.1331005309780247E-2</v>
      </c>
      <c r="K347" s="19">
        <f t="shared" ca="1" si="51"/>
        <v>81.709072409348451</v>
      </c>
      <c r="L347" s="19">
        <f t="shared" ca="1" si="52"/>
        <v>1.7809255906515489</v>
      </c>
      <c r="M347" s="19">
        <f t="shared" ca="1" si="53"/>
        <v>1.5564988738805141</v>
      </c>
      <c r="AA347" s="37">
        <v>327</v>
      </c>
      <c r="AB347" s="37">
        <v>1.7288049247487074</v>
      </c>
      <c r="AC347" s="37">
        <v>2.9956527041415195</v>
      </c>
      <c r="AD347" s="37">
        <v>3.2005114415360354</v>
      </c>
    </row>
    <row r="348" spans="2:30" x14ac:dyDescent="0.3">
      <c r="B348" s="28">
        <v>43137</v>
      </c>
      <c r="C348" s="25">
        <v>46.009998000000003</v>
      </c>
      <c r="D348" s="18">
        <f t="shared" si="45"/>
        <v>-6.478147128521905E-3</v>
      </c>
      <c r="E348" s="32">
        <f t="shared" ca="1" si="46"/>
        <v>-2.4526378062891124E-2</v>
      </c>
      <c r="F348" s="18">
        <f t="shared" ca="1" si="47"/>
        <v>56.879867870626441</v>
      </c>
      <c r="G348" s="19">
        <f t="shared" ca="1" si="48"/>
        <v>1.4301331293735586</v>
      </c>
      <c r="H348" s="27">
        <v>64.400002000000001</v>
      </c>
      <c r="I348" s="19">
        <f t="shared" si="49"/>
        <v>-8.6206436056133207E-3</v>
      </c>
      <c r="J348" s="19">
        <f t="shared" ca="1" si="50"/>
        <v>-1.4299910595893758E-4</v>
      </c>
      <c r="K348" s="19">
        <f t="shared" ca="1" si="51"/>
        <v>83.478059004929491</v>
      </c>
      <c r="L348" s="19">
        <f t="shared" ca="1" si="52"/>
        <v>1.193899507050844E-2</v>
      </c>
      <c r="M348" s="19">
        <f t="shared" ca="1" si="53"/>
        <v>1.4420721244440671</v>
      </c>
      <c r="AA348" s="37">
        <v>328</v>
      </c>
      <c r="AB348" s="37">
        <v>1.7291849320917754</v>
      </c>
      <c r="AC348" s="37">
        <v>2.8378875067256324</v>
      </c>
      <c r="AD348" s="37">
        <v>3.0304321895885229</v>
      </c>
    </row>
    <row r="349" spans="2:30" x14ac:dyDescent="0.3">
      <c r="B349" s="28">
        <v>43138</v>
      </c>
      <c r="C349" s="25">
        <v>45.779998999999997</v>
      </c>
      <c r="D349" s="18">
        <f t="shared" si="45"/>
        <v>-4.9988917626122564E-3</v>
      </c>
      <c r="E349" s="32">
        <f t="shared" ca="1" si="46"/>
        <v>1.791692039424234E-3</v>
      </c>
      <c r="F349" s="18">
        <f t="shared" ca="1" si="47"/>
        <v>58.414474564610522</v>
      </c>
      <c r="G349" s="19">
        <f t="shared" ca="1" si="48"/>
        <v>-0.10447356461052237</v>
      </c>
      <c r="H349" s="27">
        <v>62.580002</v>
      </c>
      <c r="I349" s="19">
        <f t="shared" si="49"/>
        <v>-2.8260868687550622E-2</v>
      </c>
      <c r="J349" s="19">
        <f t="shared" ca="1" si="50"/>
        <v>-8.9196528493692227E-3</v>
      </c>
      <c r="K349" s="19">
        <f t="shared" ca="1" si="51"/>
        <v>82.74529620144547</v>
      </c>
      <c r="L349" s="19">
        <f t="shared" ca="1" si="52"/>
        <v>0.74470179855453011</v>
      </c>
      <c r="M349" s="19">
        <f t="shared" ca="1" si="53"/>
        <v>0.64022823394400774</v>
      </c>
      <c r="AA349" s="37">
        <v>329</v>
      </c>
      <c r="AB349" s="37">
        <v>1.7882356422901784</v>
      </c>
      <c r="AC349" s="37">
        <v>3.050866378138485</v>
      </c>
      <c r="AD349" s="37">
        <v>3.5432101924108332</v>
      </c>
    </row>
    <row r="350" spans="2:30" x14ac:dyDescent="0.3">
      <c r="B350" s="28">
        <v>43139</v>
      </c>
      <c r="C350" s="25">
        <v>44.830002</v>
      </c>
      <c r="D350" s="18">
        <f t="shared" si="45"/>
        <v>-2.0751354756473384E-2</v>
      </c>
      <c r="E350" s="32">
        <f t="shared" ca="1" si="46"/>
        <v>1.3423886218554211E-2</v>
      </c>
      <c r="F350" s="18">
        <f t="shared" ca="1" si="47"/>
        <v>59.092747818827789</v>
      </c>
      <c r="G350" s="19">
        <f t="shared" ca="1" si="48"/>
        <v>-0.78274681882778907</v>
      </c>
      <c r="H350" s="27">
        <v>61.400002000000001</v>
      </c>
      <c r="I350" s="19">
        <f t="shared" si="49"/>
        <v>-1.8855863890832048E-2</v>
      </c>
      <c r="J350" s="19">
        <f t="shared" ca="1" si="50"/>
        <v>-9.9553774420122823E-3</v>
      </c>
      <c r="K350" s="19">
        <f t="shared" ca="1" si="51"/>
        <v>82.658823557277145</v>
      </c>
      <c r="L350" s="19">
        <f t="shared" ca="1" si="52"/>
        <v>0.83117444272285468</v>
      </c>
      <c r="M350" s="19">
        <f t="shared" ca="1" si="53"/>
        <v>4.8427623895065608E-2</v>
      </c>
      <c r="AA350" s="37">
        <v>330</v>
      </c>
      <c r="AB350" s="37">
        <v>1.7871038079439248</v>
      </c>
      <c r="AC350" s="37">
        <v>2.6889971103421213</v>
      </c>
      <c r="AD350" s="37">
        <v>3.4315858108561494</v>
      </c>
    </row>
    <row r="351" spans="2:30" x14ac:dyDescent="0.3">
      <c r="B351" s="28">
        <v>43140</v>
      </c>
      <c r="C351" s="25">
        <v>44.84</v>
      </c>
      <c r="D351" s="18">
        <f t="shared" si="45"/>
        <v>2.2302028895748727E-4</v>
      </c>
      <c r="E351" s="32">
        <f t="shared" ca="1" si="46"/>
        <v>1.0857830776770709E-2</v>
      </c>
      <c r="F351" s="18">
        <f t="shared" ca="1" si="47"/>
        <v>58.943121123451327</v>
      </c>
      <c r="G351" s="19">
        <f t="shared" ca="1" si="48"/>
        <v>-0.63312012345132729</v>
      </c>
      <c r="H351" s="27">
        <v>62.330002</v>
      </c>
      <c r="I351" s="19">
        <f t="shared" si="49"/>
        <v>1.5146579311186237E-2</v>
      </c>
      <c r="J351" s="19">
        <f t="shared" ca="1" si="50"/>
        <v>-2.2057646066362424E-3</v>
      </c>
      <c r="K351" s="19">
        <f t="shared" ca="1" si="51"/>
        <v>83.305838717403475</v>
      </c>
      <c r="L351" s="19">
        <f t="shared" ca="1" si="52"/>
        <v>0.18415928259652503</v>
      </c>
      <c r="M351" s="19">
        <f t="shared" ca="1" si="53"/>
        <v>-0.44896084085480226</v>
      </c>
      <c r="AA351" s="37">
        <v>331</v>
      </c>
      <c r="AB351" s="37">
        <v>1.6702072551978167</v>
      </c>
      <c r="AC351" s="37">
        <v>2.8559579533918877</v>
      </c>
      <c r="AD351" s="37">
        <v>3.3712759245453063</v>
      </c>
    </row>
    <row r="352" spans="2:30" x14ac:dyDescent="0.3">
      <c r="B352" s="28">
        <v>43143</v>
      </c>
      <c r="C352" s="25">
        <v>44.380001</v>
      </c>
      <c r="D352" s="18">
        <f t="shared" si="45"/>
        <v>-1.025867528991975E-2</v>
      </c>
      <c r="E352" s="32">
        <f t="shared" ca="1" si="46"/>
        <v>8.8094178325537845E-3</v>
      </c>
      <c r="F352" s="18">
        <f t="shared" ca="1" si="47"/>
        <v>58.823678162625626</v>
      </c>
      <c r="G352" s="19">
        <f t="shared" ca="1" si="48"/>
        <v>-0.51367716262562624</v>
      </c>
      <c r="H352" s="27">
        <v>63.23</v>
      </c>
      <c r="I352" s="19">
        <f t="shared" si="49"/>
        <v>1.4439242276937492E-2</v>
      </c>
      <c r="J352" s="19">
        <f t="shared" ca="1" si="50"/>
        <v>2.3067467558461736E-3</v>
      </c>
      <c r="K352" s="19">
        <f t="shared" ca="1" si="51"/>
        <v>83.6825882820321</v>
      </c>
      <c r="L352" s="19">
        <f t="shared" ca="1" si="52"/>
        <v>-0.19259028203209994</v>
      </c>
      <c r="M352" s="19">
        <f t="shared" ca="1" si="53"/>
        <v>-0.70626744465772617</v>
      </c>
      <c r="AA352" s="37">
        <v>332</v>
      </c>
      <c r="AB352" s="37">
        <v>1.7955184425249235</v>
      </c>
      <c r="AC352" s="37">
        <v>2.9039740919070223</v>
      </c>
      <c r="AD352" s="37">
        <v>3.4187730684478641</v>
      </c>
    </row>
    <row r="353" spans="2:30" x14ac:dyDescent="0.3">
      <c r="B353" s="28">
        <v>43144</v>
      </c>
      <c r="C353" s="25">
        <v>43.73</v>
      </c>
      <c r="D353" s="18">
        <f t="shared" si="45"/>
        <v>-1.4646259246366422E-2</v>
      </c>
      <c r="E353" s="32">
        <f t="shared" ca="1" si="46"/>
        <v>5.2293129944859053E-2</v>
      </c>
      <c r="F353" s="18">
        <f t="shared" ca="1" si="47"/>
        <v>61.359213459377862</v>
      </c>
      <c r="G353" s="19">
        <f t="shared" ca="1" si="48"/>
        <v>-3.0492124593778627</v>
      </c>
      <c r="H353" s="27">
        <v>64</v>
      </c>
      <c r="I353" s="19">
        <f t="shared" si="49"/>
        <v>1.2177763719753321E-2</v>
      </c>
      <c r="J353" s="19">
        <f t="shared" ca="1" si="50"/>
        <v>3.4744479452850148E-2</v>
      </c>
      <c r="K353" s="19">
        <f t="shared" ca="1" si="51"/>
        <v>86.390814520029508</v>
      </c>
      <c r="L353" s="19">
        <f t="shared" ca="1" si="52"/>
        <v>-2.9008165200295082</v>
      </c>
      <c r="M353" s="19">
        <f t="shared" ca="1" si="53"/>
        <v>-5.9500289794073709</v>
      </c>
      <c r="AA353" s="37">
        <v>333</v>
      </c>
      <c r="AB353" s="37">
        <v>1.7708892214505609</v>
      </c>
      <c r="AC353" s="37">
        <v>2.8616010373992293</v>
      </c>
      <c r="AD353" s="37">
        <v>3.3697030969488351</v>
      </c>
    </row>
    <row r="354" spans="2:30" x14ac:dyDescent="0.3">
      <c r="B354" s="28">
        <v>43145</v>
      </c>
      <c r="C354" s="25">
        <v>43.950001</v>
      </c>
      <c r="D354" s="18">
        <f t="shared" si="45"/>
        <v>5.0308941230277071E-3</v>
      </c>
      <c r="E354" s="32">
        <f t="shared" ca="1" si="46"/>
        <v>3.0282315676831515E-3</v>
      </c>
      <c r="F354" s="18">
        <f t="shared" ca="1" si="47"/>
        <v>58.486577185739833</v>
      </c>
      <c r="G354" s="19">
        <f t="shared" ca="1" si="48"/>
        <v>-0.17657618573983314</v>
      </c>
      <c r="H354" s="27">
        <v>65.290001000000004</v>
      </c>
      <c r="I354" s="19">
        <f t="shared" si="49"/>
        <v>2.0156265625000058E-2</v>
      </c>
      <c r="J354" s="19">
        <f t="shared" ca="1" si="50"/>
        <v>5.160789260650671E-3</v>
      </c>
      <c r="K354" s="19">
        <f t="shared" ca="1" si="51"/>
        <v>83.920872285050152</v>
      </c>
      <c r="L354" s="19">
        <f t="shared" ca="1" si="52"/>
        <v>-0.43087428505015168</v>
      </c>
      <c r="M354" s="19">
        <f t="shared" ca="1" si="53"/>
        <v>-0.60745047078998482</v>
      </c>
      <c r="AA354" s="37">
        <v>334</v>
      </c>
      <c r="AB354" s="37">
        <v>1.7408168639099184</v>
      </c>
      <c r="AC354" s="37">
        <v>2.8942815383343454</v>
      </c>
      <c r="AD354" s="37">
        <v>3.300799567717549</v>
      </c>
    </row>
    <row r="355" spans="2:30" x14ac:dyDescent="0.3">
      <c r="B355" s="28">
        <v>43146</v>
      </c>
      <c r="C355" s="25">
        <v>43.759998000000003</v>
      </c>
      <c r="D355" s="18">
        <f t="shared" si="45"/>
        <v>-4.3231625865036705E-3</v>
      </c>
      <c r="E355" s="32">
        <f t="shared" ca="1" si="46"/>
        <v>-7.8388048577681512E-3</v>
      </c>
      <c r="F355" s="18">
        <f t="shared" ca="1" si="47"/>
        <v>57.852920280904733</v>
      </c>
      <c r="G355" s="19">
        <f t="shared" ca="1" si="48"/>
        <v>0.45708071909526637</v>
      </c>
      <c r="H355" s="27">
        <v>65.879997000000003</v>
      </c>
      <c r="I355" s="19">
        <f t="shared" si="49"/>
        <v>9.0365445085534013E-3</v>
      </c>
      <c r="J355" s="19">
        <f t="shared" ca="1" si="50"/>
        <v>3.7937518813188527E-2</v>
      </c>
      <c r="K355" s="19">
        <f t="shared" ca="1" si="51"/>
        <v>86.65740136983807</v>
      </c>
      <c r="L355" s="19">
        <f t="shared" ca="1" si="52"/>
        <v>-3.1674033698380697</v>
      </c>
      <c r="M355" s="19">
        <f t="shared" ca="1" si="53"/>
        <v>-2.7103226507428033</v>
      </c>
      <c r="AA355" s="37">
        <v>335</v>
      </c>
      <c r="AB355" s="37">
        <v>1.8030158815125505</v>
      </c>
      <c r="AC355" s="37">
        <v>3.0075226745166574</v>
      </c>
      <c r="AD355" s="37">
        <v>3.4856544252277941</v>
      </c>
    </row>
    <row r="356" spans="2:30" x14ac:dyDescent="0.3">
      <c r="B356" s="28">
        <v>43147</v>
      </c>
      <c r="C356" s="25">
        <v>44.009998000000003</v>
      </c>
      <c r="D356" s="18">
        <f t="shared" si="45"/>
        <v>5.7129801514159695E-3</v>
      </c>
      <c r="E356" s="32">
        <f t="shared" ca="1" si="46"/>
        <v>1.7580491705346893E-3</v>
      </c>
      <c r="F356" s="18">
        <f t="shared" ca="1" si="47"/>
        <v>58.412512848891929</v>
      </c>
      <c r="G356" s="19">
        <f t="shared" ca="1" si="48"/>
        <v>-0.10251184889192899</v>
      </c>
      <c r="H356" s="27">
        <v>66.099997999999999</v>
      </c>
      <c r="I356" s="19">
        <f t="shared" si="49"/>
        <v>3.3394203099310626E-3</v>
      </c>
      <c r="J356" s="19">
        <f t="shared" ca="1" si="50"/>
        <v>-1.890875821388651E-2</v>
      </c>
      <c r="K356" s="19">
        <f t="shared" ca="1" si="51"/>
        <v>81.911305814540128</v>
      </c>
      <c r="L356" s="19">
        <f t="shared" ca="1" si="52"/>
        <v>1.5786921854598717</v>
      </c>
      <c r="M356" s="19">
        <f t="shared" ca="1" si="53"/>
        <v>1.4761803365679427</v>
      </c>
      <c r="AA356" s="37">
        <v>336</v>
      </c>
      <c r="AB356" s="37">
        <v>1.8460505594904175</v>
      </c>
      <c r="AC356" s="37">
        <v>2.8434866670200045</v>
      </c>
      <c r="AD356" s="37">
        <v>3.4078955226873315</v>
      </c>
    </row>
    <row r="357" spans="2:30" x14ac:dyDescent="0.3">
      <c r="B357" s="28">
        <v>43150</v>
      </c>
      <c r="C357" s="25">
        <v>43.919998</v>
      </c>
      <c r="D357" s="18">
        <f t="shared" si="45"/>
        <v>-2.0449898679841816E-3</v>
      </c>
      <c r="E357" s="32">
        <f t="shared" ca="1" si="46"/>
        <v>-5.9683044973159382E-3</v>
      </c>
      <c r="F357" s="18">
        <f t="shared" ca="1" si="47"/>
        <v>57.961989158793209</v>
      </c>
      <c r="G357" s="19">
        <f t="shared" ca="1" si="48"/>
        <v>0.34801184120679096</v>
      </c>
      <c r="H357" s="27">
        <v>64.870002999999997</v>
      </c>
      <c r="I357" s="19">
        <f t="shared" si="49"/>
        <v>-1.8608094360305416E-2</v>
      </c>
      <c r="J357" s="19">
        <f t="shared" ca="1" si="50"/>
        <v>8.444918503882317E-3</v>
      </c>
      <c r="K357" s="19">
        <f t="shared" ca="1" si="51"/>
        <v>84.1950642289993</v>
      </c>
      <c r="L357" s="19">
        <f t="shared" ca="1" si="52"/>
        <v>-0.70506622899929994</v>
      </c>
      <c r="M357" s="19">
        <f t="shared" ca="1" si="53"/>
        <v>-0.35705438779250898</v>
      </c>
      <c r="AA357" s="37">
        <v>337</v>
      </c>
      <c r="AB357" s="37">
        <v>1.7298771624995175</v>
      </c>
      <c r="AC357" s="37">
        <v>2.7548266687846445</v>
      </c>
      <c r="AD357" s="37">
        <v>3.4059705353332097</v>
      </c>
    </row>
    <row r="358" spans="2:30" x14ac:dyDescent="0.3">
      <c r="B358" s="28">
        <v>43151</v>
      </c>
      <c r="C358" s="25">
        <v>44.060001</v>
      </c>
      <c r="D358" s="18">
        <f t="shared" si="45"/>
        <v>3.1876822945211547E-3</v>
      </c>
      <c r="E358" s="32">
        <f t="shared" ca="1" si="46"/>
        <v>1.2549415566975409E-2</v>
      </c>
      <c r="F358" s="18">
        <f t="shared" ca="1" si="47"/>
        <v>59.04175743425975</v>
      </c>
      <c r="G358" s="19">
        <f t="shared" ca="1" si="48"/>
        <v>-0.73175643425975068</v>
      </c>
      <c r="H358" s="27">
        <v>65.569999999999993</v>
      </c>
      <c r="I358" s="19">
        <f t="shared" si="49"/>
        <v>1.0790765648646561E-2</v>
      </c>
      <c r="J358" s="19">
        <f t="shared" ca="1" si="50"/>
        <v>-1.1794358116579966E-2</v>
      </c>
      <c r="K358" s="19">
        <f t="shared" ca="1" si="51"/>
        <v>82.505287064435464</v>
      </c>
      <c r="L358" s="19">
        <f t="shared" ca="1" si="52"/>
        <v>0.98471093556453582</v>
      </c>
      <c r="M358" s="19">
        <f t="shared" ca="1" si="53"/>
        <v>0.25295450130478514</v>
      </c>
      <c r="AA358" s="37">
        <v>338</v>
      </c>
      <c r="AB358" s="37">
        <v>1.7100046482840687</v>
      </c>
      <c r="AC358" s="37">
        <v>2.8741897800867502</v>
      </c>
      <c r="AD358" s="37">
        <v>3.4551772332759128</v>
      </c>
    </row>
    <row r="359" spans="2:30" x14ac:dyDescent="0.3">
      <c r="B359" s="28">
        <v>43152</v>
      </c>
      <c r="C359" s="25">
        <v>43.970001000000003</v>
      </c>
      <c r="D359" s="18">
        <f t="shared" si="45"/>
        <v>-2.0426690412466142E-3</v>
      </c>
      <c r="E359" s="32">
        <f t="shared" ca="1" si="46"/>
        <v>-1.3980455209741564E-2</v>
      </c>
      <c r="F359" s="18">
        <f t="shared" ca="1" si="47"/>
        <v>57.494800642739513</v>
      </c>
      <c r="G359" s="19">
        <f t="shared" ca="1" si="48"/>
        <v>0.8152003572604869</v>
      </c>
      <c r="H359" s="27">
        <v>64.959998999999996</v>
      </c>
      <c r="I359" s="19">
        <f t="shared" si="49"/>
        <v>-9.3030501753850192E-3</v>
      </c>
      <c r="J359" s="19">
        <f t="shared" ca="1" si="50"/>
        <v>2.1770364756558757E-2</v>
      </c>
      <c r="K359" s="19">
        <f t="shared" ca="1" si="51"/>
        <v>85.307605709984358</v>
      </c>
      <c r="L359" s="19">
        <f t="shared" ca="1" si="52"/>
        <v>-1.8176077099843582</v>
      </c>
      <c r="M359" s="19">
        <f t="shared" ca="1" si="53"/>
        <v>-1.0024073527238713</v>
      </c>
      <c r="AA359" s="37">
        <v>339</v>
      </c>
      <c r="AB359" s="37">
        <v>1.7940764938236413</v>
      </c>
      <c r="AC359" s="37">
        <v>3.0042643937574263</v>
      </c>
      <c r="AD359" s="37">
        <v>3.4574263487931498</v>
      </c>
    </row>
    <row r="360" spans="2:30" x14ac:dyDescent="0.3">
      <c r="B360" s="28">
        <v>43153</v>
      </c>
      <c r="C360" s="25">
        <v>44.400002000000001</v>
      </c>
      <c r="D360" s="18">
        <f t="shared" si="45"/>
        <v>9.7794175624421609E-3</v>
      </c>
      <c r="E360" s="32">
        <f t="shared" ca="1" si="46"/>
        <v>1.9252629985130776E-2</v>
      </c>
      <c r="F360" s="18">
        <f t="shared" ca="1" si="47"/>
        <v>59.432621873685605</v>
      </c>
      <c r="G360" s="19">
        <f t="shared" ca="1" si="48"/>
        <v>-1.1226208736856051</v>
      </c>
      <c r="H360" s="27">
        <v>65.989998</v>
      </c>
      <c r="I360" s="19">
        <f t="shared" si="49"/>
        <v>1.5855896180047679E-2</v>
      </c>
      <c r="J360" s="19">
        <f t="shared" ca="1" si="50"/>
        <v>1.4242554923487017E-2</v>
      </c>
      <c r="K360" s="19">
        <f t="shared" ca="1" si="51"/>
        <v>84.679108882076818</v>
      </c>
      <c r="L360" s="19">
        <f t="shared" ca="1" si="52"/>
        <v>-1.1891108820768181</v>
      </c>
      <c r="M360" s="19">
        <f t="shared" ca="1" si="53"/>
        <v>-2.3117317557624233</v>
      </c>
      <c r="AA360" s="37">
        <v>340</v>
      </c>
      <c r="AB360" s="37">
        <v>1.7643235811853533</v>
      </c>
      <c r="AC360" s="37">
        <v>2.7250844967588241</v>
      </c>
      <c r="AD360" s="37">
        <v>3.3787576132266279</v>
      </c>
    </row>
    <row r="361" spans="2:30" x14ac:dyDescent="0.3">
      <c r="B361" s="28">
        <v>43154</v>
      </c>
      <c r="C361" s="25">
        <v>44.43</v>
      </c>
      <c r="D361" s="18">
        <f t="shared" si="45"/>
        <v>6.7563060019670829E-4</v>
      </c>
      <c r="E361" s="32">
        <f t="shared" ca="1" si="46"/>
        <v>9.8613633816073427E-3</v>
      </c>
      <c r="F361" s="18">
        <f t="shared" ca="1" si="47"/>
        <v>58.885017108642892</v>
      </c>
      <c r="G361" s="19">
        <f t="shared" ca="1" si="48"/>
        <v>-0.57501610864289177</v>
      </c>
      <c r="H361" s="27">
        <v>66.019997000000004</v>
      </c>
      <c r="I361" s="19">
        <f t="shared" si="49"/>
        <v>4.5459919547208294E-4</v>
      </c>
      <c r="J361" s="19">
        <f t="shared" ca="1" si="50"/>
        <v>1.6256280244210122E-2</v>
      </c>
      <c r="K361" s="19">
        <f t="shared" ca="1" si="51"/>
        <v>84.847234805076539</v>
      </c>
      <c r="L361" s="19">
        <f t="shared" ca="1" si="52"/>
        <v>-1.3572368050765391</v>
      </c>
      <c r="M361" s="19">
        <f t="shared" ca="1" si="53"/>
        <v>-1.9322529137194309</v>
      </c>
      <c r="AA361" s="37">
        <v>341</v>
      </c>
      <c r="AB361" s="37">
        <v>1.7634614395291566</v>
      </c>
      <c r="AC361" s="37">
        <v>2.8012714570484403</v>
      </c>
      <c r="AD361" s="37">
        <v>3.4238143370412359</v>
      </c>
    </row>
    <row r="362" spans="2:30" x14ac:dyDescent="0.3">
      <c r="B362" s="28">
        <v>43157</v>
      </c>
      <c r="C362" s="25">
        <v>44.200001</v>
      </c>
      <c r="D362" s="18">
        <f t="shared" si="45"/>
        <v>-5.176659914472137E-3</v>
      </c>
      <c r="E362" s="32">
        <f t="shared" ca="1" si="46"/>
        <v>1.6522636436309197E-2</v>
      </c>
      <c r="F362" s="18">
        <f t="shared" ca="1" si="47"/>
        <v>59.273435947123822</v>
      </c>
      <c r="G362" s="19">
        <f t="shared" ca="1" si="48"/>
        <v>-0.96343494712382238</v>
      </c>
      <c r="H362" s="27">
        <v>65.790001000000004</v>
      </c>
      <c r="I362" s="19">
        <f t="shared" si="49"/>
        <v>-3.4837323606664583E-3</v>
      </c>
      <c r="J362" s="19">
        <f t="shared" ca="1" si="50"/>
        <v>1.7800609942382747E-2</v>
      </c>
      <c r="K362" s="19">
        <f t="shared" ca="1" si="51"/>
        <v>84.976170888488312</v>
      </c>
      <c r="L362" s="19">
        <f t="shared" ca="1" si="52"/>
        <v>-1.4861728884883121</v>
      </c>
      <c r="M362" s="19">
        <f t="shared" ca="1" si="53"/>
        <v>-2.4496078356121345</v>
      </c>
      <c r="AA362" s="37">
        <v>342</v>
      </c>
      <c r="AB362" s="37">
        <v>1.7858286436241684</v>
      </c>
      <c r="AC362" s="37">
        <v>2.8502454935502204</v>
      </c>
      <c r="AD362" s="37">
        <v>3.4389451439235641</v>
      </c>
    </row>
    <row r="363" spans="2:30" x14ac:dyDescent="0.3">
      <c r="B363" s="28">
        <v>43158</v>
      </c>
      <c r="C363" s="25">
        <v>44.240001999999997</v>
      </c>
      <c r="D363" s="18">
        <f t="shared" si="45"/>
        <v>9.0499997952475653E-4</v>
      </c>
      <c r="E363" s="32">
        <f t="shared" ca="1" si="46"/>
        <v>1.5211234719830709E-2</v>
      </c>
      <c r="F363" s="18">
        <f t="shared" ca="1" si="47"/>
        <v>59.196968111724566</v>
      </c>
      <c r="G363" s="19">
        <f t="shared" ca="1" si="48"/>
        <v>-0.88696711172456588</v>
      </c>
      <c r="H363" s="27">
        <v>65.540001000000004</v>
      </c>
      <c r="I363" s="19">
        <f t="shared" si="49"/>
        <v>-3.7999695424840718E-3</v>
      </c>
      <c r="J363" s="19">
        <f t="shared" ca="1" si="50"/>
        <v>-4.1853389077565889E-3</v>
      </c>
      <c r="K363" s="19">
        <f t="shared" ca="1" si="51"/>
        <v>83.140564062962071</v>
      </c>
      <c r="L363" s="19">
        <f t="shared" ca="1" si="52"/>
        <v>0.34943393703792935</v>
      </c>
      <c r="M363" s="19">
        <f t="shared" ca="1" si="53"/>
        <v>-0.53753317468663653</v>
      </c>
      <c r="AA363" s="37">
        <v>343</v>
      </c>
      <c r="AB363" s="37">
        <v>1.7715783104251488</v>
      </c>
      <c r="AC363" s="37">
        <v>2.9414818663121967</v>
      </c>
      <c r="AD363" s="37">
        <v>3.5021666445698503</v>
      </c>
    </row>
    <row r="364" spans="2:30" x14ac:dyDescent="0.3">
      <c r="B364" s="28">
        <v>43159</v>
      </c>
      <c r="C364" s="25">
        <v>44.110000999999997</v>
      </c>
      <c r="D364" s="18">
        <f t="shared" si="45"/>
        <v>-2.9385396501564465E-3</v>
      </c>
      <c r="E364" s="32">
        <f t="shared" ca="1" si="46"/>
        <v>1.285234677193705E-2</v>
      </c>
      <c r="F364" s="18">
        <f t="shared" ca="1" si="47"/>
        <v>59.059421353123994</v>
      </c>
      <c r="G364" s="19">
        <f t="shared" ca="1" si="48"/>
        <v>-0.74942035312399469</v>
      </c>
      <c r="H364" s="27">
        <v>64.349997999999999</v>
      </c>
      <c r="I364" s="19">
        <f t="shared" si="49"/>
        <v>-1.8156896274688861E-2</v>
      </c>
      <c r="J364" s="19">
        <f t="shared" ca="1" si="50"/>
        <v>-7.5256448123608407E-3</v>
      </c>
      <c r="K364" s="19">
        <f t="shared" ca="1" si="51"/>
        <v>82.861681929667284</v>
      </c>
      <c r="L364" s="19">
        <f t="shared" ca="1" si="52"/>
        <v>0.62831607033271553</v>
      </c>
      <c r="M364" s="19">
        <f t="shared" ca="1" si="53"/>
        <v>-0.12110428279127916</v>
      </c>
      <c r="AA364" s="37">
        <v>344</v>
      </c>
      <c r="AB364" s="37">
        <v>1.7167421137668404</v>
      </c>
      <c r="AC364" s="37">
        <v>2.9485380971072117</v>
      </c>
      <c r="AD364" s="37">
        <v>3.4704002747778868</v>
      </c>
    </row>
    <row r="365" spans="2:30" x14ac:dyDescent="0.3">
      <c r="B365" s="28">
        <v>43160</v>
      </c>
      <c r="C365" s="25">
        <v>44.080002</v>
      </c>
      <c r="D365" s="18">
        <f t="shared" si="45"/>
        <v>-6.8009520108591737E-4</v>
      </c>
      <c r="E365" s="32">
        <f t="shared" ca="1" si="46"/>
        <v>-6.881898449537622E-4</v>
      </c>
      <c r="F365" s="18">
        <f t="shared" ca="1" si="47"/>
        <v>58.269872649452552</v>
      </c>
      <c r="G365" s="19">
        <f t="shared" ca="1" si="48"/>
        <v>4.0128350547448122E-2</v>
      </c>
      <c r="H365" s="27">
        <v>62.130001</v>
      </c>
      <c r="I365" s="19">
        <f t="shared" si="49"/>
        <v>-3.4498788951011328E-2</v>
      </c>
      <c r="J365" s="19">
        <f t="shared" ca="1" si="50"/>
        <v>-2.355200056945099E-2</v>
      </c>
      <c r="K365" s="19">
        <f t="shared" ca="1" si="51"/>
        <v>81.523641519560542</v>
      </c>
      <c r="L365" s="19">
        <f t="shared" ca="1" si="52"/>
        <v>1.9663564804394582</v>
      </c>
      <c r="M365" s="19">
        <f t="shared" ca="1" si="53"/>
        <v>2.0064848309869063</v>
      </c>
      <c r="AA365" s="37">
        <v>345</v>
      </c>
      <c r="AB365" s="37">
        <v>1.7863786794190901</v>
      </c>
      <c r="AC365" s="37">
        <v>2.7389707173210724</v>
      </c>
      <c r="AD365" s="37">
        <v>3.3093971991838886</v>
      </c>
    </row>
    <row r="366" spans="2:30" x14ac:dyDescent="0.3">
      <c r="B366" s="28">
        <v>43161</v>
      </c>
      <c r="C366" s="25">
        <v>43.040000999999997</v>
      </c>
      <c r="D366" s="18">
        <f t="shared" si="45"/>
        <v>-2.3593488040222987E-2</v>
      </c>
      <c r="E366" s="32">
        <f t="shared" ca="1" si="46"/>
        <v>-1.8123432919281444E-2</v>
      </c>
      <c r="F366" s="18">
        <f t="shared" ca="1" si="47"/>
        <v>57.253223608353267</v>
      </c>
      <c r="G366" s="19">
        <f t="shared" ca="1" si="48"/>
        <v>1.0567773916467331</v>
      </c>
      <c r="H366" s="27">
        <v>61.639999000000003</v>
      </c>
      <c r="I366" s="19">
        <f t="shared" si="49"/>
        <v>-7.8867212636934969E-3</v>
      </c>
      <c r="J366" s="19">
        <f t="shared" ca="1" si="50"/>
        <v>-1.6264978908731999E-2</v>
      </c>
      <c r="K366" s="19">
        <f t="shared" ca="1" si="51"/>
        <v>82.132034943439919</v>
      </c>
      <c r="L366" s="19">
        <f t="shared" ca="1" si="52"/>
        <v>1.3579630565600809</v>
      </c>
      <c r="M366" s="19">
        <f t="shared" ca="1" si="53"/>
        <v>2.414740448206814</v>
      </c>
      <c r="AA366" s="37">
        <v>346</v>
      </c>
      <c r="AB366" s="37">
        <v>1.7645521636477182</v>
      </c>
      <c r="AC366" s="37">
        <v>3.0213606244862929</v>
      </c>
      <c r="AD366" s="37">
        <v>3.1183793731642981</v>
      </c>
    </row>
    <row r="367" spans="2:30" x14ac:dyDescent="0.3">
      <c r="B367" s="28">
        <v>43164</v>
      </c>
      <c r="C367" s="25">
        <v>42.73</v>
      </c>
      <c r="D367" s="18">
        <f t="shared" si="45"/>
        <v>-7.2026252973367288E-3</v>
      </c>
      <c r="E367" s="32">
        <f t="shared" ca="1" si="46"/>
        <v>2.0441278332950751E-2</v>
      </c>
      <c r="F367" s="18">
        <f t="shared" ca="1" si="47"/>
        <v>59.501931960035641</v>
      </c>
      <c r="G367" s="19">
        <f t="shared" ca="1" si="48"/>
        <v>-1.1919309600356414</v>
      </c>
      <c r="H367" s="27">
        <v>63.93</v>
      </c>
      <c r="I367" s="19">
        <f t="shared" si="49"/>
        <v>3.7151217345087861E-2</v>
      </c>
      <c r="J367" s="19">
        <f t="shared" ca="1" si="50"/>
        <v>1.2056436642190978E-2</v>
      </c>
      <c r="K367" s="19">
        <f t="shared" ca="1" si="51"/>
        <v>84.496589871143641</v>
      </c>
      <c r="L367" s="19">
        <f t="shared" ca="1" si="52"/>
        <v>-1.006591871143641</v>
      </c>
      <c r="M367" s="19">
        <f t="shared" ca="1" si="53"/>
        <v>-2.1985228311792824</v>
      </c>
      <c r="AA367" s="37">
        <v>347</v>
      </c>
      <c r="AB367" s="37">
        <v>1.8165763863331417</v>
      </c>
      <c r="AC367" s="37">
        <v>3.0695837518399283</v>
      </c>
      <c r="AD367" s="37">
        <v>3.1638575592990641</v>
      </c>
    </row>
    <row r="368" spans="2:30" x14ac:dyDescent="0.3">
      <c r="B368" s="28">
        <v>43165</v>
      </c>
      <c r="C368" s="25">
        <v>42.48</v>
      </c>
      <c r="D368" s="18">
        <f t="shared" si="45"/>
        <v>-5.850690381465018E-3</v>
      </c>
      <c r="E368" s="32">
        <f t="shared" ca="1" si="46"/>
        <v>-1.37937998813886E-2</v>
      </c>
      <c r="F368" s="18">
        <f t="shared" ca="1" si="47"/>
        <v>57.505684515122432</v>
      </c>
      <c r="G368" s="19">
        <f t="shared" ca="1" si="48"/>
        <v>0.80431648487756746</v>
      </c>
      <c r="H368" s="27">
        <v>65.099997999999999</v>
      </c>
      <c r="I368" s="19">
        <f t="shared" si="49"/>
        <v>1.8301235726575937E-2</v>
      </c>
      <c r="J368" s="19">
        <f t="shared" ca="1" si="50"/>
        <v>-6.7454815182548819E-3</v>
      </c>
      <c r="K368" s="19">
        <f t="shared" ca="1" si="51"/>
        <v>82.926817761531865</v>
      </c>
      <c r="L368" s="19">
        <f t="shared" ca="1" si="52"/>
        <v>0.56318023846813503</v>
      </c>
      <c r="M368" s="19">
        <f t="shared" ca="1" si="53"/>
        <v>1.3674967233457025</v>
      </c>
      <c r="AA368" s="37">
        <v>348</v>
      </c>
      <c r="AB368" s="37">
        <v>1.7169491725716632</v>
      </c>
      <c r="AC368" s="37">
        <v>2.5866389045693188</v>
      </c>
      <c r="AD368" s="37">
        <v>3.2796992488244219</v>
      </c>
    </row>
    <row r="369" spans="2:30" x14ac:dyDescent="0.3">
      <c r="B369" s="28">
        <v>43166</v>
      </c>
      <c r="C369" s="25">
        <v>41.099997999999999</v>
      </c>
      <c r="D369" s="18">
        <f t="shared" si="45"/>
        <v>-3.2485922787193866E-2</v>
      </c>
      <c r="E369" s="32">
        <f t="shared" ca="1" si="46"/>
        <v>-2.6765120325855899E-3</v>
      </c>
      <c r="F369" s="18">
        <f t="shared" ca="1" si="47"/>
        <v>58.153933580703423</v>
      </c>
      <c r="G369" s="19">
        <f t="shared" ca="1" si="48"/>
        <v>0.1560674192965763</v>
      </c>
      <c r="H369" s="27">
        <v>64.919998000000007</v>
      </c>
      <c r="I369" s="19">
        <f t="shared" si="49"/>
        <v>-2.7649770434707843E-3</v>
      </c>
      <c r="J369" s="19">
        <f t="shared" ca="1" si="50"/>
        <v>3.4150817064376442E-2</v>
      </c>
      <c r="K369" s="19">
        <f t="shared" ca="1" si="51"/>
        <v>86.341249648403164</v>
      </c>
      <c r="L369" s="19">
        <f t="shared" ca="1" si="52"/>
        <v>-2.8512516484031636</v>
      </c>
      <c r="M369" s="19">
        <f t="shared" ca="1" si="53"/>
        <v>-2.6951842291065873</v>
      </c>
      <c r="AA369" s="37">
        <v>349</v>
      </c>
      <c r="AB369" s="37">
        <v>1.7451674022064596</v>
      </c>
      <c r="AC369" s="37">
        <v>2.752309455506925</v>
      </c>
      <c r="AD369" s="37">
        <v>3.3744084530434773</v>
      </c>
    </row>
    <row r="370" spans="2:30" x14ac:dyDescent="0.3">
      <c r="B370" s="28">
        <v>43167</v>
      </c>
      <c r="C370" s="25">
        <v>42.259998000000003</v>
      </c>
      <c r="D370" s="18">
        <f t="shared" si="45"/>
        <v>2.8223845655661606E-2</v>
      </c>
      <c r="E370" s="32">
        <f t="shared" ca="1" si="46"/>
        <v>-1.7884399294453051E-2</v>
      </c>
      <c r="F370" s="18">
        <f t="shared" ca="1" si="47"/>
        <v>57.26716165925604</v>
      </c>
      <c r="G370" s="19">
        <f t="shared" ca="1" si="48"/>
        <v>1.04283934074396</v>
      </c>
      <c r="H370" s="27">
        <v>64.690002000000007</v>
      </c>
      <c r="I370" s="19">
        <f t="shared" si="49"/>
        <v>-3.5427604295367177E-3</v>
      </c>
      <c r="J370" s="19">
        <f t="shared" ca="1" si="50"/>
        <v>-2.0625736518996855E-2</v>
      </c>
      <c r="K370" s="19">
        <f t="shared" ca="1" si="51"/>
        <v>81.767955299280416</v>
      </c>
      <c r="L370" s="19">
        <f t="shared" ca="1" si="52"/>
        <v>1.7220427007195838</v>
      </c>
      <c r="M370" s="19">
        <f t="shared" ca="1" si="53"/>
        <v>2.7648820414635438</v>
      </c>
      <c r="AA370" s="37">
        <v>350</v>
      </c>
      <c r="AB370" s="37">
        <v>1.6772688908129758</v>
      </c>
      <c r="AC370" s="37">
        <v>3.0663483999560577</v>
      </c>
      <c r="AD370" s="37">
        <v>3.430827042170395</v>
      </c>
    </row>
    <row r="371" spans="2:30" x14ac:dyDescent="0.3">
      <c r="B371" s="28">
        <v>43168</v>
      </c>
      <c r="C371" s="25">
        <v>42.549999</v>
      </c>
      <c r="D371" s="18">
        <f t="shared" si="45"/>
        <v>6.8623051046996508E-3</v>
      </c>
      <c r="E371" s="32">
        <f t="shared" ca="1" si="46"/>
        <v>-4.6034352096874662E-2</v>
      </c>
      <c r="F371" s="18">
        <f t="shared" ca="1" si="47"/>
        <v>55.625737883196884</v>
      </c>
      <c r="G371" s="19">
        <f t="shared" ca="1" si="48"/>
        <v>2.6842631168031161</v>
      </c>
      <c r="H371" s="27">
        <v>64.110000999999997</v>
      </c>
      <c r="I371" s="19">
        <f t="shared" si="49"/>
        <v>-8.9658522502443772E-3</v>
      </c>
      <c r="J371" s="19">
        <f t="shared" ca="1" si="50"/>
        <v>-2.3682972369296847E-3</v>
      </c>
      <c r="K371" s="19">
        <f t="shared" ca="1" si="51"/>
        <v>83.292268868425339</v>
      </c>
      <c r="L371" s="19">
        <f t="shared" ca="1" si="52"/>
        <v>0.19772913157466121</v>
      </c>
      <c r="M371" s="19">
        <f t="shared" ca="1" si="53"/>
        <v>2.8819922483777773</v>
      </c>
      <c r="AA371" s="37">
        <v>351</v>
      </c>
      <c r="AB371" s="37">
        <v>1.8203703181905988</v>
      </c>
      <c r="AC371" s="37">
        <v>2.7048873988675908</v>
      </c>
      <c r="AD371" s="37">
        <v>3.475053914748786</v>
      </c>
    </row>
    <row r="372" spans="2:30" x14ac:dyDescent="0.3">
      <c r="B372" s="28">
        <v>43171</v>
      </c>
      <c r="C372" s="25">
        <v>43.16</v>
      </c>
      <c r="D372" s="18">
        <f t="shared" si="45"/>
        <v>1.4336099044326645E-2</v>
      </c>
      <c r="E372" s="32">
        <f t="shared" ca="1" si="46"/>
        <v>2.6424311067657261E-2</v>
      </c>
      <c r="F372" s="18">
        <f t="shared" ca="1" si="47"/>
        <v>59.850802604779403</v>
      </c>
      <c r="G372" s="19">
        <f t="shared" ca="1" si="48"/>
        <v>-1.5408016047794035</v>
      </c>
      <c r="H372" s="27">
        <v>64.879997000000003</v>
      </c>
      <c r="I372" s="19">
        <f t="shared" si="49"/>
        <v>1.2010544189509531E-2</v>
      </c>
      <c r="J372" s="19">
        <f t="shared" ca="1" si="50"/>
        <v>-2.4259890226230766E-2</v>
      </c>
      <c r="K372" s="19">
        <f t="shared" ca="1" si="51"/>
        <v>81.464539813531772</v>
      </c>
      <c r="L372" s="19">
        <f t="shared" ca="1" si="52"/>
        <v>2.025458186468228</v>
      </c>
      <c r="M372" s="19">
        <f t="shared" ca="1" si="53"/>
        <v>0.48465658168882442</v>
      </c>
      <c r="AA372" s="37">
        <v>352</v>
      </c>
      <c r="AB372" s="37">
        <v>1.867204326881361</v>
      </c>
      <c r="AC372" s="37">
        <v>2.988591001382563</v>
      </c>
      <c r="AD372" s="37">
        <v>3.3102412470940772</v>
      </c>
    </row>
    <row r="373" spans="2:30" x14ac:dyDescent="0.3">
      <c r="B373" s="28">
        <v>43172</v>
      </c>
      <c r="C373" s="25">
        <v>41.91</v>
      </c>
      <c r="D373" s="18">
        <f t="shared" si="45"/>
        <v>-2.896200185356812E-2</v>
      </c>
      <c r="E373" s="32">
        <f t="shared" ca="1" si="46"/>
        <v>1.7455109243452671E-2</v>
      </c>
      <c r="F373" s="18">
        <f t="shared" ca="1" si="47"/>
        <v>59.327808437440837</v>
      </c>
      <c r="G373" s="19">
        <f t="shared" ca="1" si="48"/>
        <v>-1.0178074374408368</v>
      </c>
      <c r="H373" s="27">
        <v>64.949996999999996</v>
      </c>
      <c r="I373" s="19">
        <f t="shared" si="49"/>
        <v>1.0789149697401079E-3</v>
      </c>
      <c r="J373" s="19">
        <f t="shared" ca="1" si="50"/>
        <v>-2.0824731399975156E-2</v>
      </c>
      <c r="K373" s="19">
        <f t="shared" ca="1" si="51"/>
        <v>81.75134121706553</v>
      </c>
      <c r="L373" s="19">
        <f t="shared" ca="1" si="52"/>
        <v>1.7386567829344699</v>
      </c>
      <c r="M373" s="19">
        <f t="shared" ca="1" si="53"/>
        <v>0.72084934549363311</v>
      </c>
      <c r="AA373" s="37">
        <v>353</v>
      </c>
      <c r="AB373" s="37">
        <v>1.773962864850803</v>
      </c>
      <c r="AC373" s="37">
        <v>2.9085680140207075</v>
      </c>
      <c r="AD373" s="37">
        <v>3.2997261708103549</v>
      </c>
    </row>
    <row r="374" spans="2:30" x14ac:dyDescent="0.3">
      <c r="B374" s="28">
        <v>43173</v>
      </c>
      <c r="C374" s="25">
        <v>41.59</v>
      </c>
      <c r="D374" s="18">
        <f t="shared" si="45"/>
        <v>-7.6354092102122184E-3</v>
      </c>
      <c r="E374" s="32">
        <f t="shared" ca="1" si="46"/>
        <v>1.9378939996552373E-2</v>
      </c>
      <c r="F374" s="18">
        <f t="shared" ca="1" si="47"/>
        <v>59.439987010577902</v>
      </c>
      <c r="G374" s="19">
        <f t="shared" ca="1" si="48"/>
        <v>-1.1299860105779018</v>
      </c>
      <c r="H374" s="27">
        <v>63.34</v>
      </c>
      <c r="I374" s="19">
        <f t="shared" si="49"/>
        <v>-2.4788253646878422E-2</v>
      </c>
      <c r="J374" s="19">
        <f t="shared" ca="1" si="50"/>
        <v>-8.122687150342293E-4</v>
      </c>
      <c r="K374" s="19">
        <f t="shared" ca="1" si="51"/>
        <v>83.422181686606322</v>
      </c>
      <c r="L374" s="19">
        <f t="shared" ca="1" si="52"/>
        <v>6.7816313393677774E-2</v>
      </c>
      <c r="M374" s="19">
        <f t="shared" ca="1" si="53"/>
        <v>-1.062169697184224</v>
      </c>
      <c r="AA374" s="37">
        <v>354</v>
      </c>
      <c r="AB374" s="37">
        <v>1.8036976702671197</v>
      </c>
      <c r="AC374" s="37">
        <v>2.8050620019644885</v>
      </c>
      <c r="AD374" s="37">
        <v>3.4489610707231022</v>
      </c>
    </row>
    <row r="375" spans="2:30" x14ac:dyDescent="0.3">
      <c r="B375" s="28">
        <v>43174</v>
      </c>
      <c r="C375" s="25">
        <v>41.66</v>
      </c>
      <c r="D375" s="18">
        <f t="shared" si="45"/>
        <v>1.683096898292602E-3</v>
      </c>
      <c r="E375" s="32">
        <f t="shared" ca="1" si="46"/>
        <v>-2.025439723666568E-2</v>
      </c>
      <c r="F375" s="18">
        <f t="shared" ca="1" si="47"/>
        <v>57.128967076875625</v>
      </c>
      <c r="G375" s="19">
        <f t="shared" ca="1" si="48"/>
        <v>1.1810339231243745</v>
      </c>
      <c r="H375" s="27">
        <v>62.630001</v>
      </c>
      <c r="I375" s="19">
        <f t="shared" si="49"/>
        <v>-1.120933059677931E-2</v>
      </c>
      <c r="J375" s="19">
        <f t="shared" ca="1" si="50"/>
        <v>8.5863863306861292E-3</v>
      </c>
      <c r="K375" s="19">
        <f t="shared" ca="1" si="51"/>
        <v>84.20687537757621</v>
      </c>
      <c r="L375" s="19">
        <f t="shared" ca="1" si="52"/>
        <v>-0.71687737757621051</v>
      </c>
      <c r="M375" s="19">
        <f t="shared" ca="1" si="53"/>
        <v>0.46415654554816399</v>
      </c>
      <c r="AA375" s="37">
        <v>355</v>
      </c>
      <c r="AB375" s="37">
        <v>1.7610856426822452</v>
      </c>
      <c r="AC375" s="37">
        <v>2.7998699334896853</v>
      </c>
      <c r="AD375" s="37">
        <v>3.553963796303472</v>
      </c>
    </row>
    <row r="376" spans="2:30" x14ac:dyDescent="0.3">
      <c r="B376" s="28">
        <v>43175</v>
      </c>
      <c r="C376" s="25">
        <v>41.259998000000003</v>
      </c>
      <c r="D376" s="18">
        <f t="shared" si="45"/>
        <v>-9.6015842534804552E-3</v>
      </c>
      <c r="E376" s="32">
        <f t="shared" ca="1" si="46"/>
        <v>2.4240301047667893E-2</v>
      </c>
      <c r="F376" s="18">
        <f t="shared" ca="1" si="47"/>
        <v>59.723452978329817</v>
      </c>
      <c r="G376" s="19">
        <f t="shared" ca="1" si="48"/>
        <v>-1.4134519783298174</v>
      </c>
      <c r="H376" s="27">
        <v>61.889999000000003</v>
      </c>
      <c r="I376" s="19">
        <f t="shared" si="49"/>
        <v>-1.1815455663173213E-2</v>
      </c>
      <c r="J376" s="19">
        <f t="shared" ca="1" si="50"/>
        <v>1.3014975445595383E-2</v>
      </c>
      <c r="K376" s="19">
        <f t="shared" ca="1" si="51"/>
        <v>84.576618273922819</v>
      </c>
      <c r="L376" s="19">
        <f t="shared" ca="1" si="52"/>
        <v>-1.0866202739228186</v>
      </c>
      <c r="M376" s="19">
        <f t="shared" ca="1" si="53"/>
        <v>-2.500072252252636</v>
      </c>
      <c r="AA376" s="37">
        <v>356</v>
      </c>
      <c r="AB376" s="37">
        <v>1.6789534011157574</v>
      </c>
      <c r="AC376" s="37">
        <v>2.9600547398289727</v>
      </c>
      <c r="AD376" s="37">
        <v>3.4993564444307315</v>
      </c>
    </row>
    <row r="377" spans="2:30" x14ac:dyDescent="0.3">
      <c r="B377" s="28">
        <v>43179</v>
      </c>
      <c r="C377" s="25">
        <v>41.650002000000001</v>
      </c>
      <c r="D377" s="18">
        <f t="shared" si="45"/>
        <v>9.4523514034101641E-3</v>
      </c>
      <c r="E377" s="32">
        <f t="shared" ca="1" si="46"/>
        <v>-1.2096749070568723E-2</v>
      </c>
      <c r="F377" s="18">
        <f t="shared" ca="1" si="47"/>
        <v>57.604639549598389</v>
      </c>
      <c r="G377" s="19">
        <f t="shared" ca="1" si="48"/>
        <v>0.70536145040161102</v>
      </c>
      <c r="H377" s="27">
        <v>63.27</v>
      </c>
      <c r="I377" s="19">
        <f t="shared" si="49"/>
        <v>2.2297641336203711E-2</v>
      </c>
      <c r="J377" s="19">
        <f t="shared" ca="1" si="50"/>
        <v>1.8169605459541029E-2</v>
      </c>
      <c r="K377" s="19">
        <f t="shared" ca="1" si="51"/>
        <v>85.006978323477867</v>
      </c>
      <c r="L377" s="19">
        <f t="shared" ca="1" si="52"/>
        <v>-1.5169803234778669</v>
      </c>
      <c r="M377" s="19">
        <f t="shared" ca="1" si="53"/>
        <v>-0.81161887307625591</v>
      </c>
      <c r="AA377" s="37">
        <v>357</v>
      </c>
      <c r="AB377" s="37">
        <v>1.8531545903323667</v>
      </c>
      <c r="AC377" s="37">
        <v>2.9515185083622444</v>
      </c>
      <c r="AD377" s="37">
        <v>3.4278836470610838</v>
      </c>
    </row>
    <row r="378" spans="2:30" x14ac:dyDescent="0.3">
      <c r="B378" s="28">
        <v>43180</v>
      </c>
      <c r="C378" s="25">
        <v>42.02</v>
      </c>
      <c r="D378" s="18">
        <f t="shared" si="45"/>
        <v>8.8835049755819906E-3</v>
      </c>
      <c r="E378" s="32">
        <f t="shared" ca="1" si="46"/>
        <v>5.2657336774296432E-2</v>
      </c>
      <c r="F378" s="18">
        <f t="shared" ca="1" si="47"/>
        <v>61.380450359966559</v>
      </c>
      <c r="G378" s="19">
        <f t="shared" ca="1" si="48"/>
        <v>-3.0704493599665597</v>
      </c>
      <c r="H378" s="27">
        <v>64.239998</v>
      </c>
      <c r="I378" s="19">
        <f t="shared" si="49"/>
        <v>1.5331088983720598E-2</v>
      </c>
      <c r="J378" s="19">
        <f t="shared" ca="1" si="50"/>
        <v>1.8147791869013073E-2</v>
      </c>
      <c r="K378" s="19">
        <f t="shared" ca="1" si="51"/>
        <v>85.00515710684833</v>
      </c>
      <c r="L378" s="19">
        <f t="shared" ca="1" si="52"/>
        <v>-1.5151591068483299</v>
      </c>
      <c r="M378" s="19">
        <f t="shared" ca="1" si="53"/>
        <v>-4.5856084668148895</v>
      </c>
      <c r="AA378" s="37">
        <v>358</v>
      </c>
      <c r="AB378" s="37">
        <v>1.8992462680798992</v>
      </c>
      <c r="AC378" s="37">
        <v>2.7378077709600577</v>
      </c>
      <c r="AD378" s="37">
        <v>3.406606071895756</v>
      </c>
    </row>
    <row r="379" spans="2:30" x14ac:dyDescent="0.3">
      <c r="B379" s="28">
        <v>43181</v>
      </c>
      <c r="C379" s="25">
        <v>41.639999000000003</v>
      </c>
      <c r="D379" s="18">
        <f t="shared" si="45"/>
        <v>-9.0433365064255256E-3</v>
      </c>
      <c r="E379" s="32">
        <f t="shared" ca="1" si="46"/>
        <v>1.0537902907063215E-2</v>
      </c>
      <c r="F379" s="18">
        <f t="shared" ca="1" si="47"/>
        <v>58.924466129048753</v>
      </c>
      <c r="G379" s="19">
        <f t="shared" ca="1" si="48"/>
        <v>-0.61446512904875306</v>
      </c>
      <c r="H379" s="27">
        <v>63.240001999999997</v>
      </c>
      <c r="I379" s="19">
        <f t="shared" si="49"/>
        <v>-1.5566563373803355E-2</v>
      </c>
      <c r="J379" s="19">
        <f t="shared" ca="1" si="50"/>
        <v>2.70529689843613E-3</v>
      </c>
      <c r="K379" s="19">
        <f t="shared" ca="1" si="51"/>
        <v>83.715863232639848</v>
      </c>
      <c r="L379" s="19">
        <f t="shared" ca="1" si="52"/>
        <v>-0.22586523263984759</v>
      </c>
      <c r="M379" s="19">
        <f t="shared" ca="1" si="53"/>
        <v>-0.84033036168860065</v>
      </c>
      <c r="AA379" s="37">
        <v>359</v>
      </c>
      <c r="AB379" s="37">
        <v>1.7854235336400657</v>
      </c>
      <c r="AC379" s="37">
        <v>2.6788823543499403</v>
      </c>
      <c r="AD379" s="37">
        <v>3.4690855464409185</v>
      </c>
    </row>
    <row r="380" spans="2:30" x14ac:dyDescent="0.3">
      <c r="B380" s="28">
        <v>43182</v>
      </c>
      <c r="C380" s="25">
        <v>41.52</v>
      </c>
      <c r="D380" s="18">
        <f t="shared" si="45"/>
        <v>-2.8818204342415665E-3</v>
      </c>
      <c r="E380" s="32">
        <f t="shared" ca="1" si="46"/>
        <v>2.22483243132254E-2</v>
      </c>
      <c r="F380" s="18">
        <f t="shared" ca="1" si="47"/>
        <v>59.607300812952502</v>
      </c>
      <c r="G380" s="19">
        <f t="shared" ca="1" si="48"/>
        <v>-1.2972998129525024</v>
      </c>
      <c r="H380" s="27">
        <v>60.91</v>
      </c>
      <c r="I380" s="19">
        <f t="shared" si="49"/>
        <v>-3.6843800226318835E-2</v>
      </c>
      <c r="J380" s="19">
        <f t="shared" ca="1" si="50"/>
        <v>1.9347997762726325E-2</v>
      </c>
      <c r="K380" s="19">
        <f t="shared" ca="1" si="51"/>
        <v>85.105362294514023</v>
      </c>
      <c r="L380" s="19">
        <f t="shared" ca="1" si="52"/>
        <v>-1.6153642945140234</v>
      </c>
      <c r="M380" s="19">
        <f t="shared" ca="1" si="53"/>
        <v>-2.9126641074665258</v>
      </c>
      <c r="AA380" s="37">
        <v>360</v>
      </c>
      <c r="AB380" s="37">
        <v>1.7538619691307971</v>
      </c>
      <c r="AC380" s="37">
        <v>2.8044390726140831</v>
      </c>
      <c r="AD380" s="37">
        <v>3.3371512019238612</v>
      </c>
    </row>
    <row r="381" spans="2:30" x14ac:dyDescent="0.3">
      <c r="B381" s="28">
        <v>43185</v>
      </c>
      <c r="C381" s="25">
        <v>40.759998000000003</v>
      </c>
      <c r="D381" s="18">
        <f t="shared" si="45"/>
        <v>-1.830447976878613E-2</v>
      </c>
      <c r="E381" s="32">
        <f t="shared" ca="1" si="46"/>
        <v>4.1155061788327079E-3</v>
      </c>
      <c r="F381" s="18">
        <f t="shared" ca="1" si="47"/>
        <v>58.549976169403244</v>
      </c>
      <c r="G381" s="19">
        <f t="shared" ca="1" si="48"/>
        <v>-0.23997516940324459</v>
      </c>
      <c r="H381" s="27">
        <v>61.810001</v>
      </c>
      <c r="I381" s="19">
        <f t="shared" si="49"/>
        <v>1.4775915284846564E-2</v>
      </c>
      <c r="J381" s="19">
        <f t="shared" ca="1" si="50"/>
        <v>1.6495169001847648E-4</v>
      </c>
      <c r="K381" s="19">
        <f t="shared" ca="1" si="51"/>
        <v>83.503769816269738</v>
      </c>
      <c r="L381" s="19">
        <f t="shared" ca="1" si="52"/>
        <v>-1.3771816269738224E-2</v>
      </c>
      <c r="M381" s="19">
        <f t="shared" ca="1" si="53"/>
        <v>-0.25374698567298282</v>
      </c>
      <c r="AA381" s="37">
        <v>361</v>
      </c>
      <c r="AB381" s="37">
        <v>1.8163435972373043</v>
      </c>
      <c r="AC381" s="37">
        <v>2.7273261484635447</v>
      </c>
      <c r="AD381" s="37">
        <v>3.3586084103166338</v>
      </c>
    </row>
    <row r="382" spans="2:30" x14ac:dyDescent="0.3">
      <c r="B382" s="28">
        <v>43186</v>
      </c>
      <c r="C382" s="25">
        <v>40.759998000000003</v>
      </c>
      <c r="D382" s="18">
        <f t="shared" si="45"/>
        <v>0</v>
      </c>
      <c r="E382" s="32">
        <f t="shared" ca="1" si="46"/>
        <v>-1.0395840299762284E-2</v>
      </c>
      <c r="F382" s="18">
        <f t="shared" ca="1" si="47"/>
        <v>57.703819541725025</v>
      </c>
      <c r="G382" s="19">
        <f t="shared" ca="1" si="48"/>
        <v>0.60618145827497472</v>
      </c>
      <c r="H382" s="27">
        <v>61.790000999999997</v>
      </c>
      <c r="I382" s="19">
        <f t="shared" si="49"/>
        <v>-3.2357223226708864E-4</v>
      </c>
      <c r="J382" s="19">
        <f t="shared" ca="1" si="50"/>
        <v>-9.0016237807248808E-3</v>
      </c>
      <c r="K382" s="19">
        <f t="shared" ca="1" si="51"/>
        <v>82.738452448550532</v>
      </c>
      <c r="L382" s="19">
        <f t="shared" ca="1" si="52"/>
        <v>0.75154555144946755</v>
      </c>
      <c r="M382" s="19">
        <f t="shared" ca="1" si="53"/>
        <v>1.3577270097244423</v>
      </c>
      <c r="AA382" s="37">
        <v>362</v>
      </c>
      <c r="AB382" s="37">
        <v>1.7447783913896955</v>
      </c>
      <c r="AC382" s="37">
        <v>2.7893692539377666</v>
      </c>
      <c r="AD382" s="37">
        <v>3.3870504823409329</v>
      </c>
    </row>
    <row r="383" spans="2:30" x14ac:dyDescent="0.3">
      <c r="B383" s="28">
        <v>43187</v>
      </c>
      <c r="C383" s="25">
        <v>39.779998999999997</v>
      </c>
      <c r="D383" s="18">
        <f t="shared" si="45"/>
        <v>-2.4043156233717333E-2</v>
      </c>
      <c r="E383" s="32">
        <f t="shared" ca="1" si="46"/>
        <v>-1.893810331735624E-2</v>
      </c>
      <c r="F383" s="18">
        <f t="shared" ca="1" si="47"/>
        <v>57.205720176626855</v>
      </c>
      <c r="G383" s="19">
        <f t="shared" ca="1" si="48"/>
        <v>1.1042808233731449</v>
      </c>
      <c r="H383" s="27">
        <v>60.549999</v>
      </c>
      <c r="I383" s="19">
        <f t="shared" si="49"/>
        <v>-2.0068004206699963E-2</v>
      </c>
      <c r="J383" s="19">
        <f t="shared" ca="1" si="50"/>
        <v>-3.4591131475536073E-4</v>
      </c>
      <c r="K383" s="19">
        <f t="shared" ca="1" si="51"/>
        <v>83.461117865022899</v>
      </c>
      <c r="L383" s="19">
        <f t="shared" ca="1" si="52"/>
        <v>2.8880134977100624E-2</v>
      </c>
      <c r="M383" s="19">
        <f t="shared" ca="1" si="53"/>
        <v>1.1331609583502456</v>
      </c>
      <c r="AA383" s="37">
        <v>363</v>
      </c>
      <c r="AB383" s="37">
        <v>1.7771550746389748</v>
      </c>
      <c r="AC383" s="37">
        <v>2.9236976255099463</v>
      </c>
      <c r="AD383" s="37">
        <v>3.254982211308588</v>
      </c>
    </row>
    <row r="384" spans="2:30" x14ac:dyDescent="0.3">
      <c r="B384" s="28">
        <v>43192</v>
      </c>
      <c r="C384" s="25">
        <v>39.380001</v>
      </c>
      <c r="D384" s="18">
        <f t="shared" si="45"/>
        <v>-1.0055254149201831E-2</v>
      </c>
      <c r="E384" s="32">
        <f t="shared" ca="1" si="46"/>
        <v>-4.4552145264185154E-3</v>
      </c>
      <c r="F384" s="18">
        <f t="shared" ca="1" si="47"/>
        <v>58.050217436509321</v>
      </c>
      <c r="G384" s="19">
        <f t="shared" ca="1" si="48"/>
        <v>0.25978356349067866</v>
      </c>
      <c r="H384" s="27">
        <v>60.080002</v>
      </c>
      <c r="I384" s="19">
        <f t="shared" si="49"/>
        <v>-7.7621305988790912E-3</v>
      </c>
      <c r="J384" s="19">
        <f t="shared" ca="1" si="50"/>
        <v>4.9274842989606368E-2</v>
      </c>
      <c r="K384" s="19">
        <f t="shared" ca="1" si="51"/>
        <v>87.603954542652545</v>
      </c>
      <c r="L384" s="19">
        <f t="shared" ca="1" si="52"/>
        <v>-4.1139565426525451</v>
      </c>
      <c r="M384" s="19">
        <f t="shared" ca="1" si="53"/>
        <v>-3.8541729791618664</v>
      </c>
      <c r="AA384" s="37">
        <v>364</v>
      </c>
      <c r="AB384" s="37">
        <v>1.6998048827209518</v>
      </c>
      <c r="AC384" s="37">
        <v>2.9546277953214974</v>
      </c>
      <c r="AD384" s="37">
        <v>3.3132897208519094</v>
      </c>
    </row>
    <row r="385" spans="2:30" x14ac:dyDescent="0.3">
      <c r="B385" s="28">
        <v>43193</v>
      </c>
      <c r="C385" s="25">
        <v>39.43</v>
      </c>
      <c r="D385" s="18">
        <f t="shared" si="45"/>
        <v>1.2696546147878962E-3</v>
      </c>
      <c r="E385" s="32">
        <f t="shared" ca="1" si="46"/>
        <v>8.0598457834151534E-3</v>
      </c>
      <c r="F385" s="18">
        <f t="shared" ca="1" si="47"/>
        <v>58.779970615690779</v>
      </c>
      <c r="G385" s="19">
        <f t="shared" ca="1" si="48"/>
        <v>-0.46996961569077911</v>
      </c>
      <c r="H385" s="27">
        <v>61.990001999999997</v>
      </c>
      <c r="I385" s="19">
        <f t="shared" si="49"/>
        <v>3.1790944347837913E-2</v>
      </c>
      <c r="J385" s="19">
        <f t="shared" ca="1" si="50"/>
        <v>5.4478325750012963E-3</v>
      </c>
      <c r="K385" s="19">
        <f t="shared" ca="1" si="51"/>
        <v>83.944837530791204</v>
      </c>
      <c r="L385" s="19">
        <f t="shared" ca="1" si="52"/>
        <v>-0.45483953079120454</v>
      </c>
      <c r="M385" s="19">
        <f t="shared" ca="1" si="53"/>
        <v>-0.92480914648198365</v>
      </c>
      <c r="AA385" s="37">
        <v>365</v>
      </c>
      <c r="AB385" s="37">
        <v>1.7549154253402792</v>
      </c>
      <c r="AC385" s="37">
        <v>2.9260485015010493</v>
      </c>
      <c r="AD385" s="37">
        <v>3.2230892829041946</v>
      </c>
    </row>
    <row r="386" spans="2:30" x14ac:dyDescent="0.3">
      <c r="B386" s="28">
        <v>43194</v>
      </c>
      <c r="C386" s="25">
        <v>41.25</v>
      </c>
      <c r="D386" s="18">
        <f t="shared" si="45"/>
        <v>4.6157747907684454E-2</v>
      </c>
      <c r="E386" s="32">
        <f t="shared" ca="1" si="46"/>
        <v>1.3835597653939432E-2</v>
      </c>
      <c r="F386" s="18">
        <f t="shared" ca="1" si="47"/>
        <v>59.116754713036812</v>
      </c>
      <c r="G386" s="19">
        <f t="shared" ca="1" si="48"/>
        <v>-0.80675371303681231</v>
      </c>
      <c r="H386" s="27">
        <v>61.98</v>
      </c>
      <c r="I386" s="19">
        <f t="shared" si="49"/>
        <v>-1.613485994079733E-4</v>
      </c>
      <c r="J386" s="19">
        <f t="shared" ca="1" si="50"/>
        <v>4.0188306384643456E-2</v>
      </c>
      <c r="K386" s="19">
        <f t="shared" ca="1" si="51"/>
        <v>86.845319619677284</v>
      </c>
      <c r="L386" s="19">
        <f t="shared" ca="1" si="52"/>
        <v>-3.3553216196772837</v>
      </c>
      <c r="M386" s="19">
        <f t="shared" ca="1" si="53"/>
        <v>-4.162075332714096</v>
      </c>
      <c r="AA386" s="37">
        <v>366</v>
      </c>
      <c r="AB386" s="37">
        <v>1.8684693747526302</v>
      </c>
      <c r="AC386" s="37">
        <v>2.9017785613969802</v>
      </c>
      <c r="AD386" s="37">
        <v>3.4237162990226429</v>
      </c>
    </row>
    <row r="387" spans="2:30" x14ac:dyDescent="0.3">
      <c r="B387" s="28">
        <v>43195</v>
      </c>
      <c r="C387" s="25">
        <v>40.939999</v>
      </c>
      <c r="D387" s="18">
        <f t="shared" si="45"/>
        <v>-7.5151757575757649E-3</v>
      </c>
      <c r="E387" s="32">
        <f t="shared" ca="1" si="46"/>
        <v>-8.2327338785915197E-3</v>
      </c>
      <c r="F387" s="18">
        <f t="shared" ca="1" si="47"/>
        <v>57.829950279306594</v>
      </c>
      <c r="G387" s="19">
        <f t="shared" ca="1" si="48"/>
        <v>0.48005072069340571</v>
      </c>
      <c r="H387" s="27">
        <v>62.470001000000003</v>
      </c>
      <c r="I387" s="19">
        <f t="shared" si="49"/>
        <v>7.9057921910294926E-3</v>
      </c>
      <c r="J387" s="19">
        <f t="shared" ca="1" si="50"/>
        <v>8.4530232512258097E-3</v>
      </c>
      <c r="K387" s="19">
        <f t="shared" ca="1" si="51"/>
        <v>84.195740894338797</v>
      </c>
      <c r="L387" s="19">
        <f t="shared" ca="1" si="52"/>
        <v>-0.70574289433879756</v>
      </c>
      <c r="M387" s="19">
        <f t="shared" ca="1" si="53"/>
        <v>-0.22569217364539185</v>
      </c>
      <c r="AA387" s="37">
        <v>367</v>
      </c>
      <c r="AB387" s="37">
        <v>1.7463819066422948</v>
      </c>
      <c r="AC387" s="37">
        <v>2.8299664776077469</v>
      </c>
      <c r="AD387" s="37">
        <v>3.3327226084340076</v>
      </c>
    </row>
    <row r="388" spans="2:30" x14ac:dyDescent="0.3">
      <c r="B388" s="28">
        <v>43196</v>
      </c>
      <c r="C388" s="25">
        <v>40.799999</v>
      </c>
      <c r="D388" s="18">
        <f t="shared" si="45"/>
        <v>-3.419638578887163E-3</v>
      </c>
      <c r="E388" s="32">
        <f t="shared" ca="1" si="46"/>
        <v>-2.4684443687364773E-2</v>
      </c>
      <c r="F388" s="18">
        <f t="shared" ca="1" si="47"/>
        <v>56.870651063905314</v>
      </c>
      <c r="G388" s="19">
        <f t="shared" ca="1" si="48"/>
        <v>1.4393499360946862</v>
      </c>
      <c r="H388" s="27">
        <v>61.799999</v>
      </c>
      <c r="I388" s="19">
        <f t="shared" si="49"/>
        <v>-1.07251799147563E-2</v>
      </c>
      <c r="J388" s="19">
        <f t="shared" ca="1" si="50"/>
        <v>6.9679886710075746E-3</v>
      </c>
      <c r="K388" s="19">
        <f t="shared" ca="1" si="51"/>
        <v>84.071755360206453</v>
      </c>
      <c r="L388" s="19">
        <f t="shared" ca="1" si="52"/>
        <v>-0.58175736020645274</v>
      </c>
      <c r="M388" s="19">
        <f t="shared" ca="1" si="53"/>
        <v>0.85759257588823345</v>
      </c>
      <c r="AA388" s="37">
        <v>368</v>
      </c>
      <c r="AB388" s="37">
        <v>1.7842303533634192</v>
      </c>
      <c r="AC388" s="37">
        <v>2.6919813527280354</v>
      </c>
      <c r="AD388" s="37">
        <v>3.1804672592354151</v>
      </c>
    </row>
    <row r="389" spans="2:30" x14ac:dyDescent="0.3">
      <c r="B389" s="28">
        <v>43199</v>
      </c>
      <c r="C389" s="25">
        <v>40.889999000000003</v>
      </c>
      <c r="D389" s="18">
        <f t="shared" si="45"/>
        <v>2.2058824070070315E-3</v>
      </c>
      <c r="E389" s="32">
        <f t="shared" ca="1" si="46"/>
        <v>-8.0453908587116152E-3</v>
      </c>
      <c r="F389" s="18">
        <f t="shared" ca="1" si="47"/>
        <v>57.840874250983134</v>
      </c>
      <c r="G389" s="19">
        <f t="shared" ca="1" si="48"/>
        <v>0.46912674901686557</v>
      </c>
      <c r="H389" s="27">
        <v>61.709999000000003</v>
      </c>
      <c r="I389" s="19">
        <f t="shared" si="49"/>
        <v>-1.4563107031765332E-3</v>
      </c>
      <c r="J389" s="19">
        <f t="shared" ca="1" si="50"/>
        <v>8.9717297062718426E-3</v>
      </c>
      <c r="K389" s="19">
        <f t="shared" ca="1" si="51"/>
        <v>84.239047695233182</v>
      </c>
      <c r="L389" s="19">
        <f t="shared" ca="1" si="52"/>
        <v>-0.74904969523318243</v>
      </c>
      <c r="M389" s="19">
        <f t="shared" ca="1" si="53"/>
        <v>-0.27992294621631686</v>
      </c>
      <c r="AA389" s="37">
        <v>369</v>
      </c>
      <c r="AB389" s="37">
        <v>1.7926744304125426</v>
      </c>
      <c r="AC389" s="37">
        <v>2.7106210304837544</v>
      </c>
      <c r="AD389" s="37">
        <v>3.3392456908571684</v>
      </c>
    </row>
    <row r="390" spans="2:30" x14ac:dyDescent="0.3">
      <c r="B390" s="28">
        <v>43200</v>
      </c>
      <c r="C390" s="25">
        <v>41.41</v>
      </c>
      <c r="D390" s="18">
        <f t="shared" si="45"/>
        <v>1.2717070499316696E-2</v>
      </c>
      <c r="E390" s="32">
        <f t="shared" ca="1" si="46"/>
        <v>2.2748392332308919E-2</v>
      </c>
      <c r="F390" s="18">
        <f t="shared" ca="1" si="47"/>
        <v>59.636459779645321</v>
      </c>
      <c r="G390" s="19">
        <f t="shared" ca="1" si="48"/>
        <v>-1.3264587796453213</v>
      </c>
      <c r="H390" s="27">
        <v>63.82</v>
      </c>
      <c r="I390" s="19">
        <f t="shared" si="49"/>
        <v>3.4192206031311123E-2</v>
      </c>
      <c r="J390" s="19">
        <f t="shared" ca="1" si="50"/>
        <v>5.9591495971868256E-3</v>
      </c>
      <c r="K390" s="19">
        <f t="shared" ca="1" si="51"/>
        <v>83.987527387950834</v>
      </c>
      <c r="L390" s="19">
        <f t="shared" ca="1" si="52"/>
        <v>-0.49752938795083423</v>
      </c>
      <c r="M390" s="19">
        <f t="shared" ca="1" si="53"/>
        <v>-1.8239881675961556</v>
      </c>
      <c r="AA390" s="37">
        <v>370</v>
      </c>
      <c r="AB390" s="37">
        <v>1.7386358692964952</v>
      </c>
      <c r="AC390" s="37">
        <v>2.9465233719905091</v>
      </c>
      <c r="AD390" s="37">
        <v>3.3554997493042826</v>
      </c>
    </row>
    <row r="391" spans="2:30" x14ac:dyDescent="0.3">
      <c r="B391" s="28">
        <v>43201</v>
      </c>
      <c r="C391" s="25">
        <v>41.080002</v>
      </c>
      <c r="D391" s="18">
        <f t="shared" si="45"/>
        <v>-7.969041294373258E-3</v>
      </c>
      <c r="E391" s="32">
        <f t="shared" ca="1" si="46"/>
        <v>1.8069615119897884E-2</v>
      </c>
      <c r="F391" s="18">
        <f t="shared" ca="1" si="47"/>
        <v>59.363640275710857</v>
      </c>
      <c r="G391" s="19">
        <f t="shared" ca="1" si="48"/>
        <v>-1.0536392757108572</v>
      </c>
      <c r="H391" s="27">
        <v>64.720000999999996</v>
      </c>
      <c r="I391" s="19">
        <f t="shared" si="49"/>
        <v>1.4102178000626742E-2</v>
      </c>
      <c r="J391" s="19">
        <f t="shared" ca="1" si="50"/>
        <v>-2.2002226817718989E-2</v>
      </c>
      <c r="K391" s="19">
        <f t="shared" ca="1" si="51"/>
        <v>81.653032126993097</v>
      </c>
      <c r="L391" s="19">
        <f t="shared" ca="1" si="52"/>
        <v>1.8369658730069034</v>
      </c>
      <c r="M391" s="19">
        <f t="shared" ca="1" si="53"/>
        <v>0.78332659729604615</v>
      </c>
      <c r="AA391" s="37">
        <v>371</v>
      </c>
      <c r="AB391" s="37">
        <v>1.7394714786086471</v>
      </c>
      <c r="AC391" s="37">
        <v>2.7614422868216364</v>
      </c>
      <c r="AD391" s="37">
        <v>3.4050041976668108</v>
      </c>
    </row>
    <row r="392" spans="2:30" x14ac:dyDescent="0.3">
      <c r="B392" s="28">
        <v>43202</v>
      </c>
      <c r="C392" s="25">
        <v>42.689999</v>
      </c>
      <c r="D392" s="18">
        <f t="shared" ref="D392:D455" si="54">C392/C391-1</f>
        <v>3.9191745901083541E-2</v>
      </c>
      <c r="E392" s="32">
        <f t="shared" ref="E392:E455" ca="1" si="55">NORMINV(RAND(),$E$3,$E$4)</f>
        <v>3.0100207958147687E-2</v>
      </c>
      <c r="F392" s="18">
        <f t="shared" ref="F392:F455" ca="1" si="56">$C$1261*(1+E392)</f>
        <v>60.065144156139795</v>
      </c>
      <c r="G392" s="19">
        <f t="shared" ref="G392:G455" ca="1" si="57">$C$1261-F392</f>
        <v>-1.7551431561397948</v>
      </c>
      <c r="H392" s="27">
        <v>65.370002999999997</v>
      </c>
      <c r="I392" s="19">
        <f t="shared" ref="I392:I455" si="58">H392/H391-1</f>
        <v>1.0043294035177786E-2</v>
      </c>
      <c r="J392" s="19">
        <f t="shared" ref="J392:J455" ca="1" si="59">NORMINV(RAND(),$J$3,$J$4)</f>
        <v>1.2052375137870636E-2</v>
      </c>
      <c r="K392" s="19">
        <f t="shared" ref="K392:K455" ca="1" si="60">$H$1261*(1+J392)</f>
        <v>84.496250776156074</v>
      </c>
      <c r="L392" s="19">
        <f t="shared" ref="L392:L455" ca="1" si="61">$H$1261-K392</f>
        <v>-1.0062527761560744</v>
      </c>
      <c r="M392" s="19">
        <f t="shared" ref="M392:M455" ca="1" si="62">SUM(G392,L392)</f>
        <v>-2.7613959322958692</v>
      </c>
      <c r="AA392" s="37">
        <v>372</v>
      </c>
      <c r="AB392" s="37">
        <v>1.598706103754685</v>
      </c>
      <c r="AC392" s="37">
        <v>2.6169624356180052</v>
      </c>
      <c r="AD392" s="37">
        <v>3.3929900997912643</v>
      </c>
    </row>
    <row r="393" spans="2:30" x14ac:dyDescent="0.3">
      <c r="B393" s="28">
        <v>43203</v>
      </c>
      <c r="C393" s="25">
        <v>42.09</v>
      </c>
      <c r="D393" s="18">
        <f t="shared" si="54"/>
        <v>-1.4054790678256879E-2</v>
      </c>
      <c r="E393" s="32">
        <f t="shared" ca="1" si="55"/>
        <v>1.8878236692394076E-2</v>
      </c>
      <c r="F393" s="18">
        <f t="shared" ca="1" si="56"/>
        <v>59.410791000411734</v>
      </c>
      <c r="G393" s="19">
        <f t="shared" ca="1" si="57"/>
        <v>-1.1007900004117346</v>
      </c>
      <c r="H393" s="27">
        <v>65.330001999999993</v>
      </c>
      <c r="I393" s="19">
        <f t="shared" si="58"/>
        <v>-6.1191675331584428E-4</v>
      </c>
      <c r="J393" s="19">
        <f t="shared" ca="1" si="59"/>
        <v>-4.3666140776978682E-2</v>
      </c>
      <c r="K393" s="19">
        <f t="shared" ca="1" si="60"/>
        <v>79.844311993862334</v>
      </c>
      <c r="L393" s="19">
        <f t="shared" ca="1" si="61"/>
        <v>3.6456860061376659</v>
      </c>
      <c r="M393" s="19">
        <f t="shared" ca="1" si="62"/>
        <v>2.5448960057259313</v>
      </c>
      <c r="AA393" s="37">
        <v>373</v>
      </c>
      <c r="AB393" s="37">
        <v>1.7345209552574341</v>
      </c>
      <c r="AC393" s="37">
        <v>2.8695466879452822</v>
      </c>
      <c r="AD393" s="37">
        <v>3.3885820459921683</v>
      </c>
    </row>
    <row r="394" spans="2:30" x14ac:dyDescent="0.3">
      <c r="B394" s="28">
        <v>43206</v>
      </c>
      <c r="C394" s="25">
        <v>41.509998000000003</v>
      </c>
      <c r="D394" s="18">
        <f t="shared" si="54"/>
        <v>-1.3780042765502487E-2</v>
      </c>
      <c r="E394" s="32">
        <f t="shared" ca="1" si="55"/>
        <v>-4.5327421454126139E-2</v>
      </c>
      <c r="F394" s="18">
        <f t="shared" ca="1" si="56"/>
        <v>55.666959009682479</v>
      </c>
      <c r="G394" s="19">
        <f t="shared" ca="1" si="57"/>
        <v>2.6430419903175206</v>
      </c>
      <c r="H394" s="27">
        <v>63.400002000000001</v>
      </c>
      <c r="I394" s="19">
        <f t="shared" si="58"/>
        <v>-2.9542322683535072E-2</v>
      </c>
      <c r="J394" s="19">
        <f t="shared" ca="1" si="59"/>
        <v>1.9880786362146491E-2</v>
      </c>
      <c r="K394" s="19">
        <f t="shared" ca="1" si="60"/>
        <v>85.149844813614024</v>
      </c>
      <c r="L394" s="19">
        <f t="shared" ca="1" si="61"/>
        <v>-1.6598468136140241</v>
      </c>
      <c r="M394" s="19">
        <f t="shared" ca="1" si="62"/>
        <v>0.98319517670349654</v>
      </c>
      <c r="AA394" s="37">
        <v>374</v>
      </c>
      <c r="AB394" s="37">
        <v>1.7786342412557452</v>
      </c>
      <c r="AC394" s="37">
        <v>2.8779259335182057</v>
      </c>
      <c r="AD394" s="37">
        <v>3.3378785967383657</v>
      </c>
    </row>
    <row r="395" spans="2:30" x14ac:dyDescent="0.3">
      <c r="B395" s="28">
        <v>43207</v>
      </c>
      <c r="C395" s="25">
        <v>42.939999</v>
      </c>
      <c r="D395" s="18">
        <f t="shared" si="54"/>
        <v>3.4449555984078728E-2</v>
      </c>
      <c r="E395" s="32">
        <f t="shared" ca="1" si="55"/>
        <v>-1.5492849573141884E-2</v>
      </c>
      <c r="F395" s="18">
        <f t="shared" ca="1" si="56"/>
        <v>57.40661292589725</v>
      </c>
      <c r="G395" s="19">
        <f t="shared" ca="1" si="57"/>
        <v>0.90338807410275024</v>
      </c>
      <c r="H395" s="27">
        <v>63.439999</v>
      </c>
      <c r="I395" s="19">
        <f t="shared" si="58"/>
        <v>6.3086748798535375E-4</v>
      </c>
      <c r="J395" s="19">
        <f t="shared" ca="1" si="59"/>
        <v>-1.967362579241979E-2</v>
      </c>
      <c r="K395" s="19">
        <f t="shared" ca="1" si="60"/>
        <v>81.847447021938123</v>
      </c>
      <c r="L395" s="19">
        <f t="shared" ca="1" si="61"/>
        <v>1.6425509780618768</v>
      </c>
      <c r="M395" s="19">
        <f t="shared" ca="1" si="62"/>
        <v>2.545939052164627</v>
      </c>
      <c r="AA395" s="37">
        <v>375</v>
      </c>
      <c r="AB395" s="37">
        <v>1.8636382725028893</v>
      </c>
      <c r="AC395" s="37">
        <v>2.7638472731523929</v>
      </c>
      <c r="AD395" s="37">
        <v>3.4002102995350536</v>
      </c>
    </row>
    <row r="396" spans="2:30" x14ac:dyDescent="0.3">
      <c r="B396" s="28">
        <v>43208</v>
      </c>
      <c r="C396" s="25">
        <v>43.66</v>
      </c>
      <c r="D396" s="18">
        <f t="shared" si="54"/>
        <v>1.6767606352296349E-2</v>
      </c>
      <c r="E396" s="32">
        <f t="shared" ca="1" si="55"/>
        <v>1.4461445405049353E-2</v>
      </c>
      <c r="F396" s="18">
        <f t="shared" ca="1" si="56"/>
        <v>59.153247896029875</v>
      </c>
      <c r="G396" s="19">
        <f t="shared" ca="1" si="57"/>
        <v>-0.8432468960298749</v>
      </c>
      <c r="H396" s="27">
        <v>65.099997999999999</v>
      </c>
      <c r="I396" s="19">
        <f t="shared" si="58"/>
        <v>2.6166441143859354E-2</v>
      </c>
      <c r="J396" s="19">
        <f t="shared" ca="1" si="59"/>
        <v>-6.7202532769110475E-4</v>
      </c>
      <c r="K396" s="19">
        <f t="shared" ca="1" si="60"/>
        <v>83.433890606735119</v>
      </c>
      <c r="L396" s="19">
        <f t="shared" ca="1" si="61"/>
        <v>5.6107393264881011E-2</v>
      </c>
      <c r="M396" s="19">
        <f t="shared" ca="1" si="62"/>
        <v>-0.78713950276499389</v>
      </c>
      <c r="AA396" s="37">
        <v>376</v>
      </c>
      <c r="AB396" s="37">
        <v>1.8402465753187882</v>
      </c>
      <c r="AC396" s="37">
        <v>2.864212181498297</v>
      </c>
      <c r="AD396" s="37">
        <v>3.5005775236791541</v>
      </c>
    </row>
    <row r="397" spans="2:30" x14ac:dyDescent="0.3">
      <c r="B397" s="28">
        <v>43209</v>
      </c>
      <c r="C397" s="25">
        <v>43.049999</v>
      </c>
      <c r="D397" s="18">
        <f t="shared" si="54"/>
        <v>-1.3971621621621577E-2</v>
      </c>
      <c r="E397" s="32">
        <f t="shared" ca="1" si="55"/>
        <v>1.6493847224764737E-2</v>
      </c>
      <c r="F397" s="18">
        <f t="shared" ca="1" si="56"/>
        <v>59.271757248169877</v>
      </c>
      <c r="G397" s="19">
        <f t="shared" ca="1" si="57"/>
        <v>-0.96175624816987693</v>
      </c>
      <c r="H397" s="27">
        <v>63.82</v>
      </c>
      <c r="I397" s="19">
        <f t="shared" si="58"/>
        <v>-1.9662028253825792E-2</v>
      </c>
      <c r="J397" s="19">
        <f t="shared" ca="1" si="59"/>
        <v>-1.5841017914565457E-2</v>
      </c>
      <c r="K397" s="19">
        <f t="shared" ca="1" si="60"/>
        <v>82.167431445994964</v>
      </c>
      <c r="L397" s="19">
        <f t="shared" ca="1" si="61"/>
        <v>1.3225665540050358</v>
      </c>
      <c r="M397" s="19">
        <f t="shared" ca="1" si="62"/>
        <v>0.36081030583515883</v>
      </c>
      <c r="AA397" s="37">
        <v>377</v>
      </c>
      <c r="AB397" s="37">
        <v>1.7697234090062881</v>
      </c>
      <c r="AC397" s="37">
        <v>2.7924686294123204</v>
      </c>
      <c r="AD397" s="37">
        <v>3.1374155009782783</v>
      </c>
    </row>
    <row r="398" spans="2:30" x14ac:dyDescent="0.3">
      <c r="B398" s="28">
        <v>43210</v>
      </c>
      <c r="C398" s="25">
        <v>43.259998000000003</v>
      </c>
      <c r="D398" s="18">
        <f t="shared" si="54"/>
        <v>4.878025664994956E-3</v>
      </c>
      <c r="E398" s="32">
        <f t="shared" ca="1" si="55"/>
        <v>1.6143183982579502E-2</v>
      </c>
      <c r="F398" s="18">
        <f t="shared" ca="1" si="56"/>
        <v>59.251310074167392</v>
      </c>
      <c r="G398" s="19">
        <f t="shared" ca="1" si="57"/>
        <v>-0.94130907416739262</v>
      </c>
      <c r="H398" s="27">
        <v>62.939999</v>
      </c>
      <c r="I398" s="19">
        <f t="shared" si="58"/>
        <v>-1.3788796615481047E-2</v>
      </c>
      <c r="J398" s="19">
        <f t="shared" ca="1" si="59"/>
        <v>-1.9534550058537537E-2</v>
      </c>
      <c r="K398" s="19">
        <f t="shared" ca="1" si="60"/>
        <v>81.859058454681801</v>
      </c>
      <c r="L398" s="19">
        <f t="shared" ca="1" si="61"/>
        <v>1.6309395453181992</v>
      </c>
      <c r="M398" s="19">
        <f t="shared" ca="1" si="62"/>
        <v>0.68963047115080656</v>
      </c>
      <c r="AA398" s="37">
        <v>378</v>
      </c>
      <c r="AB398" s="37">
        <v>1.787921684399103</v>
      </c>
      <c r="AC398" s="37">
        <v>2.8365844429473377</v>
      </c>
      <c r="AD398" s="37">
        <v>3.2736062033113131</v>
      </c>
    </row>
    <row r="399" spans="2:30" x14ac:dyDescent="0.3">
      <c r="B399" s="28">
        <v>43213</v>
      </c>
      <c r="C399" s="25">
        <v>42.759998000000003</v>
      </c>
      <c r="D399" s="18">
        <f t="shared" si="54"/>
        <v>-1.1558021801110541E-2</v>
      </c>
      <c r="E399" s="32">
        <f t="shared" ca="1" si="55"/>
        <v>6.7701549725528078E-3</v>
      </c>
      <c r="F399" s="18">
        <f t="shared" ca="1" si="56"/>
        <v>58.704768743219702</v>
      </c>
      <c r="G399" s="19">
        <f t="shared" ca="1" si="57"/>
        <v>-0.39476774321970254</v>
      </c>
      <c r="H399" s="27">
        <v>63.950001</v>
      </c>
      <c r="I399" s="19">
        <f t="shared" si="58"/>
        <v>1.6047060947681269E-2</v>
      </c>
      <c r="J399" s="19">
        <f t="shared" ca="1" si="59"/>
        <v>-9.9165486816090494E-4</v>
      </c>
      <c r="K399" s="19">
        <f t="shared" ca="1" si="60"/>
        <v>83.407204737040558</v>
      </c>
      <c r="L399" s="19">
        <f t="shared" ca="1" si="61"/>
        <v>8.2793262959441449E-2</v>
      </c>
      <c r="M399" s="19">
        <f t="shared" ca="1" si="62"/>
        <v>-0.31197448026026109</v>
      </c>
      <c r="AA399" s="37">
        <v>379</v>
      </c>
      <c r="AB399" s="37">
        <v>1.621248615530082</v>
      </c>
      <c r="AC399" s="37">
        <v>2.9675968436998583</v>
      </c>
      <c r="AD399" s="37">
        <v>3.322135913339225</v>
      </c>
    </row>
    <row r="400" spans="2:30" x14ac:dyDescent="0.3">
      <c r="B400" s="28">
        <v>43214</v>
      </c>
      <c r="C400" s="25">
        <v>43.040000999999997</v>
      </c>
      <c r="D400" s="18">
        <f t="shared" si="54"/>
        <v>6.5482463306008043E-3</v>
      </c>
      <c r="E400" s="32">
        <f t="shared" ca="1" si="55"/>
        <v>-1.3621765442646259E-3</v>
      </c>
      <c r="F400" s="18">
        <f t="shared" ca="1" si="56"/>
        <v>58.230572484341749</v>
      </c>
      <c r="G400" s="19">
        <f t="shared" ca="1" si="57"/>
        <v>7.9428515658250376E-2</v>
      </c>
      <c r="H400" s="27">
        <v>63.279998999999997</v>
      </c>
      <c r="I400" s="19">
        <f t="shared" si="58"/>
        <v>-1.0476966216153794E-2</v>
      </c>
      <c r="J400" s="19">
        <f t="shared" ca="1" si="59"/>
        <v>-2.2705705228081817E-2</v>
      </c>
      <c r="K400" s="19">
        <f t="shared" ca="1" si="60"/>
        <v>81.594298715918868</v>
      </c>
      <c r="L400" s="19">
        <f t="shared" ca="1" si="61"/>
        <v>1.8956992840811324</v>
      </c>
      <c r="M400" s="19">
        <f t="shared" ca="1" si="62"/>
        <v>1.9751277997393828</v>
      </c>
      <c r="AA400" s="37">
        <v>380</v>
      </c>
      <c r="AB400" s="37">
        <v>1.9155921393906032</v>
      </c>
      <c r="AC400" s="37">
        <v>2.7772542473252297</v>
      </c>
      <c r="AD400" s="37">
        <v>3.3008244204708364</v>
      </c>
    </row>
    <row r="401" spans="2:30" x14ac:dyDescent="0.3">
      <c r="B401" s="28">
        <v>43215</v>
      </c>
      <c r="C401" s="25">
        <v>43.27</v>
      </c>
      <c r="D401" s="18">
        <f t="shared" si="54"/>
        <v>5.343842812643107E-3</v>
      </c>
      <c r="E401" s="32">
        <f t="shared" ca="1" si="55"/>
        <v>6.517756586356567E-3</v>
      </c>
      <c r="F401" s="18">
        <f t="shared" ca="1" si="56"/>
        <v>58.69005139306821</v>
      </c>
      <c r="G401" s="19">
        <f t="shared" ca="1" si="57"/>
        <v>-0.38005039306820976</v>
      </c>
      <c r="H401" s="27">
        <v>63.560001</v>
      </c>
      <c r="I401" s="19">
        <f t="shared" si="58"/>
        <v>4.4248104365489649E-3</v>
      </c>
      <c r="J401" s="19">
        <f t="shared" ca="1" si="59"/>
        <v>1.9884553195912081E-2</v>
      </c>
      <c r="K401" s="19">
        <f t="shared" ca="1" si="60"/>
        <v>85.150159306557583</v>
      </c>
      <c r="L401" s="19">
        <f t="shared" ca="1" si="61"/>
        <v>-1.6601613065575833</v>
      </c>
      <c r="M401" s="19">
        <f t="shared" ca="1" si="62"/>
        <v>-2.0402116996257931</v>
      </c>
      <c r="AA401" s="37">
        <v>381</v>
      </c>
      <c r="AB401" s="37">
        <v>1.7861377942196781</v>
      </c>
      <c r="AC401" s="37">
        <v>2.8987261911485933</v>
      </c>
      <c r="AD401" s="37">
        <v>3.1836603686830878</v>
      </c>
    </row>
    <row r="402" spans="2:30" x14ac:dyDescent="0.3">
      <c r="B402" s="28">
        <v>43216</v>
      </c>
      <c r="C402" s="25">
        <v>43.099997999999999</v>
      </c>
      <c r="D402" s="18">
        <f t="shared" si="54"/>
        <v>-3.9288652646175537E-3</v>
      </c>
      <c r="E402" s="32">
        <f t="shared" ca="1" si="55"/>
        <v>1.3400749811470743E-2</v>
      </c>
      <c r="F402" s="18">
        <f t="shared" ca="1" si="56"/>
        <v>59.091398734907607</v>
      </c>
      <c r="G402" s="19">
        <f t="shared" ca="1" si="57"/>
        <v>-0.78139773490760689</v>
      </c>
      <c r="H402" s="27">
        <v>63.470001000000003</v>
      </c>
      <c r="I402" s="19">
        <f t="shared" si="58"/>
        <v>-1.4159848738831693E-3</v>
      </c>
      <c r="J402" s="19">
        <f t="shared" ca="1" si="59"/>
        <v>1.5594680760939636E-2</v>
      </c>
      <c r="K402" s="19">
        <f t="shared" ca="1" si="60"/>
        <v>84.791997865541489</v>
      </c>
      <c r="L402" s="19">
        <f t="shared" ca="1" si="61"/>
        <v>-1.3019998655414895</v>
      </c>
      <c r="M402" s="19">
        <f t="shared" ca="1" si="62"/>
        <v>-2.0833976004490964</v>
      </c>
      <c r="AA402" s="37">
        <v>382</v>
      </c>
      <c r="AB402" s="37">
        <v>1.8247836616550372</v>
      </c>
      <c r="AC402" s="37">
        <v>2.8470392889472662</v>
      </c>
      <c r="AD402" s="37">
        <v>3.3888416564706634</v>
      </c>
    </row>
    <row r="403" spans="2:30" x14ac:dyDescent="0.3">
      <c r="B403" s="28">
        <v>43217</v>
      </c>
      <c r="C403" s="25">
        <v>43.290000999999997</v>
      </c>
      <c r="D403" s="18">
        <f t="shared" si="54"/>
        <v>4.408422478348939E-3</v>
      </c>
      <c r="E403" s="32">
        <f t="shared" ca="1" si="55"/>
        <v>-2.9633010781423899E-2</v>
      </c>
      <c r="F403" s="18">
        <f t="shared" ca="1" si="56"/>
        <v>56.582100111702161</v>
      </c>
      <c r="G403" s="19">
        <f t="shared" ca="1" si="57"/>
        <v>1.7279008882978388</v>
      </c>
      <c r="H403" s="27">
        <v>62.369999</v>
      </c>
      <c r="I403" s="19">
        <f t="shared" si="58"/>
        <v>-1.7331053768220417E-2</v>
      </c>
      <c r="J403" s="19">
        <f t="shared" ca="1" si="59"/>
        <v>-5.1621736567360695E-2</v>
      </c>
      <c r="K403" s="19">
        <f t="shared" ca="1" si="60"/>
        <v>79.180099317234536</v>
      </c>
      <c r="L403" s="19">
        <f t="shared" ca="1" si="61"/>
        <v>4.3098986827654642</v>
      </c>
      <c r="M403" s="19">
        <f t="shared" ca="1" si="62"/>
        <v>6.037799571063303</v>
      </c>
      <c r="AA403" s="37">
        <v>383</v>
      </c>
      <c r="AB403" s="37">
        <v>1.7258009351692749</v>
      </c>
      <c r="AC403" s="37">
        <v>2.8777340995780682</v>
      </c>
      <c r="AD403" s="37">
        <v>3.1735397559887226</v>
      </c>
    </row>
    <row r="404" spans="2:30" x14ac:dyDescent="0.3">
      <c r="B404" s="28">
        <v>43220</v>
      </c>
      <c r="C404" s="25">
        <v>43.529998999999997</v>
      </c>
      <c r="D404" s="18">
        <f t="shared" si="54"/>
        <v>5.543959215893679E-3</v>
      </c>
      <c r="E404" s="32">
        <f t="shared" ca="1" si="55"/>
        <v>4.9808483490910533E-3</v>
      </c>
      <c r="F404" s="18">
        <f t="shared" ca="1" si="56"/>
        <v>58.60043427221634</v>
      </c>
      <c r="G404" s="19">
        <f t="shared" ca="1" si="57"/>
        <v>-0.2904332722163403</v>
      </c>
      <c r="H404" s="27">
        <v>62.169998</v>
      </c>
      <c r="I404" s="19">
        <f t="shared" si="58"/>
        <v>-3.2066859580998086E-3</v>
      </c>
      <c r="J404" s="19">
        <f t="shared" ca="1" si="59"/>
        <v>-1.757812028512732E-2</v>
      </c>
      <c r="K404" s="19">
        <f t="shared" ca="1" si="60"/>
        <v>82.022400772550967</v>
      </c>
      <c r="L404" s="19">
        <f t="shared" ca="1" si="61"/>
        <v>1.4675972274490334</v>
      </c>
      <c r="M404" s="19">
        <f t="shared" ca="1" si="62"/>
        <v>1.1771639552326931</v>
      </c>
      <c r="AA404" s="37">
        <v>384</v>
      </c>
      <c r="AB404" s="37">
        <v>1.813429666868676</v>
      </c>
      <c r="AC404" s="37">
        <v>2.7378819841579385</v>
      </c>
      <c r="AD404" s="37">
        <v>3.5441346139970866</v>
      </c>
    </row>
    <row r="405" spans="2:30" x14ac:dyDescent="0.3">
      <c r="B405" s="28">
        <v>43222</v>
      </c>
      <c r="C405" s="25">
        <v>42.459999000000003</v>
      </c>
      <c r="D405" s="18">
        <f t="shared" si="54"/>
        <v>-2.4580749473483654E-2</v>
      </c>
      <c r="E405" s="32">
        <f t="shared" ca="1" si="55"/>
        <v>-4.3979461367625823E-2</v>
      </c>
      <c r="F405" s="18">
        <f t="shared" ca="1" si="56"/>
        <v>55.745558563674273</v>
      </c>
      <c r="G405" s="19">
        <f t="shared" ca="1" si="57"/>
        <v>2.5644424363257272</v>
      </c>
      <c r="H405" s="27">
        <v>59.98</v>
      </c>
      <c r="I405" s="19">
        <f t="shared" si="58"/>
        <v>-3.5225962207687478E-2</v>
      </c>
      <c r="J405" s="19">
        <f t="shared" ca="1" si="59"/>
        <v>4.7636988944926035E-3</v>
      </c>
      <c r="K405" s="19">
        <f t="shared" ca="1" si="60"/>
        <v>83.887719211173788</v>
      </c>
      <c r="L405" s="19">
        <f t="shared" ca="1" si="61"/>
        <v>-0.39772121117378845</v>
      </c>
      <c r="M405" s="19">
        <f t="shared" ca="1" si="62"/>
        <v>2.1667212251519388</v>
      </c>
      <c r="AA405" s="37">
        <v>385</v>
      </c>
      <c r="AB405" s="37">
        <v>1.822787550831569</v>
      </c>
      <c r="AC405" s="37">
        <v>3.0304657565551865</v>
      </c>
      <c r="AD405" s="37">
        <v>3.3606668333696184</v>
      </c>
    </row>
    <row r="406" spans="2:30" x14ac:dyDescent="0.3">
      <c r="B406" s="28">
        <v>43223</v>
      </c>
      <c r="C406" s="25">
        <v>41.139999000000003</v>
      </c>
      <c r="D406" s="18">
        <f t="shared" si="54"/>
        <v>-3.1088083633727837E-2</v>
      </c>
      <c r="E406" s="32">
        <f t="shared" ca="1" si="55"/>
        <v>1.7987117451200411E-2</v>
      </c>
      <c r="F406" s="18">
        <f t="shared" ca="1" si="56"/>
        <v>59.35882983656662</v>
      </c>
      <c r="G406" s="19">
        <f t="shared" ca="1" si="57"/>
        <v>-1.0488288365666207</v>
      </c>
      <c r="H406" s="27">
        <v>58.580002</v>
      </c>
      <c r="I406" s="19">
        <f t="shared" si="58"/>
        <v>-2.3341080360119948E-2</v>
      </c>
      <c r="J406" s="19">
        <f t="shared" ca="1" si="59"/>
        <v>-1.2336516970045673E-2</v>
      </c>
      <c r="K406" s="19">
        <f t="shared" ca="1" si="60"/>
        <v>82.460022222843918</v>
      </c>
      <c r="L406" s="19">
        <f t="shared" ca="1" si="61"/>
        <v>1.029975777156082</v>
      </c>
      <c r="M406" s="19">
        <f t="shared" ca="1" si="62"/>
        <v>-1.8853059410538719E-2</v>
      </c>
      <c r="AA406" s="37">
        <v>386</v>
      </c>
      <c r="AB406" s="37">
        <v>1.712723198273425</v>
      </c>
      <c r="AC406" s="37">
        <v>2.6842500235521252</v>
      </c>
      <c r="AD406" s="37">
        <v>3.5567070653069734</v>
      </c>
    </row>
    <row r="407" spans="2:30" x14ac:dyDescent="0.3">
      <c r="B407" s="28">
        <v>43224</v>
      </c>
      <c r="C407" s="25">
        <v>41.189999</v>
      </c>
      <c r="D407" s="18">
        <f t="shared" si="54"/>
        <v>1.2153622074710935E-3</v>
      </c>
      <c r="E407" s="32">
        <f t="shared" ca="1" si="55"/>
        <v>3.6941967277742724E-2</v>
      </c>
      <c r="F407" s="18">
        <f t="shared" ca="1" si="56"/>
        <v>60.46408714890714</v>
      </c>
      <c r="G407" s="19">
        <f t="shared" ca="1" si="57"/>
        <v>-2.1540861489071403</v>
      </c>
      <c r="H407" s="27">
        <v>57.84</v>
      </c>
      <c r="I407" s="19">
        <f t="shared" si="58"/>
        <v>-1.2632331422590237E-2</v>
      </c>
      <c r="J407" s="19">
        <f t="shared" ca="1" si="59"/>
        <v>-2.9981018303123514E-2</v>
      </c>
      <c r="K407" s="19">
        <f t="shared" ca="1" si="60"/>
        <v>80.986882841834259</v>
      </c>
      <c r="L407" s="19">
        <f t="shared" ca="1" si="61"/>
        <v>2.5031151581657411</v>
      </c>
      <c r="M407" s="19">
        <f t="shared" ca="1" si="62"/>
        <v>0.34902900925860081</v>
      </c>
      <c r="AA407" s="37">
        <v>387</v>
      </c>
      <c r="AB407" s="37">
        <v>1.7813920778239605</v>
      </c>
      <c r="AC407" s="37">
        <v>2.7967149969939062</v>
      </c>
      <c r="AD407" s="37">
        <v>3.1913049052109344</v>
      </c>
    </row>
    <row r="408" spans="2:30" x14ac:dyDescent="0.3">
      <c r="B408" s="28">
        <v>43227</v>
      </c>
      <c r="C408" s="25">
        <v>40.659999999999997</v>
      </c>
      <c r="D408" s="18">
        <f t="shared" si="54"/>
        <v>-1.2867176811536263E-2</v>
      </c>
      <c r="E408" s="32">
        <f t="shared" ca="1" si="55"/>
        <v>8.2485942842605697E-3</v>
      </c>
      <c r="F408" s="18">
        <f t="shared" ca="1" si="56"/>
        <v>58.790976540963825</v>
      </c>
      <c r="G408" s="19">
        <f t="shared" ca="1" si="57"/>
        <v>-0.48097554096382567</v>
      </c>
      <c r="H408" s="27">
        <v>55.209999000000003</v>
      </c>
      <c r="I408" s="19">
        <f t="shared" si="58"/>
        <v>-4.5470280082987591E-2</v>
      </c>
      <c r="J408" s="19">
        <f t="shared" ca="1" si="59"/>
        <v>2.7370446546350681E-3</v>
      </c>
      <c r="K408" s="19">
        <f t="shared" ca="1" si="60"/>
        <v>83.718513852741395</v>
      </c>
      <c r="L408" s="19">
        <f t="shared" ca="1" si="61"/>
        <v>-0.22851585274139552</v>
      </c>
      <c r="M408" s="19">
        <f t="shared" ca="1" si="62"/>
        <v>-0.70949139370522118</v>
      </c>
      <c r="AA408" s="37">
        <v>388</v>
      </c>
      <c r="AB408" s="37">
        <v>1.6864742549984086</v>
      </c>
      <c r="AC408" s="37">
        <v>3.1181636250666864</v>
      </c>
      <c r="AD408" s="37">
        <v>3.4925982998340928</v>
      </c>
    </row>
    <row r="409" spans="2:30" x14ac:dyDescent="0.3">
      <c r="B409" s="28">
        <v>43228</v>
      </c>
      <c r="C409" s="25">
        <v>40.840000000000003</v>
      </c>
      <c r="D409" s="18">
        <f t="shared" si="54"/>
        <v>4.4269552385638455E-3</v>
      </c>
      <c r="E409" s="32">
        <f t="shared" ca="1" si="55"/>
        <v>-2.2944656514043413E-2</v>
      </c>
      <c r="F409" s="18">
        <f t="shared" ca="1" si="56"/>
        <v>56.972098055721474</v>
      </c>
      <c r="G409" s="19">
        <f t="shared" ca="1" si="57"/>
        <v>1.3379029442785253</v>
      </c>
      <c r="H409" s="27">
        <v>55.950001</v>
      </c>
      <c r="I409" s="19">
        <f t="shared" si="58"/>
        <v>1.3403405422992343E-2</v>
      </c>
      <c r="J409" s="19">
        <f t="shared" ca="1" si="59"/>
        <v>3.8335607965861776E-4</v>
      </c>
      <c r="K409" s="19">
        <f t="shared" ca="1" si="60"/>
        <v>83.522004398323986</v>
      </c>
      <c r="L409" s="19">
        <f t="shared" ca="1" si="61"/>
        <v>-3.2006398323986218E-2</v>
      </c>
      <c r="M409" s="19">
        <f t="shared" ca="1" si="62"/>
        <v>1.3058965459545391</v>
      </c>
      <c r="AA409" s="37">
        <v>389</v>
      </c>
      <c r="AB409" s="37">
        <v>1.8607202581478606</v>
      </c>
      <c r="AC409" s="37">
        <v>2.8952741723891458</v>
      </c>
      <c r="AD409" s="37">
        <v>3.4056979683791822</v>
      </c>
    </row>
    <row r="410" spans="2:30" x14ac:dyDescent="0.3">
      <c r="B410" s="28">
        <v>43229</v>
      </c>
      <c r="C410" s="25">
        <v>39.590000000000003</v>
      </c>
      <c r="D410" s="18">
        <f t="shared" si="54"/>
        <v>-3.0607247796278103E-2</v>
      </c>
      <c r="E410" s="32">
        <f t="shared" ca="1" si="55"/>
        <v>2.0095842864225513E-2</v>
      </c>
      <c r="F410" s="18">
        <f t="shared" ca="1" si="56"/>
        <v>59.481789617508831</v>
      </c>
      <c r="G410" s="19">
        <f t="shared" ca="1" si="57"/>
        <v>-1.171788617508831</v>
      </c>
      <c r="H410" s="27">
        <v>54.860000999999997</v>
      </c>
      <c r="I410" s="19">
        <f t="shared" si="58"/>
        <v>-1.9481679723294398E-2</v>
      </c>
      <c r="J410" s="19">
        <f t="shared" ca="1" si="59"/>
        <v>1.1602656119067795E-2</v>
      </c>
      <c r="K410" s="19">
        <f t="shared" ca="1" si="60"/>
        <v>84.458703736175664</v>
      </c>
      <c r="L410" s="19">
        <f t="shared" ca="1" si="61"/>
        <v>-0.96870573617566436</v>
      </c>
      <c r="M410" s="19">
        <f t="shared" ca="1" si="62"/>
        <v>-2.1404943536844954</v>
      </c>
      <c r="AA410" s="37">
        <v>390</v>
      </c>
      <c r="AB410" s="37">
        <v>1.8507460336136692</v>
      </c>
      <c r="AC410" s="37">
        <v>2.8937492349649401</v>
      </c>
      <c r="AD410" s="37">
        <v>3.3997840141209519</v>
      </c>
    </row>
    <row r="411" spans="2:30" x14ac:dyDescent="0.3">
      <c r="B411" s="28">
        <v>43230</v>
      </c>
      <c r="C411" s="25">
        <v>40.349997999999999</v>
      </c>
      <c r="D411" s="18">
        <f t="shared" si="54"/>
        <v>1.9196716342510634E-2</v>
      </c>
      <c r="E411" s="32">
        <f t="shared" ca="1" si="55"/>
        <v>2.4947965315040323E-2</v>
      </c>
      <c r="F411" s="18">
        <f t="shared" ca="1" si="56"/>
        <v>59.764716882467972</v>
      </c>
      <c r="G411" s="19">
        <f t="shared" ca="1" si="57"/>
        <v>-1.4547158824679727</v>
      </c>
      <c r="H411" s="27">
        <v>56.009998000000003</v>
      </c>
      <c r="I411" s="19">
        <f t="shared" si="58"/>
        <v>2.0962394805643658E-2</v>
      </c>
      <c r="J411" s="19">
        <f t="shared" ca="1" si="59"/>
        <v>2.4740983308609282E-4</v>
      </c>
      <c r="K411" s="19">
        <f t="shared" ca="1" si="60"/>
        <v>83.510654246469528</v>
      </c>
      <c r="L411" s="19">
        <f t="shared" ca="1" si="61"/>
        <v>-2.0656246469528128E-2</v>
      </c>
      <c r="M411" s="19">
        <f t="shared" ca="1" si="62"/>
        <v>-1.4753721289375008</v>
      </c>
      <c r="AA411" s="37">
        <v>391</v>
      </c>
      <c r="AB411" s="37">
        <v>1.7332182896635522</v>
      </c>
      <c r="AC411" s="37">
        <v>2.7389629110856339</v>
      </c>
      <c r="AD411" s="37">
        <v>3.39044596250735</v>
      </c>
    </row>
    <row r="412" spans="2:30" x14ac:dyDescent="0.3">
      <c r="B412" s="28">
        <v>43231</v>
      </c>
      <c r="C412" s="25">
        <v>39.979999999999997</v>
      </c>
      <c r="D412" s="18">
        <f t="shared" si="54"/>
        <v>-9.1697154483131316E-3</v>
      </c>
      <c r="E412" s="32">
        <f t="shared" ca="1" si="55"/>
        <v>-3.2260162081217313E-2</v>
      </c>
      <c r="F412" s="18">
        <f t="shared" ca="1" si="56"/>
        <v>56.428910916784055</v>
      </c>
      <c r="G412" s="19">
        <f t="shared" ca="1" si="57"/>
        <v>1.8810900832159447</v>
      </c>
      <c r="H412" s="27">
        <v>56.040000999999997</v>
      </c>
      <c r="I412" s="19">
        <f t="shared" si="58"/>
        <v>5.3567222052031127E-4</v>
      </c>
      <c r="J412" s="19">
        <f t="shared" ca="1" si="59"/>
        <v>1.0858945605579387E-2</v>
      </c>
      <c r="K412" s="19">
        <f t="shared" ca="1" si="60"/>
        <v>84.39661134689193</v>
      </c>
      <c r="L412" s="19">
        <f t="shared" ca="1" si="61"/>
        <v>-0.90661334689193041</v>
      </c>
      <c r="M412" s="19">
        <f t="shared" ca="1" si="62"/>
        <v>0.97447673632401433</v>
      </c>
      <c r="AA412" s="37">
        <v>392</v>
      </c>
      <c r="AB412" s="37">
        <v>1.905559673976609</v>
      </c>
      <c r="AC412" s="37">
        <v>2.7891745169911699</v>
      </c>
      <c r="AD412" s="37">
        <v>3.3972161364250488</v>
      </c>
    </row>
    <row r="413" spans="2:30" x14ac:dyDescent="0.3">
      <c r="B413" s="28">
        <v>43234</v>
      </c>
      <c r="C413" s="25">
        <v>39.950001</v>
      </c>
      <c r="D413" s="18">
        <f t="shared" si="54"/>
        <v>-7.5035017508751078E-4</v>
      </c>
      <c r="E413" s="32">
        <f t="shared" ca="1" si="55"/>
        <v>-1.6270138896348229E-3</v>
      </c>
      <c r="F413" s="18">
        <f t="shared" ca="1" si="56"/>
        <v>58.215129818468377</v>
      </c>
      <c r="G413" s="19">
        <f t="shared" ca="1" si="57"/>
        <v>9.4871181531622994E-2</v>
      </c>
      <c r="H413" s="27">
        <v>56.869999</v>
      </c>
      <c r="I413" s="19">
        <f t="shared" si="58"/>
        <v>1.4810813440206738E-2</v>
      </c>
      <c r="J413" s="19">
        <f t="shared" ca="1" si="59"/>
        <v>1.764374247830593E-2</v>
      </c>
      <c r="K413" s="19">
        <f t="shared" ca="1" si="60"/>
        <v>84.963074024226287</v>
      </c>
      <c r="L413" s="19">
        <f t="shared" ca="1" si="61"/>
        <v>-1.4730760242262875</v>
      </c>
      <c r="M413" s="19">
        <f t="shared" ca="1" si="62"/>
        <v>-1.3782048426946645</v>
      </c>
      <c r="AA413" s="37">
        <v>393</v>
      </c>
      <c r="AB413" s="37">
        <v>1.8121311411363017</v>
      </c>
      <c r="AC413" s="37">
        <v>2.9187147328706584</v>
      </c>
      <c r="AD413" s="37">
        <v>3.4214266660149311</v>
      </c>
    </row>
    <row r="414" spans="2:30" x14ac:dyDescent="0.3">
      <c r="B414" s="28">
        <v>43235</v>
      </c>
      <c r="C414" s="25">
        <v>39.959999000000003</v>
      </c>
      <c r="D414" s="18">
        <f t="shared" si="54"/>
        <v>2.5026282227136321E-4</v>
      </c>
      <c r="E414" s="32">
        <f t="shared" ca="1" si="55"/>
        <v>-1.0668982964930852E-3</v>
      </c>
      <c r="F414" s="18">
        <f t="shared" ca="1" si="56"/>
        <v>58.247790159264589</v>
      </c>
      <c r="G414" s="19">
        <f t="shared" ca="1" si="57"/>
        <v>6.22108407354105E-2</v>
      </c>
      <c r="H414" s="27">
        <v>55.099997999999999</v>
      </c>
      <c r="I414" s="19">
        <f t="shared" si="58"/>
        <v>-3.1123633394120498E-2</v>
      </c>
      <c r="J414" s="19">
        <f t="shared" ca="1" si="59"/>
        <v>1.8319117385387693E-2</v>
      </c>
      <c r="K414" s="19">
        <f t="shared" ca="1" si="60"/>
        <v>85.019461073867774</v>
      </c>
      <c r="L414" s="19">
        <f t="shared" ca="1" si="61"/>
        <v>-1.5294630738677739</v>
      </c>
      <c r="M414" s="19">
        <f t="shared" ca="1" si="62"/>
        <v>-1.4672522331323634</v>
      </c>
      <c r="AA414" s="37">
        <v>394</v>
      </c>
      <c r="AB414" s="37">
        <v>1.8919610570893159</v>
      </c>
      <c r="AC414" s="37">
        <v>2.8109799390967254</v>
      </c>
      <c r="AD414" s="37">
        <v>3.5772983880409481</v>
      </c>
    </row>
    <row r="415" spans="2:30" x14ac:dyDescent="0.3">
      <c r="B415" s="28">
        <v>43236</v>
      </c>
      <c r="C415" s="25">
        <v>40.090000000000003</v>
      </c>
      <c r="D415" s="18">
        <f t="shared" si="54"/>
        <v>3.2532783596916914E-3</v>
      </c>
      <c r="E415" s="32">
        <f t="shared" ca="1" si="55"/>
        <v>-1.6163863403603092E-2</v>
      </c>
      <c r="F415" s="18">
        <f t="shared" ca="1" si="56"/>
        <v>57.367486108772042</v>
      </c>
      <c r="G415" s="19">
        <f t="shared" ca="1" si="57"/>
        <v>0.94251489122795817</v>
      </c>
      <c r="H415" s="27">
        <v>56.669998</v>
      </c>
      <c r="I415" s="19">
        <f t="shared" si="58"/>
        <v>2.8493648947137906E-2</v>
      </c>
      <c r="J415" s="19">
        <f t="shared" ca="1" si="59"/>
        <v>-5.4578905224293393E-2</v>
      </c>
      <c r="K415" s="19">
        <f t="shared" ca="1" si="60"/>
        <v>78.933205311981553</v>
      </c>
      <c r="L415" s="19">
        <f t="shared" ca="1" si="61"/>
        <v>4.5567926880184473</v>
      </c>
      <c r="M415" s="19">
        <f t="shared" ca="1" si="62"/>
        <v>5.4993075792464055</v>
      </c>
      <c r="AA415" s="37">
        <v>395</v>
      </c>
      <c r="AB415" s="37">
        <v>1.6991840119234169</v>
      </c>
      <c r="AC415" s="37">
        <v>2.8364305707434454</v>
      </c>
      <c r="AD415" s="37">
        <v>3.3269662101492337</v>
      </c>
    </row>
    <row r="416" spans="2:30" x14ac:dyDescent="0.3">
      <c r="B416" s="28">
        <v>43237</v>
      </c>
      <c r="C416" s="25">
        <v>38.759998000000003</v>
      </c>
      <c r="D416" s="18">
        <f t="shared" si="54"/>
        <v>-3.3175405337989572E-2</v>
      </c>
      <c r="E416" s="32">
        <f t="shared" ca="1" si="55"/>
        <v>-5.3974316447789633E-2</v>
      </c>
      <c r="F416" s="18">
        <f t="shared" ca="1" si="56"/>
        <v>55.162758553955072</v>
      </c>
      <c r="G416" s="19">
        <f t="shared" ca="1" si="57"/>
        <v>3.1472424460449275</v>
      </c>
      <c r="H416" s="27">
        <v>57.450001</v>
      </c>
      <c r="I416" s="19">
        <f t="shared" si="58"/>
        <v>1.3763949665217989E-2</v>
      </c>
      <c r="J416" s="19">
        <f t="shared" ca="1" si="59"/>
        <v>3.875480283044129E-2</v>
      </c>
      <c r="K416" s="19">
        <f t="shared" ca="1" si="60"/>
        <v>86.725636410803929</v>
      </c>
      <c r="L416" s="19">
        <f t="shared" ca="1" si="61"/>
        <v>-3.2356384108039293</v>
      </c>
      <c r="M416" s="19">
        <f t="shared" ca="1" si="62"/>
        <v>-8.8395964759001799E-2</v>
      </c>
      <c r="AA416" s="37">
        <v>396</v>
      </c>
      <c r="AB416" s="37">
        <v>1.7621970917758987</v>
      </c>
      <c r="AC416" s="37">
        <v>2.7730640967019551</v>
      </c>
      <c r="AD416" s="37">
        <v>3.1854766117746647</v>
      </c>
    </row>
    <row r="417" spans="2:30" x14ac:dyDescent="0.3">
      <c r="B417" s="28">
        <v>43238</v>
      </c>
      <c r="C417" s="25">
        <v>38.900002000000001</v>
      </c>
      <c r="D417" s="18">
        <f t="shared" si="54"/>
        <v>3.6120744897869539E-3</v>
      </c>
      <c r="E417" s="32">
        <f t="shared" ca="1" si="55"/>
        <v>9.2770699702700524E-3</v>
      </c>
      <c r="F417" s="18">
        <f t="shared" ca="1" si="56"/>
        <v>58.850946959243515</v>
      </c>
      <c r="G417" s="19">
        <f t="shared" ca="1" si="57"/>
        <v>-0.54094595924351552</v>
      </c>
      <c r="H417" s="27">
        <v>56.259998000000003</v>
      </c>
      <c r="I417" s="19">
        <f t="shared" si="58"/>
        <v>-2.0713715914469688E-2</v>
      </c>
      <c r="J417" s="19">
        <f t="shared" ca="1" si="59"/>
        <v>1.4045507784817118E-2</v>
      </c>
      <c r="K417" s="19">
        <f t="shared" ca="1" si="60"/>
        <v>84.662657416863368</v>
      </c>
      <c r="L417" s="19">
        <f t="shared" ca="1" si="61"/>
        <v>-1.1726594168633682</v>
      </c>
      <c r="M417" s="19">
        <f t="shared" ca="1" si="62"/>
        <v>-1.7136053761068837</v>
      </c>
      <c r="AA417" s="37">
        <v>397</v>
      </c>
      <c r="AB417" s="37">
        <v>1.8032712909602642</v>
      </c>
      <c r="AC417" s="37">
        <v>2.7709896115686865</v>
      </c>
      <c r="AD417" s="37">
        <v>3.4999258849674462</v>
      </c>
    </row>
    <row r="418" spans="2:30" x14ac:dyDescent="0.3">
      <c r="B418" s="28">
        <v>43241</v>
      </c>
      <c r="C418" s="25">
        <v>38.409999999999997</v>
      </c>
      <c r="D418" s="18">
        <f t="shared" si="54"/>
        <v>-1.2596451794526953E-2</v>
      </c>
      <c r="E418" s="32">
        <f t="shared" ca="1" si="55"/>
        <v>1.6681097013421263E-2</v>
      </c>
      <c r="F418" s="18">
        <f t="shared" ca="1" si="56"/>
        <v>59.282675783533691</v>
      </c>
      <c r="G418" s="19">
        <f t="shared" ca="1" si="57"/>
        <v>-0.97267478353369086</v>
      </c>
      <c r="H418" s="27">
        <v>56.459999000000003</v>
      </c>
      <c r="I418" s="19">
        <f t="shared" si="58"/>
        <v>3.5549414701365745E-3</v>
      </c>
      <c r="J418" s="19">
        <f t="shared" ca="1" si="59"/>
        <v>3.28398814082939E-2</v>
      </c>
      <c r="K418" s="19">
        <f t="shared" ca="1" si="60"/>
        <v>86.231799633098703</v>
      </c>
      <c r="L418" s="19">
        <f t="shared" ca="1" si="61"/>
        <v>-2.741801633098703</v>
      </c>
      <c r="M418" s="19">
        <f t="shared" ca="1" si="62"/>
        <v>-3.7144764166323938</v>
      </c>
      <c r="AA418" s="37">
        <v>398</v>
      </c>
      <c r="AB418" s="37">
        <v>1.8887258939631493</v>
      </c>
      <c r="AC418" s="37">
        <v>3.1457806240771684</v>
      </c>
      <c r="AD418" s="37">
        <v>3.1492671607074048</v>
      </c>
    </row>
    <row r="419" spans="2:30" x14ac:dyDescent="0.3">
      <c r="B419" s="28">
        <v>43242</v>
      </c>
      <c r="C419" s="25">
        <v>39.349997999999999</v>
      </c>
      <c r="D419" s="18">
        <f t="shared" si="54"/>
        <v>2.4472741473574589E-2</v>
      </c>
      <c r="E419" s="32">
        <f t="shared" ca="1" si="55"/>
        <v>1.4405745620448614E-2</v>
      </c>
      <c r="F419" s="18">
        <f t="shared" ca="1" si="56"/>
        <v>59.150000041534113</v>
      </c>
      <c r="G419" s="19">
        <f t="shared" ca="1" si="57"/>
        <v>-0.83999904153411364</v>
      </c>
      <c r="H419" s="27">
        <v>57.02</v>
      </c>
      <c r="I419" s="19">
        <f t="shared" si="58"/>
        <v>9.9185442776930088E-3</v>
      </c>
      <c r="J419" s="19">
        <f t="shared" ca="1" si="59"/>
        <v>1.4209463317857202E-3</v>
      </c>
      <c r="K419" s="19">
        <f t="shared" ca="1" si="60"/>
        <v>83.608632806398901</v>
      </c>
      <c r="L419" s="19">
        <f t="shared" ca="1" si="61"/>
        <v>-0.11863480639890156</v>
      </c>
      <c r="M419" s="19">
        <f t="shared" ca="1" si="62"/>
        <v>-0.9586338479330152</v>
      </c>
      <c r="AA419" s="37">
        <v>399</v>
      </c>
      <c r="AB419" s="37">
        <v>1.7274967290099037</v>
      </c>
      <c r="AC419" s="37">
        <v>2.8260138337148075</v>
      </c>
      <c r="AD419" s="37">
        <v>3.3434015087696278</v>
      </c>
    </row>
    <row r="420" spans="2:30" x14ac:dyDescent="0.3">
      <c r="B420" s="28">
        <v>43243</v>
      </c>
      <c r="C420" s="25">
        <v>39.630001</v>
      </c>
      <c r="D420" s="18">
        <f t="shared" si="54"/>
        <v>7.1157055713191308E-3</v>
      </c>
      <c r="E420" s="32">
        <f t="shared" ca="1" si="55"/>
        <v>-2.8306931634844559E-2</v>
      </c>
      <c r="F420" s="18">
        <f t="shared" ca="1" si="56"/>
        <v>56.659423788065283</v>
      </c>
      <c r="G420" s="19">
        <f t="shared" ca="1" si="57"/>
        <v>1.6505772119347171</v>
      </c>
      <c r="H420" s="27">
        <v>55.150002000000001</v>
      </c>
      <c r="I420" s="19">
        <f t="shared" si="58"/>
        <v>-3.2795475271834462E-2</v>
      </c>
      <c r="J420" s="19">
        <f t="shared" ca="1" si="59"/>
        <v>-7.0869793556038868E-3</v>
      </c>
      <c r="K420" s="19">
        <f t="shared" ca="1" si="60"/>
        <v>82.898306107774587</v>
      </c>
      <c r="L420" s="19">
        <f t="shared" ca="1" si="61"/>
        <v>0.59169189222541263</v>
      </c>
      <c r="M420" s="19">
        <f t="shared" ca="1" si="62"/>
        <v>2.2422691041601297</v>
      </c>
      <c r="AA420" s="37">
        <v>400</v>
      </c>
      <c r="AB420" s="37">
        <v>1.7332090892022061</v>
      </c>
      <c r="AC420" s="37">
        <v>2.6622040778531901</v>
      </c>
      <c r="AD420" s="37">
        <v>3.4631126234559364</v>
      </c>
    </row>
    <row r="421" spans="2:30" x14ac:dyDescent="0.3">
      <c r="B421" s="28">
        <v>43244</v>
      </c>
      <c r="C421" s="25">
        <v>39.409999999999997</v>
      </c>
      <c r="D421" s="18">
        <f t="shared" si="54"/>
        <v>-5.5513750807123508E-3</v>
      </c>
      <c r="E421" s="32">
        <f t="shared" ca="1" si="55"/>
        <v>2.5891164565788667E-2</v>
      </c>
      <c r="F421" s="18">
        <f t="shared" ca="1" si="56"/>
        <v>59.819714831722301</v>
      </c>
      <c r="G421" s="19">
        <f t="shared" ca="1" si="57"/>
        <v>-1.5097138317223013</v>
      </c>
      <c r="H421" s="27">
        <v>53.970001000000003</v>
      </c>
      <c r="I421" s="19">
        <f t="shared" si="58"/>
        <v>-2.1396209559520929E-2</v>
      </c>
      <c r="J421" s="19">
        <f t="shared" ca="1" si="59"/>
        <v>2.0171038272980304E-2</v>
      </c>
      <c r="K421" s="19">
        <f t="shared" ca="1" si="60"/>
        <v>85.174077945069044</v>
      </c>
      <c r="L421" s="19">
        <f t="shared" ca="1" si="61"/>
        <v>-1.684079945069044</v>
      </c>
      <c r="M421" s="19">
        <f t="shared" ca="1" si="62"/>
        <v>-3.1937937767913454</v>
      </c>
      <c r="AA421" s="37">
        <v>401</v>
      </c>
      <c r="AB421" s="37">
        <v>1.7896547418349411</v>
      </c>
      <c r="AC421" s="37">
        <v>2.766619525323589</v>
      </c>
      <c r="AD421" s="37">
        <v>3.1971141646713552</v>
      </c>
    </row>
    <row r="422" spans="2:30" x14ac:dyDescent="0.3">
      <c r="B422" s="28">
        <v>43245</v>
      </c>
      <c r="C422" s="25">
        <v>37.979999999999997</v>
      </c>
      <c r="D422" s="18">
        <f t="shared" si="54"/>
        <v>-3.6285206800304448E-2</v>
      </c>
      <c r="E422" s="32">
        <f t="shared" ca="1" si="55"/>
        <v>-1.9384517940576006E-2</v>
      </c>
      <c r="F422" s="18">
        <f t="shared" ca="1" si="56"/>
        <v>57.179689739500489</v>
      </c>
      <c r="G422" s="19">
        <f t="shared" ca="1" si="57"/>
        <v>1.1303112604995107</v>
      </c>
      <c r="H422" s="27">
        <v>53.16</v>
      </c>
      <c r="I422" s="19">
        <f t="shared" si="58"/>
        <v>-1.5008356216261842E-2</v>
      </c>
      <c r="J422" s="19">
        <f t="shared" ca="1" si="59"/>
        <v>7.3005290617823345E-3</v>
      </c>
      <c r="K422" s="19">
        <f t="shared" ca="1" si="60"/>
        <v>84.099519156767144</v>
      </c>
      <c r="L422" s="19">
        <f t="shared" ca="1" si="61"/>
        <v>-0.60952115676714413</v>
      </c>
      <c r="M422" s="19">
        <f t="shared" ca="1" si="62"/>
        <v>0.52079010373236656</v>
      </c>
      <c r="AA422" s="37">
        <v>402</v>
      </c>
      <c r="AB422" s="37">
        <v>1.901367326469007</v>
      </c>
      <c r="AC422" s="37">
        <v>2.9539108561853018</v>
      </c>
      <c r="AD422" s="37">
        <v>3.2056619488335185</v>
      </c>
    </row>
    <row r="423" spans="2:30" x14ac:dyDescent="0.3">
      <c r="B423" s="28">
        <v>43248</v>
      </c>
      <c r="C423" s="25">
        <v>37.900002000000001</v>
      </c>
      <c r="D423" s="18">
        <f t="shared" si="54"/>
        <v>-2.1063191153237737E-3</v>
      </c>
      <c r="E423" s="32">
        <f t="shared" ca="1" si="55"/>
        <v>8.1954611195578127E-3</v>
      </c>
      <c r="F423" s="18">
        <f t="shared" ca="1" si="56"/>
        <v>58.78787834607688</v>
      </c>
      <c r="G423" s="19">
        <f t="shared" ca="1" si="57"/>
        <v>-0.47787734607688037</v>
      </c>
      <c r="H423" s="27">
        <v>52.93</v>
      </c>
      <c r="I423" s="19">
        <f t="shared" si="58"/>
        <v>-4.3265613243039791E-3</v>
      </c>
      <c r="J423" s="19">
        <f t="shared" ca="1" si="59"/>
        <v>2.5622493123039318E-2</v>
      </c>
      <c r="K423" s="19">
        <f t="shared" ca="1" si="60"/>
        <v>85.629219899597572</v>
      </c>
      <c r="L423" s="19">
        <f t="shared" ca="1" si="61"/>
        <v>-2.1392218995975725</v>
      </c>
      <c r="M423" s="19">
        <f t="shared" ca="1" si="62"/>
        <v>-2.6170992456744528</v>
      </c>
      <c r="AA423" s="37">
        <v>403</v>
      </c>
      <c r="AB423" s="37">
        <v>1.7136314521335037</v>
      </c>
      <c r="AC423" s="37">
        <v>2.8399609456268928</v>
      </c>
      <c r="AD423" s="37">
        <v>3.3126203216328078</v>
      </c>
    </row>
    <row r="424" spans="2:30" x14ac:dyDescent="0.3">
      <c r="B424" s="28">
        <v>43249</v>
      </c>
      <c r="C424" s="25">
        <v>37.32</v>
      </c>
      <c r="D424" s="18">
        <f t="shared" si="54"/>
        <v>-1.5303482042032579E-2</v>
      </c>
      <c r="E424" s="32">
        <f t="shared" ca="1" si="55"/>
        <v>2.9366220751055839E-3</v>
      </c>
      <c r="F424" s="18">
        <f t="shared" ca="1" si="56"/>
        <v>58.481235436136025</v>
      </c>
      <c r="G424" s="19">
        <f t="shared" ca="1" si="57"/>
        <v>-0.17123443613602518</v>
      </c>
      <c r="H424" s="27">
        <v>51.139999000000003</v>
      </c>
      <c r="I424" s="19">
        <f t="shared" si="58"/>
        <v>-3.381826941243149E-2</v>
      </c>
      <c r="J424" s="19">
        <f t="shared" ca="1" si="59"/>
        <v>3.5224712299351431E-3</v>
      </c>
      <c r="K424" s="19">
        <f t="shared" ca="1" si="60"/>
        <v>83.784089115942336</v>
      </c>
      <c r="L424" s="19">
        <f t="shared" ca="1" si="61"/>
        <v>-0.2940911159423365</v>
      </c>
      <c r="M424" s="19">
        <f t="shared" ca="1" si="62"/>
        <v>-0.46532555207836168</v>
      </c>
      <c r="AA424" s="37">
        <v>404</v>
      </c>
      <c r="AB424" s="37">
        <v>1.788516466306125</v>
      </c>
      <c r="AC424" s="37">
        <v>2.8449988162331987</v>
      </c>
      <c r="AD424" s="37">
        <v>3.4079627415744169</v>
      </c>
    </row>
    <row r="425" spans="2:30" x14ac:dyDescent="0.3">
      <c r="B425" s="28">
        <v>43250</v>
      </c>
      <c r="C425" s="25">
        <v>37.849997999999999</v>
      </c>
      <c r="D425" s="18">
        <f t="shared" si="54"/>
        <v>1.4201446945337537E-2</v>
      </c>
      <c r="E425" s="32">
        <f t="shared" ca="1" si="55"/>
        <v>3.4565757427982624E-2</v>
      </c>
      <c r="F425" s="18">
        <f t="shared" ca="1" si="56"/>
        <v>60.325530350191428</v>
      </c>
      <c r="G425" s="19">
        <f t="shared" ca="1" si="57"/>
        <v>-2.0155293501914286</v>
      </c>
      <c r="H425" s="27">
        <v>50.669998</v>
      </c>
      <c r="I425" s="19">
        <f t="shared" si="58"/>
        <v>-9.1904773013390395E-3</v>
      </c>
      <c r="J425" s="19">
        <f t="shared" ca="1" si="59"/>
        <v>1.9542051388527732E-2</v>
      </c>
      <c r="K425" s="19">
        <f t="shared" ca="1" si="60"/>
        <v>85.121563831344091</v>
      </c>
      <c r="L425" s="19">
        <f t="shared" ca="1" si="61"/>
        <v>-1.6315658313440906</v>
      </c>
      <c r="M425" s="19">
        <f t="shared" ca="1" si="62"/>
        <v>-3.6470951815355193</v>
      </c>
      <c r="AA425" s="37">
        <v>405</v>
      </c>
      <c r="AB425" s="37">
        <v>1.6764182754097412</v>
      </c>
      <c r="AC425" s="37">
        <v>2.7690660362389452</v>
      </c>
      <c r="AD425" s="37">
        <v>3.2210430058705728</v>
      </c>
    </row>
    <row r="426" spans="2:30" x14ac:dyDescent="0.3">
      <c r="B426" s="28">
        <v>43251</v>
      </c>
      <c r="C426" s="25">
        <v>38.060001</v>
      </c>
      <c r="D426" s="18">
        <f t="shared" si="54"/>
        <v>5.5482961980606316E-3</v>
      </c>
      <c r="E426" s="32">
        <f t="shared" ca="1" si="55"/>
        <v>-1.4943258653139547E-2</v>
      </c>
      <c r="F426" s="18">
        <f t="shared" ca="1" si="56"/>
        <v>57.438659572992179</v>
      </c>
      <c r="G426" s="19">
        <f t="shared" ca="1" si="57"/>
        <v>0.87134142700782036</v>
      </c>
      <c r="H426" s="27">
        <v>49.52</v>
      </c>
      <c r="I426" s="19">
        <f t="shared" si="58"/>
        <v>-2.2695836696105531E-2</v>
      </c>
      <c r="J426" s="19">
        <f t="shared" ca="1" si="59"/>
        <v>-1.8317197717966928E-3</v>
      </c>
      <c r="K426" s="19">
        <f t="shared" ca="1" si="60"/>
        <v>83.337067719916135</v>
      </c>
      <c r="L426" s="19">
        <f t="shared" ca="1" si="61"/>
        <v>0.152930280083865</v>
      </c>
      <c r="M426" s="19">
        <f t="shared" ca="1" si="62"/>
        <v>1.0242717070916854</v>
      </c>
      <c r="AA426" s="37">
        <v>406</v>
      </c>
      <c r="AB426" s="37">
        <v>1.7866298403734746</v>
      </c>
      <c r="AC426" s="37">
        <v>2.9228247828692044</v>
      </c>
      <c r="AD426" s="37">
        <v>3.2585415030676228</v>
      </c>
    </row>
    <row r="427" spans="2:30" x14ac:dyDescent="0.3">
      <c r="B427" s="28">
        <v>43252</v>
      </c>
      <c r="C427" s="25">
        <v>37.349997999999999</v>
      </c>
      <c r="D427" s="18">
        <f t="shared" si="54"/>
        <v>-1.8654833981743724E-2</v>
      </c>
      <c r="E427" s="32">
        <f t="shared" ca="1" si="55"/>
        <v>2.8569854453349922E-3</v>
      </c>
      <c r="F427" s="18">
        <f t="shared" ca="1" si="56"/>
        <v>58.476591824174477</v>
      </c>
      <c r="G427" s="19">
        <f t="shared" ca="1" si="57"/>
        <v>-0.16659082417447735</v>
      </c>
      <c r="H427" s="27">
        <v>53.290000999999997</v>
      </c>
      <c r="I427" s="19">
        <f t="shared" si="58"/>
        <v>7.6130876413570192E-2</v>
      </c>
      <c r="J427" s="19">
        <f t="shared" ca="1" si="59"/>
        <v>-1.7619746981654864E-2</v>
      </c>
      <c r="K427" s="19">
        <f t="shared" ca="1" si="60"/>
        <v>82.018925359741118</v>
      </c>
      <c r="L427" s="19">
        <f t="shared" ca="1" si="61"/>
        <v>1.4710726402588818</v>
      </c>
      <c r="M427" s="19">
        <f t="shared" ca="1" si="62"/>
        <v>1.3044818160844045</v>
      </c>
      <c r="AA427" s="37">
        <v>407</v>
      </c>
      <c r="AB427" s="37">
        <v>1.7262384685486865</v>
      </c>
      <c r="AC427" s="37">
        <v>2.7851312175861005</v>
      </c>
      <c r="AD427" s="37">
        <v>3.1223340442860703</v>
      </c>
    </row>
    <row r="428" spans="2:30" x14ac:dyDescent="0.3">
      <c r="B428" s="28">
        <v>43255</v>
      </c>
      <c r="C428" s="25">
        <v>36.279998999999997</v>
      </c>
      <c r="D428" s="18">
        <f t="shared" si="54"/>
        <v>-2.8647899793729614E-2</v>
      </c>
      <c r="E428" s="32">
        <f t="shared" ca="1" si="55"/>
        <v>-2.7798245415993759E-2</v>
      </c>
      <c r="F428" s="18">
        <f t="shared" ca="1" si="56"/>
        <v>56.689085281995162</v>
      </c>
      <c r="G428" s="19">
        <f t="shared" ca="1" si="57"/>
        <v>1.6209157180048379</v>
      </c>
      <c r="H428" s="27">
        <v>55.869999</v>
      </c>
      <c r="I428" s="19">
        <f t="shared" si="58"/>
        <v>4.8414298209527251E-2</v>
      </c>
      <c r="J428" s="19">
        <f t="shared" ca="1" si="59"/>
        <v>2.4516525083379117E-2</v>
      </c>
      <c r="K428" s="19">
        <f t="shared" ca="1" si="60"/>
        <v>85.536882630178283</v>
      </c>
      <c r="L428" s="19">
        <f t="shared" ca="1" si="61"/>
        <v>-2.0468846301782833</v>
      </c>
      <c r="M428" s="19">
        <f t="shared" ca="1" si="62"/>
        <v>-0.42596891217344535</v>
      </c>
      <c r="AA428" s="37">
        <v>408</v>
      </c>
      <c r="AB428" s="37">
        <v>1.8248251778141487</v>
      </c>
      <c r="AC428" s="37">
        <v>2.8424399595531713</v>
      </c>
      <c r="AD428" s="37">
        <v>3.4552308827731615</v>
      </c>
    </row>
    <row r="429" spans="2:30" x14ac:dyDescent="0.3">
      <c r="B429" s="28">
        <v>43256</v>
      </c>
      <c r="C429" s="25">
        <v>36.75</v>
      </c>
      <c r="D429" s="18">
        <f t="shared" si="54"/>
        <v>1.2954823951345951E-2</v>
      </c>
      <c r="E429" s="32">
        <f t="shared" ca="1" si="55"/>
        <v>3.8910458710686345E-2</v>
      </c>
      <c r="F429" s="18">
        <f t="shared" ca="1" si="56"/>
        <v>60.57886988633058</v>
      </c>
      <c r="G429" s="19">
        <f t="shared" ca="1" si="57"/>
        <v>-2.2688688863305799</v>
      </c>
      <c r="H429" s="27">
        <v>56.27</v>
      </c>
      <c r="I429" s="19">
        <f t="shared" si="58"/>
        <v>7.1594953849918319E-3</v>
      </c>
      <c r="J429" s="19">
        <f t="shared" ca="1" si="59"/>
        <v>1.6089201591381933E-3</v>
      </c>
      <c r="K429" s="19">
        <f t="shared" ca="1" si="60"/>
        <v>83.624326740868611</v>
      </c>
      <c r="L429" s="19">
        <f t="shared" ca="1" si="61"/>
        <v>-0.13432874086861091</v>
      </c>
      <c r="M429" s="19">
        <f t="shared" ca="1" si="62"/>
        <v>-2.4031976271991908</v>
      </c>
      <c r="AA429" s="37">
        <v>409</v>
      </c>
      <c r="AB429" s="37">
        <v>1.7734730188301076</v>
      </c>
      <c r="AC429" s="37">
        <v>2.8499724501788672</v>
      </c>
      <c r="AD429" s="37">
        <v>3.1859789595868757</v>
      </c>
    </row>
    <row r="430" spans="2:30" x14ac:dyDescent="0.3">
      <c r="B430" s="28">
        <v>43257</v>
      </c>
      <c r="C430" s="25">
        <v>36.220001000000003</v>
      </c>
      <c r="D430" s="18">
        <f t="shared" si="54"/>
        <v>-1.4421741496598584E-2</v>
      </c>
      <c r="E430" s="32">
        <f t="shared" ca="1" si="55"/>
        <v>2.7442435860247576E-2</v>
      </c>
      <c r="F430" s="18">
        <f t="shared" ca="1" si="56"/>
        <v>59.910169462453474</v>
      </c>
      <c r="G430" s="19">
        <f t="shared" ca="1" si="57"/>
        <v>-1.6001684624534747</v>
      </c>
      <c r="H430" s="27">
        <v>57.830002</v>
      </c>
      <c r="I430" s="19">
        <f t="shared" si="58"/>
        <v>2.772351164030562E-2</v>
      </c>
      <c r="J430" s="19">
        <f t="shared" ca="1" si="59"/>
        <v>4.5672888284450947E-3</v>
      </c>
      <c r="K430" s="19">
        <f t="shared" ca="1" si="60"/>
        <v>83.871320935152312</v>
      </c>
      <c r="L430" s="19">
        <f t="shared" ca="1" si="61"/>
        <v>-0.38132293515231197</v>
      </c>
      <c r="M430" s="19">
        <f t="shared" ca="1" si="62"/>
        <v>-1.9814913976057866</v>
      </c>
      <c r="AA430" s="37">
        <v>410</v>
      </c>
      <c r="AB430" s="37">
        <v>1.6699952994944063</v>
      </c>
      <c r="AC430" s="37">
        <v>2.826469442705712</v>
      </c>
      <c r="AD430" s="37">
        <v>3.3922430998579221</v>
      </c>
    </row>
    <row r="431" spans="2:30" x14ac:dyDescent="0.3">
      <c r="B431" s="28">
        <v>43258</v>
      </c>
      <c r="C431" s="25">
        <v>35.07</v>
      </c>
      <c r="D431" s="18">
        <f t="shared" si="54"/>
        <v>-3.1750440868292706E-2</v>
      </c>
      <c r="E431" s="32">
        <f t="shared" ca="1" si="55"/>
        <v>-3.1081043559725578E-2</v>
      </c>
      <c r="F431" s="18">
        <f t="shared" ca="1" si="56"/>
        <v>56.497665318951356</v>
      </c>
      <c r="G431" s="19">
        <f t="shared" ca="1" si="57"/>
        <v>1.8123356810486442</v>
      </c>
      <c r="H431" s="27">
        <v>56.959999000000003</v>
      </c>
      <c r="I431" s="19">
        <f t="shared" si="58"/>
        <v>-1.5044146116405033E-2</v>
      </c>
      <c r="J431" s="19">
        <f t="shared" ca="1" si="59"/>
        <v>7.0596609979815535E-4</v>
      </c>
      <c r="K431" s="19">
        <f t="shared" ca="1" si="60"/>
        <v>83.548939108260214</v>
      </c>
      <c r="L431" s="19">
        <f t="shared" ca="1" si="61"/>
        <v>-5.8941108260214037E-2</v>
      </c>
      <c r="M431" s="19">
        <f t="shared" ca="1" si="62"/>
        <v>1.7533945727884301</v>
      </c>
      <c r="AA431" s="37">
        <v>411</v>
      </c>
      <c r="AB431" s="37">
        <v>1.7102851168495041</v>
      </c>
      <c r="AC431" s="37">
        <v>2.7316377918263424</v>
      </c>
      <c r="AD431" s="37">
        <v>3.167790604926628</v>
      </c>
    </row>
    <row r="432" spans="2:30" x14ac:dyDescent="0.3">
      <c r="B432" s="28">
        <v>43259</v>
      </c>
      <c r="C432" s="25">
        <v>35.729999999999997</v>
      </c>
      <c r="D432" s="18">
        <f t="shared" si="54"/>
        <v>1.8819503849443864E-2</v>
      </c>
      <c r="E432" s="32">
        <f t="shared" ca="1" si="55"/>
        <v>-2.4007275402852451E-2</v>
      </c>
      <c r="F432" s="18">
        <f t="shared" ca="1" si="56"/>
        <v>56.910136747252402</v>
      </c>
      <c r="G432" s="19">
        <f t="shared" ca="1" si="57"/>
        <v>1.399864252747598</v>
      </c>
      <c r="H432" s="27">
        <v>58.98</v>
      </c>
      <c r="I432" s="19">
        <f t="shared" si="58"/>
        <v>3.5463501324850766E-2</v>
      </c>
      <c r="J432" s="19">
        <f t="shared" ca="1" si="59"/>
        <v>1.5880437267894783E-2</v>
      </c>
      <c r="K432" s="19">
        <f t="shared" ca="1" si="60"/>
        <v>84.815855675735648</v>
      </c>
      <c r="L432" s="19">
        <f t="shared" ca="1" si="61"/>
        <v>-1.3258576757356479</v>
      </c>
      <c r="M432" s="19">
        <f t="shared" ca="1" si="62"/>
        <v>7.4006577011950014E-2</v>
      </c>
      <c r="AA432" s="37">
        <v>412</v>
      </c>
      <c r="AB432" s="37">
        <v>1.7982041263844066</v>
      </c>
      <c r="AC432" s="37">
        <v>2.7771804556791735</v>
      </c>
      <c r="AD432" s="37">
        <v>3.32259272305234</v>
      </c>
    </row>
    <row r="433" spans="2:30" x14ac:dyDescent="0.3">
      <c r="B433" s="28">
        <v>43262</v>
      </c>
      <c r="C433" s="25">
        <v>36.68</v>
      </c>
      <c r="D433" s="18">
        <f t="shared" si="54"/>
        <v>2.6588301147495219E-2</v>
      </c>
      <c r="E433" s="32">
        <f t="shared" ca="1" si="55"/>
        <v>1.3364946741192723E-2</v>
      </c>
      <c r="F433" s="18">
        <f t="shared" ca="1" si="56"/>
        <v>59.089311057843894</v>
      </c>
      <c r="G433" s="19">
        <f t="shared" ca="1" si="57"/>
        <v>-0.77931005784389384</v>
      </c>
      <c r="H433" s="27">
        <v>58.450001</v>
      </c>
      <c r="I433" s="19">
        <f t="shared" si="58"/>
        <v>-8.9860800271277519E-3</v>
      </c>
      <c r="J433" s="19">
        <f t="shared" ca="1" si="59"/>
        <v>3.2029939020515957E-2</v>
      </c>
      <c r="K433" s="19">
        <f t="shared" ca="1" si="60"/>
        <v>86.164177544762993</v>
      </c>
      <c r="L433" s="19">
        <f t="shared" ca="1" si="61"/>
        <v>-2.6741795447629926</v>
      </c>
      <c r="M433" s="19">
        <f t="shared" ca="1" si="62"/>
        <v>-3.4534896026068864</v>
      </c>
      <c r="AA433" s="37">
        <v>413</v>
      </c>
      <c r="AB433" s="37">
        <v>1.8253463363513003</v>
      </c>
      <c r="AC433" s="37">
        <v>2.9087731413596614</v>
      </c>
      <c r="AD433" s="37">
        <v>3.3881753307724467</v>
      </c>
    </row>
    <row r="434" spans="2:30" x14ac:dyDescent="0.3">
      <c r="B434" s="28">
        <v>43263</v>
      </c>
      <c r="C434" s="25">
        <v>36.659999999999997</v>
      </c>
      <c r="D434" s="18">
        <f t="shared" si="54"/>
        <v>-5.4525627044721414E-4</v>
      </c>
      <c r="E434" s="32">
        <f t="shared" ca="1" si="55"/>
        <v>-1.9225273635658121E-2</v>
      </c>
      <c r="F434" s="18">
        <f t="shared" ca="1" si="56"/>
        <v>57.188975275079507</v>
      </c>
      <c r="G434" s="19">
        <f t="shared" ca="1" si="57"/>
        <v>1.1210257249204929</v>
      </c>
      <c r="H434" s="27">
        <v>58.849997999999999</v>
      </c>
      <c r="I434" s="19">
        <f t="shared" si="58"/>
        <v>6.8434045022514045E-3</v>
      </c>
      <c r="J434" s="19">
        <f t="shared" ca="1" si="59"/>
        <v>-4.2823081295041143E-3</v>
      </c>
      <c r="K434" s="19">
        <f t="shared" ca="1" si="60"/>
        <v>83.13246810283232</v>
      </c>
      <c r="L434" s="19">
        <f t="shared" ca="1" si="61"/>
        <v>0.35752989716768013</v>
      </c>
      <c r="M434" s="19">
        <f t="shared" ca="1" si="62"/>
        <v>1.478555622088173</v>
      </c>
      <c r="AA434" s="37">
        <v>414</v>
      </c>
      <c r="AB434" s="37">
        <v>1.8000839565898943</v>
      </c>
      <c r="AC434" s="37">
        <v>2.6920901267464372</v>
      </c>
      <c r="AD434" s="37">
        <v>3.415520921288222</v>
      </c>
    </row>
    <row r="435" spans="2:30" x14ac:dyDescent="0.3">
      <c r="B435" s="28">
        <v>43264</v>
      </c>
      <c r="C435" s="25">
        <v>36.529998999999997</v>
      </c>
      <c r="D435" s="18">
        <f t="shared" si="54"/>
        <v>-3.5461265684669785E-3</v>
      </c>
      <c r="E435" s="32">
        <f t="shared" ca="1" si="55"/>
        <v>-1.3402290185753988E-2</v>
      </c>
      <c r="F435" s="18">
        <f t="shared" ca="1" si="56"/>
        <v>57.528513445866395</v>
      </c>
      <c r="G435" s="19">
        <f t="shared" ca="1" si="57"/>
        <v>0.78148755413360504</v>
      </c>
      <c r="H435" s="27">
        <v>59.630001</v>
      </c>
      <c r="I435" s="19">
        <f t="shared" si="58"/>
        <v>1.3254087111438828E-2</v>
      </c>
      <c r="J435" s="19">
        <f t="shared" ca="1" si="59"/>
        <v>1.1910405110867659E-2</v>
      </c>
      <c r="K435" s="19">
        <f t="shared" ca="1" si="60"/>
        <v>84.48439769888553</v>
      </c>
      <c r="L435" s="19">
        <f t="shared" ca="1" si="61"/>
        <v>-0.99439969888553037</v>
      </c>
      <c r="M435" s="19">
        <f t="shared" ca="1" si="62"/>
        <v>-0.21291214475192533</v>
      </c>
      <c r="AA435" s="37">
        <v>415</v>
      </c>
      <c r="AB435" s="37">
        <v>1.8256582257906435</v>
      </c>
      <c r="AC435" s="37">
        <v>2.8681940295027371</v>
      </c>
      <c r="AD435" s="37">
        <v>3.4775380964519327</v>
      </c>
    </row>
    <row r="436" spans="2:30" x14ac:dyDescent="0.3">
      <c r="B436" s="28">
        <v>43265</v>
      </c>
      <c r="C436" s="25">
        <v>36.729999999999997</v>
      </c>
      <c r="D436" s="18">
        <f t="shared" si="54"/>
        <v>5.4749796188058308E-3</v>
      </c>
      <c r="E436" s="32">
        <f t="shared" ca="1" si="55"/>
        <v>-1.162572989810394E-2</v>
      </c>
      <c r="F436" s="18">
        <f t="shared" ca="1" si="56"/>
        <v>57.632104678015828</v>
      </c>
      <c r="G436" s="19">
        <f t="shared" ca="1" si="57"/>
        <v>0.67789632198417138</v>
      </c>
      <c r="H436" s="27">
        <v>59.110000999999997</v>
      </c>
      <c r="I436" s="19">
        <f t="shared" si="58"/>
        <v>-8.7204425839269017E-3</v>
      </c>
      <c r="J436" s="19">
        <f t="shared" ca="1" si="59"/>
        <v>-3.3052035681540616E-3</v>
      </c>
      <c r="K436" s="19">
        <f t="shared" ca="1" si="60"/>
        <v>83.214046560705214</v>
      </c>
      <c r="L436" s="19">
        <f t="shared" ca="1" si="61"/>
        <v>0.27595143929478638</v>
      </c>
      <c r="M436" s="19">
        <f t="shared" ca="1" si="62"/>
        <v>0.95384776127895776</v>
      </c>
      <c r="AA436" s="37">
        <v>416</v>
      </c>
      <c r="AB436" s="37">
        <v>1.7827358136301859</v>
      </c>
      <c r="AC436" s="37">
        <v>2.9531697552263734</v>
      </c>
      <c r="AD436" s="37">
        <v>3.4159403469261962</v>
      </c>
    </row>
    <row r="437" spans="2:30" x14ac:dyDescent="0.3">
      <c r="B437" s="28">
        <v>43266</v>
      </c>
      <c r="C437" s="25">
        <v>36.869999</v>
      </c>
      <c r="D437" s="18">
        <f t="shared" si="54"/>
        <v>3.8115709229513683E-3</v>
      </c>
      <c r="E437" s="32">
        <f t="shared" ca="1" si="55"/>
        <v>8.8953725899645671E-3</v>
      </c>
      <c r="F437" s="18">
        <f t="shared" ca="1" si="56"/>
        <v>58.828690184616207</v>
      </c>
      <c r="G437" s="19">
        <f t="shared" ca="1" si="57"/>
        <v>-0.51868918461620694</v>
      </c>
      <c r="H437" s="27">
        <v>58.740001999999997</v>
      </c>
      <c r="I437" s="19">
        <f t="shared" si="58"/>
        <v>-6.2594991328117633E-3</v>
      </c>
      <c r="J437" s="19">
        <f t="shared" ca="1" si="59"/>
        <v>-2.2891819888853339E-2</v>
      </c>
      <c r="K437" s="19">
        <f t="shared" ca="1" si="60"/>
        <v>81.57876000326327</v>
      </c>
      <c r="L437" s="19">
        <f t="shared" ca="1" si="61"/>
        <v>1.9112379967367303</v>
      </c>
      <c r="M437" s="19">
        <f t="shared" ca="1" si="62"/>
        <v>1.3925488121205234</v>
      </c>
      <c r="AA437" s="37">
        <v>417</v>
      </c>
      <c r="AB437" s="37">
        <v>1.7596743596776412</v>
      </c>
      <c r="AC437" s="37">
        <v>2.9147754552441087</v>
      </c>
      <c r="AD437" s="37">
        <v>3.0110925257653709</v>
      </c>
    </row>
    <row r="438" spans="2:30" x14ac:dyDescent="0.3">
      <c r="B438" s="28">
        <v>43269</v>
      </c>
      <c r="C438" s="25">
        <v>37.110000999999997</v>
      </c>
      <c r="D438" s="18">
        <f t="shared" si="54"/>
        <v>6.5094116221700027E-3</v>
      </c>
      <c r="E438" s="32">
        <f t="shared" ca="1" si="55"/>
        <v>2.5550698354612229E-3</v>
      </c>
      <c r="F438" s="18">
        <f t="shared" ca="1" si="56"/>
        <v>58.458987124660815</v>
      </c>
      <c r="G438" s="19">
        <f t="shared" ca="1" si="57"/>
        <v>-0.14898612466081573</v>
      </c>
      <c r="H438" s="27">
        <v>58.459999000000003</v>
      </c>
      <c r="I438" s="19">
        <f t="shared" si="58"/>
        <v>-4.7668197219331576E-3</v>
      </c>
      <c r="J438" s="19">
        <f t="shared" ca="1" si="59"/>
        <v>1.8892048348259433E-2</v>
      </c>
      <c r="K438" s="19">
        <f t="shared" ca="1" si="60"/>
        <v>85.067295078812094</v>
      </c>
      <c r="L438" s="19">
        <f t="shared" ca="1" si="61"/>
        <v>-1.5772970788120944</v>
      </c>
      <c r="M438" s="19">
        <f t="shared" ca="1" si="62"/>
        <v>-1.7262832034729101</v>
      </c>
      <c r="AA438" s="37">
        <v>418</v>
      </c>
      <c r="AB438" s="37">
        <v>1.8351622775296992</v>
      </c>
      <c r="AC438" s="37">
        <v>2.8254902684780343</v>
      </c>
      <c r="AD438" s="37">
        <v>3.16235590521985</v>
      </c>
    </row>
    <row r="439" spans="2:30" x14ac:dyDescent="0.3">
      <c r="B439" s="28">
        <v>43270</v>
      </c>
      <c r="C439" s="25">
        <v>37</v>
      </c>
      <c r="D439" s="18">
        <f t="shared" si="54"/>
        <v>-2.9641874706496374E-3</v>
      </c>
      <c r="E439" s="32">
        <f t="shared" ca="1" si="55"/>
        <v>3.0079769346580102E-3</v>
      </c>
      <c r="F439" s="18">
        <f t="shared" ca="1" si="56"/>
        <v>58.485396138067884</v>
      </c>
      <c r="G439" s="19">
        <f t="shared" ca="1" si="57"/>
        <v>-0.1753951380678842</v>
      </c>
      <c r="H439" s="27">
        <v>57.34</v>
      </c>
      <c r="I439" s="19">
        <f t="shared" si="58"/>
        <v>-1.915838212723886E-2</v>
      </c>
      <c r="J439" s="19">
        <f t="shared" ca="1" si="59"/>
        <v>-5.7097745596394025E-3</v>
      </c>
      <c r="K439" s="19">
        <f t="shared" ca="1" si="60"/>
        <v>83.013288933435263</v>
      </c>
      <c r="L439" s="19">
        <f t="shared" ca="1" si="61"/>
        <v>0.47670906656473733</v>
      </c>
      <c r="M439" s="19">
        <f t="shared" ca="1" si="62"/>
        <v>0.30131392849685312</v>
      </c>
      <c r="AA439" s="37">
        <v>419</v>
      </c>
      <c r="AB439" s="37">
        <v>1.7610613391337593</v>
      </c>
      <c r="AC439" s="37">
        <v>2.8750454781739982</v>
      </c>
      <c r="AD439" s="37">
        <v>3.3266839413286058</v>
      </c>
    </row>
    <row r="440" spans="2:30" x14ac:dyDescent="0.3">
      <c r="B440" s="28">
        <v>43271</v>
      </c>
      <c r="C440" s="25">
        <v>37.029998999999997</v>
      </c>
      <c r="D440" s="18">
        <f t="shared" si="54"/>
        <v>8.107837837836307E-4</v>
      </c>
      <c r="E440" s="32">
        <f t="shared" ca="1" si="55"/>
        <v>4.2790335368742263E-3</v>
      </c>
      <c r="F440" s="18">
        <f t="shared" ca="1" si="56"/>
        <v>58.559511449814174</v>
      </c>
      <c r="G440" s="19">
        <f t="shared" ca="1" si="57"/>
        <v>-0.24951044981417425</v>
      </c>
      <c r="H440" s="27">
        <v>57.779998999999997</v>
      </c>
      <c r="I440" s="19">
        <f t="shared" si="58"/>
        <v>7.6735088943145069E-3</v>
      </c>
      <c r="J440" s="19">
        <f t="shared" ca="1" si="59"/>
        <v>6.2421765260923098E-3</v>
      </c>
      <c r="K440" s="19">
        <f t="shared" ca="1" si="60"/>
        <v>84.011157305679092</v>
      </c>
      <c r="L440" s="19">
        <f t="shared" ca="1" si="61"/>
        <v>-0.52115930567909174</v>
      </c>
      <c r="M440" s="19">
        <f t="shared" ca="1" si="62"/>
        <v>-0.770669755493266</v>
      </c>
      <c r="AA440" s="37">
        <v>420</v>
      </c>
      <c r="AB440" s="37">
        <v>1.8235175719590164</v>
      </c>
      <c r="AC440" s="37">
        <v>2.9516230108076225</v>
      </c>
      <c r="AD440" s="37">
        <v>3.3022577129465613</v>
      </c>
    </row>
    <row r="441" spans="2:30" x14ac:dyDescent="0.3">
      <c r="B441" s="28">
        <v>43272</v>
      </c>
      <c r="C441" s="25">
        <v>36.779998999999997</v>
      </c>
      <c r="D441" s="18">
        <f t="shared" si="54"/>
        <v>-6.7512829260405471E-3</v>
      </c>
      <c r="E441" s="32">
        <f t="shared" ca="1" si="55"/>
        <v>-1.673561086469039E-3</v>
      </c>
      <c r="F441" s="18">
        <f t="shared" ca="1" si="56"/>
        <v>58.212415651374435</v>
      </c>
      <c r="G441" s="19">
        <f t="shared" ca="1" si="57"/>
        <v>9.758534862556445E-2</v>
      </c>
      <c r="H441" s="27">
        <v>57.419998</v>
      </c>
      <c r="I441" s="19">
        <f t="shared" si="58"/>
        <v>-6.2305470098744653E-3</v>
      </c>
      <c r="J441" s="19">
        <f t="shared" ca="1" si="59"/>
        <v>3.6623677523436572E-2</v>
      </c>
      <c r="K441" s="19">
        <f t="shared" ca="1" si="60"/>
        <v>86.54770876318436</v>
      </c>
      <c r="L441" s="19">
        <f t="shared" ca="1" si="61"/>
        <v>-3.0577107631843603</v>
      </c>
      <c r="M441" s="19">
        <f t="shared" ca="1" si="62"/>
        <v>-2.9601254145587959</v>
      </c>
      <c r="AA441" s="37">
        <v>421</v>
      </c>
      <c r="AB441" s="37">
        <v>1.6979022749349353</v>
      </c>
      <c r="AC441" s="37">
        <v>3.0395127281170509</v>
      </c>
      <c r="AD441" s="37">
        <v>3.4090170719841137</v>
      </c>
    </row>
    <row r="442" spans="2:30" x14ac:dyDescent="0.3">
      <c r="B442" s="28">
        <v>43273</v>
      </c>
      <c r="C442" s="25">
        <v>37.220001000000003</v>
      </c>
      <c r="D442" s="18">
        <f t="shared" si="54"/>
        <v>1.1963078084912482E-2</v>
      </c>
      <c r="E442" s="32">
        <f t="shared" ca="1" si="55"/>
        <v>-1.1674971679218722E-2</v>
      </c>
      <c r="F442" s="18">
        <f t="shared" ca="1" si="56"/>
        <v>57.629233389709782</v>
      </c>
      <c r="G442" s="19">
        <f t="shared" ca="1" si="57"/>
        <v>0.68076761029021782</v>
      </c>
      <c r="H442" s="27">
        <v>57.16</v>
      </c>
      <c r="I442" s="19">
        <f t="shared" si="58"/>
        <v>-4.528004337443603E-3</v>
      </c>
      <c r="J442" s="19">
        <f t="shared" ca="1" si="59"/>
        <v>-2.8897633548114796E-2</v>
      </c>
      <c r="K442" s="19">
        <f t="shared" ca="1" si="60"/>
        <v>81.077334632863156</v>
      </c>
      <c r="L442" s="19">
        <f t="shared" ca="1" si="61"/>
        <v>2.4126633671368438</v>
      </c>
      <c r="M442" s="19">
        <f t="shared" ca="1" si="62"/>
        <v>3.0934309774270616</v>
      </c>
      <c r="AA442" s="37">
        <v>422</v>
      </c>
      <c r="AB442" s="37">
        <v>1.6723729291795082</v>
      </c>
      <c r="AC442" s="37">
        <v>3.0145414559847805</v>
      </c>
      <c r="AD442" s="37">
        <v>3.4854922667837944</v>
      </c>
    </row>
    <row r="443" spans="2:30" x14ac:dyDescent="0.3">
      <c r="B443" s="28">
        <v>43276</v>
      </c>
      <c r="C443" s="25">
        <v>37.310001</v>
      </c>
      <c r="D443" s="18">
        <f t="shared" si="54"/>
        <v>2.4180547442758105E-3</v>
      </c>
      <c r="E443" s="32">
        <f t="shared" ca="1" si="55"/>
        <v>-1.944349799129556E-2</v>
      </c>
      <c r="F443" s="18">
        <f t="shared" ca="1" si="56"/>
        <v>57.176250612684058</v>
      </c>
      <c r="G443" s="19">
        <f t="shared" ca="1" si="57"/>
        <v>1.133750387315942</v>
      </c>
      <c r="H443" s="27">
        <v>56.919998</v>
      </c>
      <c r="I443" s="19">
        <f t="shared" si="58"/>
        <v>-4.1987753673897732E-3</v>
      </c>
      <c r="J443" s="19">
        <f t="shared" ca="1" si="59"/>
        <v>2.7876446341785883E-2</v>
      </c>
      <c r="K443" s="19">
        <f t="shared" ca="1" si="60"/>
        <v>85.817402449322813</v>
      </c>
      <c r="L443" s="19">
        <f t="shared" ca="1" si="61"/>
        <v>-2.3274044493228132</v>
      </c>
      <c r="M443" s="19">
        <f t="shared" ca="1" si="62"/>
        <v>-1.1936540620068712</v>
      </c>
      <c r="AA443" s="37">
        <v>423</v>
      </c>
      <c r="AB443" s="37">
        <v>1.7933018919614039</v>
      </c>
      <c r="AC443" s="37">
        <v>3.0644491064101356</v>
      </c>
      <c r="AD443" s="37">
        <v>3.3410398331417319</v>
      </c>
    </row>
    <row r="444" spans="2:30" x14ac:dyDescent="0.3">
      <c r="B444" s="28">
        <v>43277</v>
      </c>
      <c r="C444" s="25">
        <v>37.220001000000003</v>
      </c>
      <c r="D444" s="18">
        <f t="shared" si="54"/>
        <v>-2.4122218597634193E-3</v>
      </c>
      <c r="E444" s="32">
        <f t="shared" ca="1" si="55"/>
        <v>-2.3457626000466348E-2</v>
      </c>
      <c r="F444" s="18">
        <f t="shared" ca="1" si="56"/>
        <v>56.942186804455183</v>
      </c>
      <c r="G444" s="19">
        <f t="shared" ca="1" si="57"/>
        <v>1.3678141955448169</v>
      </c>
      <c r="H444" s="27">
        <v>56.200001</v>
      </c>
      <c r="I444" s="19">
        <f t="shared" si="58"/>
        <v>-1.2649280135252239E-2</v>
      </c>
      <c r="J444" s="19">
        <f t="shared" ca="1" si="59"/>
        <v>-3.2064211255970566E-2</v>
      </c>
      <c r="K444" s="19">
        <f t="shared" ca="1" si="60"/>
        <v>80.812957066367431</v>
      </c>
      <c r="L444" s="19">
        <f t="shared" ca="1" si="61"/>
        <v>2.6770409336325685</v>
      </c>
      <c r="M444" s="19">
        <f t="shared" ca="1" si="62"/>
        <v>4.0448551291773853</v>
      </c>
      <c r="AA444" s="37">
        <v>424</v>
      </c>
      <c r="AB444" s="37">
        <v>1.8727905232720046</v>
      </c>
      <c r="AC444" s="37">
        <v>2.7246072650081952</v>
      </c>
      <c r="AD444" s="37">
        <v>3.5968178190723603</v>
      </c>
    </row>
    <row r="445" spans="2:30" x14ac:dyDescent="0.3">
      <c r="B445" s="28">
        <v>43278</v>
      </c>
      <c r="C445" s="25">
        <v>36.659999999999997</v>
      </c>
      <c r="D445" s="18">
        <f t="shared" si="54"/>
        <v>-1.5045700831657904E-2</v>
      </c>
      <c r="E445" s="32">
        <f t="shared" ca="1" si="55"/>
        <v>-1.3275906023467758E-2</v>
      </c>
      <c r="F445" s="18">
        <f t="shared" ca="1" si="56"/>
        <v>57.535882906495694</v>
      </c>
      <c r="G445" s="19">
        <f t="shared" ca="1" si="57"/>
        <v>0.77411809350430616</v>
      </c>
      <c r="H445" s="27">
        <v>55.810001</v>
      </c>
      <c r="I445" s="19">
        <f t="shared" si="58"/>
        <v>-6.9395016558807532E-3</v>
      </c>
      <c r="J445" s="19">
        <f t="shared" ca="1" si="59"/>
        <v>1.9854137421038535E-2</v>
      </c>
      <c r="K445" s="19">
        <f t="shared" ca="1" si="60"/>
        <v>85.14761989357423</v>
      </c>
      <c r="L445" s="19">
        <f t="shared" ca="1" si="61"/>
        <v>-1.6576218935742304</v>
      </c>
      <c r="M445" s="19">
        <f t="shared" ca="1" si="62"/>
        <v>-0.88350380006992424</v>
      </c>
      <c r="AA445" s="37">
        <v>425</v>
      </c>
      <c r="AB445" s="37">
        <v>1.6941284326130956</v>
      </c>
      <c r="AC445" s="37">
        <v>2.8508217729716163</v>
      </c>
      <c r="AD445" s="37">
        <v>3.2158700181227138</v>
      </c>
    </row>
    <row r="446" spans="2:30" x14ac:dyDescent="0.3">
      <c r="B446" s="28">
        <v>43279</v>
      </c>
      <c r="C446" s="25">
        <v>37.119999</v>
      </c>
      <c r="D446" s="18">
        <f t="shared" si="54"/>
        <v>1.2547708674304436E-2</v>
      </c>
      <c r="E446" s="32">
        <f t="shared" ca="1" si="55"/>
        <v>4.2588616242821883E-2</v>
      </c>
      <c r="F446" s="18">
        <f t="shared" ca="1" si="56"/>
        <v>60.793343255707562</v>
      </c>
      <c r="G446" s="19">
        <f t="shared" ca="1" si="57"/>
        <v>-2.4833422557075622</v>
      </c>
      <c r="H446" s="27">
        <v>55.860000999999997</v>
      </c>
      <c r="I446" s="19">
        <f t="shared" si="58"/>
        <v>8.9589677663681755E-4</v>
      </c>
      <c r="J446" s="19">
        <f t="shared" ca="1" si="59"/>
        <v>-1.7954155398592176E-2</v>
      </c>
      <c r="K446" s="19">
        <f t="shared" ca="1" si="60"/>
        <v>81.991005601679859</v>
      </c>
      <c r="L446" s="19">
        <f t="shared" ca="1" si="61"/>
        <v>1.4989923983201408</v>
      </c>
      <c r="M446" s="19">
        <f t="shared" ca="1" si="62"/>
        <v>-0.98434985738742142</v>
      </c>
      <c r="AA446" s="37">
        <v>426</v>
      </c>
      <c r="AB446" s="37">
        <v>1.7105726565954191</v>
      </c>
      <c r="AC446" s="37">
        <v>2.8823495138635189</v>
      </c>
      <c r="AD446" s="37">
        <v>3.194493687900505</v>
      </c>
    </row>
    <row r="447" spans="2:30" x14ac:dyDescent="0.3">
      <c r="B447" s="28">
        <v>43280</v>
      </c>
      <c r="C447" s="25">
        <v>38.689999</v>
      </c>
      <c r="D447" s="18">
        <f t="shared" si="54"/>
        <v>4.2295259760109394E-2</v>
      </c>
      <c r="E447" s="32">
        <f t="shared" ca="1" si="55"/>
        <v>2.0325679839963653E-2</v>
      </c>
      <c r="F447" s="18">
        <f t="shared" ca="1" si="56"/>
        <v>59.495191411793954</v>
      </c>
      <c r="G447" s="19">
        <f t="shared" ca="1" si="57"/>
        <v>-1.185190411793954</v>
      </c>
      <c r="H447" s="27">
        <v>56.389999000000003</v>
      </c>
      <c r="I447" s="19">
        <f t="shared" si="58"/>
        <v>9.4879697549594688E-3</v>
      </c>
      <c r="J447" s="19">
        <f t="shared" ca="1" si="59"/>
        <v>-2.7747435574744891E-2</v>
      </c>
      <c r="K447" s="19">
        <f t="shared" ca="1" si="60"/>
        <v>81.173364659359422</v>
      </c>
      <c r="L447" s="19">
        <f t="shared" ca="1" si="61"/>
        <v>2.3166333406405784</v>
      </c>
      <c r="M447" s="19">
        <f t="shared" ca="1" si="62"/>
        <v>1.1314429288466243</v>
      </c>
      <c r="AA447" s="37">
        <v>427</v>
      </c>
      <c r="AB447" s="37">
        <v>1.7950025971702042</v>
      </c>
      <c r="AC447" s="37">
        <v>2.9014178169275211</v>
      </c>
      <c r="AD447" s="37">
        <v>3.1920940885792772</v>
      </c>
    </row>
    <row r="448" spans="2:30" x14ac:dyDescent="0.3">
      <c r="B448" s="28">
        <v>43283</v>
      </c>
      <c r="C448" s="25">
        <v>37.439999</v>
      </c>
      <c r="D448" s="18">
        <f t="shared" si="54"/>
        <v>-3.2308090780772569E-2</v>
      </c>
      <c r="E448" s="32">
        <f t="shared" ca="1" si="55"/>
        <v>-5.9799694420798896E-2</v>
      </c>
      <c r="F448" s="18">
        <f t="shared" ca="1" si="56"/>
        <v>54.823080758523524</v>
      </c>
      <c r="G448" s="19">
        <f t="shared" ca="1" si="57"/>
        <v>3.4869202414764757</v>
      </c>
      <c r="H448" s="27">
        <v>55.810001</v>
      </c>
      <c r="I448" s="19">
        <f t="shared" si="58"/>
        <v>-1.0285476330652243E-2</v>
      </c>
      <c r="J448" s="19">
        <f t="shared" ca="1" si="59"/>
        <v>8.8185749341450244E-3</v>
      </c>
      <c r="K448" s="19">
        <f t="shared" ca="1" si="60"/>
        <v>84.226260803614608</v>
      </c>
      <c r="L448" s="19">
        <f t="shared" ca="1" si="61"/>
        <v>-0.73626280361460772</v>
      </c>
      <c r="M448" s="19">
        <f t="shared" ca="1" si="62"/>
        <v>2.750657437861868</v>
      </c>
      <c r="AA448" s="37">
        <v>428</v>
      </c>
      <c r="AB448" s="37">
        <v>1.8533941566877163</v>
      </c>
      <c r="AC448" s="37">
        <v>2.9063484310895489</v>
      </c>
      <c r="AD448" s="37">
        <v>3.2364744618235917</v>
      </c>
    </row>
    <row r="449" spans="2:30" x14ac:dyDescent="0.3">
      <c r="B449" s="28">
        <v>43284</v>
      </c>
      <c r="C449" s="25">
        <v>37.07</v>
      </c>
      <c r="D449" s="18">
        <f t="shared" si="54"/>
        <v>-9.8824521870313209E-3</v>
      </c>
      <c r="E449" s="32">
        <f t="shared" ca="1" si="55"/>
        <v>-6.3948969857833583E-3</v>
      </c>
      <c r="F449" s="18">
        <f t="shared" ca="1" si="56"/>
        <v>57.937114550364079</v>
      </c>
      <c r="G449" s="19">
        <f t="shared" ca="1" si="57"/>
        <v>0.37288644963592077</v>
      </c>
      <c r="H449" s="27">
        <v>55.400002000000001</v>
      </c>
      <c r="I449" s="19">
        <f t="shared" si="58"/>
        <v>-7.3463356504867017E-3</v>
      </c>
      <c r="J449" s="19">
        <f t="shared" ca="1" si="59"/>
        <v>-5.6807619513256019E-3</v>
      </c>
      <c r="K449" s="19">
        <f t="shared" ca="1" si="60"/>
        <v>83.015711196045345</v>
      </c>
      <c r="L449" s="19">
        <f t="shared" ca="1" si="61"/>
        <v>0.47428680395465506</v>
      </c>
      <c r="M449" s="19">
        <f t="shared" ca="1" si="62"/>
        <v>0.84717325359057583</v>
      </c>
      <c r="AA449" s="37">
        <v>429</v>
      </c>
      <c r="AB449" s="37">
        <v>1.7889803365987462</v>
      </c>
      <c r="AC449" s="37">
        <v>2.8759158228926429</v>
      </c>
      <c r="AD449" s="37">
        <v>3.2514481937772981</v>
      </c>
    </row>
    <row r="450" spans="2:30" x14ac:dyDescent="0.3">
      <c r="B450" s="28">
        <v>43285</v>
      </c>
      <c r="C450" s="25">
        <v>37.919998</v>
      </c>
      <c r="D450" s="18">
        <f t="shared" si="54"/>
        <v>2.2929538710547703E-2</v>
      </c>
      <c r="E450" s="32">
        <f t="shared" ca="1" si="55"/>
        <v>1.3788657762317592E-2</v>
      </c>
      <c r="F450" s="18">
        <f t="shared" ca="1" si="56"/>
        <v>59.114017647909399</v>
      </c>
      <c r="G450" s="19">
        <f t="shared" ca="1" si="57"/>
        <v>-0.80401664790939975</v>
      </c>
      <c r="H450" s="27">
        <v>54.970001000000003</v>
      </c>
      <c r="I450" s="19">
        <f t="shared" si="58"/>
        <v>-7.7617506223194299E-3</v>
      </c>
      <c r="J450" s="19">
        <f t="shared" ca="1" si="59"/>
        <v>3.9816831579291445E-2</v>
      </c>
      <c r="K450" s="19">
        <f t="shared" ca="1" si="60"/>
        <v>86.814305188921381</v>
      </c>
      <c r="L450" s="19">
        <f t="shared" ca="1" si="61"/>
        <v>-3.3243071889213809</v>
      </c>
      <c r="M450" s="19">
        <f t="shared" ca="1" si="62"/>
        <v>-4.1283238368307806</v>
      </c>
      <c r="AA450" s="37">
        <v>430</v>
      </c>
      <c r="AB450" s="37">
        <v>1.7385781814325094</v>
      </c>
      <c r="AC450" s="37">
        <v>2.9609141894249089</v>
      </c>
      <c r="AD450" s="37">
        <v>3.5608765160510201</v>
      </c>
    </row>
    <row r="451" spans="2:30" x14ac:dyDescent="0.3">
      <c r="B451" s="28">
        <v>43286</v>
      </c>
      <c r="C451" s="25">
        <v>39.759998000000003</v>
      </c>
      <c r="D451" s="18">
        <f t="shared" si="54"/>
        <v>4.8523209310295856E-2</v>
      </c>
      <c r="E451" s="32">
        <f t="shared" ca="1" si="55"/>
        <v>2.3812067355913125E-2</v>
      </c>
      <c r="F451" s="18">
        <f t="shared" ca="1" si="56"/>
        <v>59.69848267133537</v>
      </c>
      <c r="G451" s="19">
        <f t="shared" ca="1" si="57"/>
        <v>-1.38848167133537</v>
      </c>
      <c r="H451" s="27">
        <v>56.02</v>
      </c>
      <c r="I451" s="19">
        <f t="shared" si="58"/>
        <v>1.9101309457862259E-2</v>
      </c>
      <c r="J451" s="19">
        <f t="shared" ca="1" si="59"/>
        <v>-1.4201794022956861E-2</v>
      </c>
      <c r="K451" s="19">
        <f t="shared" ca="1" si="60"/>
        <v>82.304290245426927</v>
      </c>
      <c r="L451" s="19">
        <f t="shared" ca="1" si="61"/>
        <v>1.1857077545730732</v>
      </c>
      <c r="M451" s="19">
        <f t="shared" ca="1" si="62"/>
        <v>-0.20277391676229684</v>
      </c>
      <c r="AA451" s="37">
        <v>431</v>
      </c>
      <c r="AB451" s="37">
        <v>1.8118403512899952</v>
      </c>
      <c r="AC451" s="37">
        <v>2.7394378438119871</v>
      </c>
      <c r="AD451" s="37">
        <v>3.513267980241725</v>
      </c>
    </row>
    <row r="452" spans="2:30" x14ac:dyDescent="0.3">
      <c r="B452" s="28">
        <v>43287</v>
      </c>
      <c r="C452" s="25">
        <v>40.310001</v>
      </c>
      <c r="D452" s="18">
        <f t="shared" si="54"/>
        <v>1.3833074136472501E-2</v>
      </c>
      <c r="E452" s="32">
        <f t="shared" ca="1" si="55"/>
        <v>2.9373815494353529E-3</v>
      </c>
      <c r="F452" s="18">
        <f t="shared" ca="1" si="56"/>
        <v>58.48127972108496</v>
      </c>
      <c r="G452" s="19">
        <f t="shared" ca="1" si="57"/>
        <v>-0.17127872108495978</v>
      </c>
      <c r="H452" s="27">
        <v>55.810001</v>
      </c>
      <c r="I452" s="19">
        <f t="shared" si="58"/>
        <v>-3.7486433416638043E-3</v>
      </c>
      <c r="J452" s="19">
        <f t="shared" ca="1" si="59"/>
        <v>9.0362007593122566E-3</v>
      </c>
      <c r="K452" s="19">
        <f t="shared" ca="1" si="60"/>
        <v>84.24443038332258</v>
      </c>
      <c r="L452" s="19">
        <f t="shared" ca="1" si="61"/>
        <v>-0.75443238332258034</v>
      </c>
      <c r="M452" s="19">
        <f t="shared" ca="1" si="62"/>
        <v>-0.92571110440754012</v>
      </c>
      <c r="AA452" s="37">
        <v>432</v>
      </c>
      <c r="AB452" s="37">
        <v>1.7649323618659596</v>
      </c>
      <c r="AC452" s="37">
        <v>2.8455475966840429</v>
      </c>
      <c r="AD452" s="37">
        <v>3.5085341814881921</v>
      </c>
    </row>
    <row r="453" spans="2:30" x14ac:dyDescent="0.3">
      <c r="B453" s="28">
        <v>43290</v>
      </c>
      <c r="C453" s="25">
        <v>40.389999000000003</v>
      </c>
      <c r="D453" s="18">
        <f t="shared" si="54"/>
        <v>1.9845695364781868E-3</v>
      </c>
      <c r="E453" s="32">
        <f t="shared" ca="1" si="55"/>
        <v>8.3122163466062046E-3</v>
      </c>
      <c r="F453" s="18">
        <f t="shared" ca="1" si="56"/>
        <v>58.79468634348283</v>
      </c>
      <c r="G453" s="19">
        <f t="shared" ca="1" si="57"/>
        <v>-0.48468534348283043</v>
      </c>
      <c r="H453" s="27">
        <v>57.459999000000003</v>
      </c>
      <c r="I453" s="19">
        <f t="shared" si="58"/>
        <v>2.9564557793145374E-2</v>
      </c>
      <c r="J453" s="19">
        <f t="shared" ca="1" si="59"/>
        <v>8.5638738831640693E-3</v>
      </c>
      <c r="K453" s="19">
        <f t="shared" ca="1" si="60"/>
        <v>84.204995813377622</v>
      </c>
      <c r="L453" s="19">
        <f t="shared" ca="1" si="61"/>
        <v>-0.71499781337762158</v>
      </c>
      <c r="M453" s="19">
        <f t="shared" ca="1" si="62"/>
        <v>-1.199683156860452</v>
      </c>
      <c r="AA453" s="37">
        <v>433</v>
      </c>
      <c r="AB453" s="37">
        <v>1.7743006365850706</v>
      </c>
      <c r="AC453" s="37">
        <v>2.9696545408633779</v>
      </c>
      <c r="AD453" s="37">
        <v>3.280600423704183</v>
      </c>
    </row>
    <row r="454" spans="2:30" x14ac:dyDescent="0.3">
      <c r="B454" s="28">
        <v>43291</v>
      </c>
      <c r="C454" s="25">
        <v>40.299999</v>
      </c>
      <c r="D454" s="18">
        <f t="shared" si="54"/>
        <v>-2.2282743804971084E-3</v>
      </c>
      <c r="E454" s="32">
        <f t="shared" ca="1" si="55"/>
        <v>4.3779673369793758E-3</v>
      </c>
      <c r="F454" s="18">
        <f t="shared" ca="1" si="56"/>
        <v>58.565280279797243</v>
      </c>
      <c r="G454" s="19">
        <f t="shared" ca="1" si="57"/>
        <v>-0.25527927979724296</v>
      </c>
      <c r="H454" s="27">
        <v>56.57</v>
      </c>
      <c r="I454" s="19">
        <f t="shared" si="58"/>
        <v>-1.5489018717177561E-2</v>
      </c>
      <c r="J454" s="19">
        <f t="shared" ca="1" si="59"/>
        <v>-2.8525712068929527E-2</v>
      </c>
      <c r="K454" s="19">
        <f t="shared" ca="1" si="60"/>
        <v>81.108386356416503</v>
      </c>
      <c r="L454" s="19">
        <f t="shared" ca="1" si="61"/>
        <v>2.3816116435834971</v>
      </c>
      <c r="M454" s="19">
        <f t="shared" ca="1" si="62"/>
        <v>2.1263323637862541</v>
      </c>
      <c r="AA454" s="37">
        <v>434</v>
      </c>
      <c r="AB454" s="37">
        <v>1.7651244475287156</v>
      </c>
      <c r="AC454" s="37">
        <v>2.7437099548661843</v>
      </c>
      <c r="AD454" s="37">
        <v>3.1539059843842874</v>
      </c>
    </row>
    <row r="455" spans="2:30" x14ac:dyDescent="0.3">
      <c r="B455" s="28">
        <v>43292</v>
      </c>
      <c r="C455" s="25">
        <v>39.939999</v>
      </c>
      <c r="D455" s="18">
        <f t="shared" si="54"/>
        <v>-8.9330027030521952E-3</v>
      </c>
      <c r="E455" s="32">
        <f t="shared" ca="1" si="55"/>
        <v>4.2890284474063983E-2</v>
      </c>
      <c r="F455" s="18">
        <f t="shared" ca="1" si="56"/>
        <v>60.810933530572953</v>
      </c>
      <c r="G455" s="19">
        <f t="shared" ca="1" si="57"/>
        <v>-2.5009325305729533</v>
      </c>
      <c r="H455" s="27">
        <v>55.009998000000003</v>
      </c>
      <c r="I455" s="19">
        <f t="shared" si="58"/>
        <v>-2.7576489305285445E-2</v>
      </c>
      <c r="J455" s="19">
        <f t="shared" ca="1" si="59"/>
        <v>5.4103219736585499E-4</v>
      </c>
      <c r="K455" s="19">
        <f t="shared" ca="1" si="60"/>
        <v>83.535168777076009</v>
      </c>
      <c r="L455" s="19">
        <f t="shared" ca="1" si="61"/>
        <v>-4.5170777076009472E-2</v>
      </c>
      <c r="M455" s="19">
        <f t="shared" ca="1" si="62"/>
        <v>-2.5461033076489628</v>
      </c>
      <c r="AA455" s="37">
        <v>435</v>
      </c>
      <c r="AB455" s="37">
        <v>1.8676479762859028</v>
      </c>
      <c r="AC455" s="37">
        <v>2.948746297540509</v>
      </c>
      <c r="AD455" s="37">
        <v>3.4049292352330065</v>
      </c>
    </row>
    <row r="456" spans="2:30" x14ac:dyDescent="0.3">
      <c r="B456" s="28">
        <v>43293</v>
      </c>
      <c r="C456" s="25">
        <v>40.009998000000003</v>
      </c>
      <c r="D456" s="18">
        <f t="shared" ref="D456:D519" si="63">C456/C455-1</f>
        <v>1.7526039497397505E-3</v>
      </c>
      <c r="E456" s="32">
        <f t="shared" ref="E456:E519" ca="1" si="64">NORMINV(RAND(),$E$3,$E$4)</f>
        <v>1.0028313315075109E-2</v>
      </c>
      <c r="F456" s="18">
        <f t="shared" ref="F456:F519" ca="1" si="65">$C$1261*(1+E456)</f>
        <v>58.894751959430344</v>
      </c>
      <c r="G456" s="19">
        <f t="shared" ref="G456:G519" ca="1" si="66">$C$1261-F456</f>
        <v>-0.58475095943034461</v>
      </c>
      <c r="H456" s="27">
        <v>54.330002</v>
      </c>
      <c r="I456" s="19">
        <f t="shared" ref="I456:I519" si="67">H456/H455-1</f>
        <v>-1.2361316573761827E-2</v>
      </c>
      <c r="J456" s="19">
        <f t="shared" ref="J456:J519" ca="1" si="68">NORMINV(RAND(),$J$3,$J$4)</f>
        <v>3.0320948615682637E-3</v>
      </c>
      <c r="K456" s="19">
        <f t="shared" ref="K456:K519" ca="1" si="69">$H$1261*(1+J456)</f>
        <v>83.743147593928143</v>
      </c>
      <c r="L456" s="19">
        <f t="shared" ref="L456:L519" ca="1" si="70">$H$1261-K456</f>
        <v>-0.25314959392814274</v>
      </c>
      <c r="M456" s="19">
        <f t="shared" ref="M456:M519" ca="1" si="71">SUM(G456,L456)</f>
        <v>-0.83790055335848734</v>
      </c>
      <c r="AA456" s="37">
        <v>436</v>
      </c>
      <c r="AB456" s="37">
        <v>1.7651976671698257</v>
      </c>
      <c r="AC456" s="37">
        <v>3.0586328320371448</v>
      </c>
      <c r="AD456" s="37">
        <v>3.0933433158566457</v>
      </c>
    </row>
    <row r="457" spans="2:30" x14ac:dyDescent="0.3">
      <c r="B457" s="28">
        <v>43294</v>
      </c>
      <c r="C457" s="25">
        <v>39.619999</v>
      </c>
      <c r="D457" s="18">
        <f t="shared" si="63"/>
        <v>-9.7475386027263689E-3</v>
      </c>
      <c r="E457" s="32">
        <f t="shared" ca="1" si="64"/>
        <v>-6.9301443652055447E-3</v>
      </c>
      <c r="F457" s="18">
        <f t="shared" ca="1" si="65"/>
        <v>57.905904275134716</v>
      </c>
      <c r="G457" s="19">
        <f t="shared" ca="1" si="66"/>
        <v>0.40409672486528336</v>
      </c>
      <c r="H457" s="27">
        <v>53.41</v>
      </c>
      <c r="I457" s="19">
        <f t="shared" si="67"/>
        <v>-1.6933590394493381E-2</v>
      </c>
      <c r="J457" s="19">
        <f t="shared" ca="1" si="68"/>
        <v>-1.2644246703001873E-2</v>
      </c>
      <c r="K457" s="19">
        <f t="shared" ca="1" si="69"/>
        <v>82.43432986805486</v>
      </c>
      <c r="L457" s="19">
        <f t="shared" ca="1" si="70"/>
        <v>1.05566813194514</v>
      </c>
      <c r="M457" s="19">
        <f t="shared" ca="1" si="71"/>
        <v>1.4597648568104233</v>
      </c>
      <c r="AA457" s="37">
        <v>437</v>
      </c>
      <c r="AB457" s="37">
        <v>1.8568023690978088</v>
      </c>
      <c r="AC457" s="37">
        <v>2.7223246701699604</v>
      </c>
      <c r="AD457" s="37">
        <v>3.4805847628097379</v>
      </c>
    </row>
    <row r="458" spans="2:30" x14ac:dyDescent="0.3">
      <c r="B458" s="28">
        <v>43297</v>
      </c>
      <c r="C458" s="25">
        <v>38.979999999999997</v>
      </c>
      <c r="D458" s="18">
        <f t="shared" si="63"/>
        <v>-1.6153433017502161E-2</v>
      </c>
      <c r="E458" s="32">
        <f t="shared" ca="1" si="64"/>
        <v>-1.8856631626714901E-2</v>
      </c>
      <c r="F458" s="18">
        <f t="shared" ca="1" si="65"/>
        <v>57.210470790989625</v>
      </c>
      <c r="G458" s="19">
        <f t="shared" ca="1" si="66"/>
        <v>1.0995302090103749</v>
      </c>
      <c r="H458" s="27">
        <v>53.400002000000001</v>
      </c>
      <c r="I458" s="19">
        <f t="shared" si="67"/>
        <v>-1.8719340947381813E-4</v>
      </c>
      <c r="J458" s="19">
        <f t="shared" ca="1" si="68"/>
        <v>-4.4258929262476696E-3</v>
      </c>
      <c r="K458" s="19">
        <f t="shared" ca="1" si="69"/>
        <v>83.120480208439375</v>
      </c>
      <c r="L458" s="19">
        <f t="shared" ca="1" si="70"/>
        <v>0.36951779156062514</v>
      </c>
      <c r="M458" s="19">
        <f t="shared" ca="1" si="71"/>
        <v>1.469048000571</v>
      </c>
      <c r="AA458" s="37">
        <v>438</v>
      </c>
      <c r="AB458" s="37">
        <v>1.7903710788004059</v>
      </c>
      <c r="AC458" s="37">
        <v>2.6470493538172031</v>
      </c>
      <c r="AD458" s="37">
        <v>3.125900414894438</v>
      </c>
    </row>
    <row r="459" spans="2:30" x14ac:dyDescent="0.3">
      <c r="B459" s="28">
        <v>43298</v>
      </c>
      <c r="C459" s="25">
        <v>38.18</v>
      </c>
      <c r="D459" s="18">
        <f t="shared" si="63"/>
        <v>-2.0523345305284657E-2</v>
      </c>
      <c r="E459" s="32">
        <f t="shared" ca="1" si="64"/>
        <v>-1.2274092399451495E-2</v>
      </c>
      <c r="F459" s="18">
        <f t="shared" ca="1" si="65"/>
        <v>57.594298659913889</v>
      </c>
      <c r="G459" s="19">
        <f t="shared" ca="1" si="66"/>
        <v>0.71570234008611067</v>
      </c>
      <c r="H459" s="27">
        <v>55.07</v>
      </c>
      <c r="I459" s="19">
        <f t="shared" si="67"/>
        <v>3.127336961522964E-2</v>
      </c>
      <c r="J459" s="19">
        <f t="shared" ca="1" si="68"/>
        <v>-1.8347817062732599E-2</v>
      </c>
      <c r="K459" s="19">
        <f t="shared" ca="1" si="69"/>
        <v>81.958138790128089</v>
      </c>
      <c r="L459" s="19">
        <f t="shared" ca="1" si="70"/>
        <v>1.5318592098719108</v>
      </c>
      <c r="M459" s="19">
        <f t="shared" ca="1" si="71"/>
        <v>2.2475615499580215</v>
      </c>
      <c r="AA459" s="37">
        <v>439</v>
      </c>
      <c r="AB459" s="37">
        <v>1.7531379936743752</v>
      </c>
      <c r="AC459" s="37">
        <v>3.0958769746824397</v>
      </c>
      <c r="AD459" s="37">
        <v>3.4970146093116785</v>
      </c>
    </row>
    <row r="460" spans="2:30" x14ac:dyDescent="0.3">
      <c r="B460" s="28">
        <v>43299</v>
      </c>
      <c r="C460" s="25">
        <v>38.900002000000001</v>
      </c>
      <c r="D460" s="18">
        <f t="shared" si="63"/>
        <v>1.885809324253529E-2</v>
      </c>
      <c r="E460" s="32">
        <f t="shared" ca="1" si="64"/>
        <v>-1.4134026964360454E-2</v>
      </c>
      <c r="F460" s="18">
        <f t="shared" ca="1" si="65"/>
        <v>57.485845873574114</v>
      </c>
      <c r="G460" s="19">
        <f t="shared" ca="1" si="66"/>
        <v>0.82415512642588595</v>
      </c>
      <c r="H460" s="27">
        <v>55.540000999999997</v>
      </c>
      <c r="I460" s="19">
        <f t="shared" si="67"/>
        <v>8.5346104957326752E-3</v>
      </c>
      <c r="J460" s="19">
        <f t="shared" ca="1" si="68"/>
        <v>2.1020634728039153E-3</v>
      </c>
      <c r="K460" s="19">
        <f t="shared" ca="1" si="69"/>
        <v>83.665499275140277</v>
      </c>
      <c r="L460" s="19">
        <f t="shared" ca="1" si="70"/>
        <v>-0.17550127514027736</v>
      </c>
      <c r="M460" s="19">
        <f t="shared" ca="1" si="71"/>
        <v>0.6486538512856086</v>
      </c>
      <c r="AA460" s="37">
        <v>440</v>
      </c>
      <c r="AB460" s="37">
        <v>1.776098427745471</v>
      </c>
      <c r="AC460" s="37">
        <v>2.948580568473909</v>
      </c>
      <c r="AD460" s="37">
        <v>3.299431831241932</v>
      </c>
    </row>
    <row r="461" spans="2:30" x14ac:dyDescent="0.3">
      <c r="B461" s="28">
        <v>43300</v>
      </c>
      <c r="C461" s="25">
        <v>38.840000000000003</v>
      </c>
      <c r="D461" s="18">
        <f t="shared" si="63"/>
        <v>-1.542467787019608E-3</v>
      </c>
      <c r="E461" s="32">
        <f t="shared" ca="1" si="64"/>
        <v>1.4394036119768354E-2</v>
      </c>
      <c r="F461" s="18">
        <f t="shared" ca="1" si="65"/>
        <v>59.149317260537728</v>
      </c>
      <c r="G461" s="19">
        <f t="shared" ca="1" si="66"/>
        <v>-0.83931626053772845</v>
      </c>
      <c r="H461" s="27">
        <v>54.32</v>
      </c>
      <c r="I461" s="19">
        <f t="shared" si="67"/>
        <v>-2.1966168131685726E-2</v>
      </c>
      <c r="J461" s="19">
        <f t="shared" ca="1" si="68"/>
        <v>2.183923010407593E-2</v>
      </c>
      <c r="K461" s="19">
        <f t="shared" ca="1" si="69"/>
        <v>85.313355277710841</v>
      </c>
      <c r="L461" s="19">
        <f t="shared" ca="1" si="70"/>
        <v>-1.8233572777108407</v>
      </c>
      <c r="M461" s="19">
        <f t="shared" ca="1" si="71"/>
        <v>-2.6626735382485691</v>
      </c>
      <c r="AA461" s="37">
        <v>441</v>
      </c>
      <c r="AB461" s="37">
        <v>1.7676763356450578</v>
      </c>
      <c r="AC461" s="37">
        <v>2.8845465528494199</v>
      </c>
      <c r="AD461" s="37">
        <v>3.3949861565390598</v>
      </c>
    </row>
    <row r="462" spans="2:30" x14ac:dyDescent="0.3">
      <c r="B462" s="28">
        <v>43301</v>
      </c>
      <c r="C462" s="25">
        <v>39.849997999999999</v>
      </c>
      <c r="D462" s="18">
        <f t="shared" si="63"/>
        <v>2.6004067971163725E-2</v>
      </c>
      <c r="E462" s="32">
        <f t="shared" ca="1" si="64"/>
        <v>-6.875159240817769E-3</v>
      </c>
      <c r="F462" s="18">
        <f t="shared" ca="1" si="65"/>
        <v>57.909110457792757</v>
      </c>
      <c r="G462" s="19">
        <f t="shared" ca="1" si="66"/>
        <v>0.40089054220724307</v>
      </c>
      <c r="H462" s="27">
        <v>54.41</v>
      </c>
      <c r="I462" s="19">
        <f t="shared" si="67"/>
        <v>1.6568483063328365E-3</v>
      </c>
      <c r="J462" s="19">
        <f t="shared" ca="1" si="68"/>
        <v>-2.3668090819635963E-2</v>
      </c>
      <c r="K462" s="19">
        <f t="shared" ca="1" si="69"/>
        <v>81.513949144804783</v>
      </c>
      <c r="L462" s="19">
        <f t="shared" ca="1" si="70"/>
        <v>1.9760488551952164</v>
      </c>
      <c r="M462" s="19">
        <f t="shared" ca="1" si="71"/>
        <v>2.3769393974024595</v>
      </c>
      <c r="AA462" s="37">
        <v>442</v>
      </c>
      <c r="AB462" s="37">
        <v>1.8150350360631866</v>
      </c>
      <c r="AC462" s="37">
        <v>2.7793519272127227</v>
      </c>
      <c r="AD462" s="37">
        <v>3.3292788935755158</v>
      </c>
    </row>
    <row r="463" spans="2:30" x14ac:dyDescent="0.3">
      <c r="B463" s="28">
        <v>43304</v>
      </c>
      <c r="C463" s="25">
        <v>38.439999</v>
      </c>
      <c r="D463" s="18">
        <f t="shared" si="63"/>
        <v>-3.5382661750698152E-2</v>
      </c>
      <c r="E463" s="32">
        <f t="shared" ca="1" si="64"/>
        <v>-4.325867629366942E-3</v>
      </c>
      <c r="F463" s="18">
        <f t="shared" ca="1" si="65"/>
        <v>58.057759654205746</v>
      </c>
      <c r="G463" s="19">
        <f t="shared" ca="1" si="66"/>
        <v>0.25224134579425339</v>
      </c>
      <c r="H463" s="27">
        <v>54.630001</v>
      </c>
      <c r="I463" s="19">
        <f t="shared" si="67"/>
        <v>4.043392758684039E-3</v>
      </c>
      <c r="J463" s="19">
        <f t="shared" ca="1" si="68"/>
        <v>-3.3278197040020998E-3</v>
      </c>
      <c r="K463" s="19">
        <f t="shared" ca="1" si="69"/>
        <v>83.212158339568504</v>
      </c>
      <c r="L463" s="19">
        <f t="shared" ca="1" si="70"/>
        <v>0.27783966043149633</v>
      </c>
      <c r="M463" s="19">
        <f t="shared" ca="1" si="71"/>
        <v>0.53008100622574972</v>
      </c>
      <c r="AA463" s="37">
        <v>443</v>
      </c>
      <c r="AB463" s="37">
        <v>1.778152453400436</v>
      </c>
      <c r="AC463" s="37">
        <v>2.7823920986993231</v>
      </c>
      <c r="AD463" s="37">
        <v>3.5179328108475314</v>
      </c>
    </row>
    <row r="464" spans="2:30" x14ac:dyDescent="0.3">
      <c r="B464" s="28">
        <v>43305</v>
      </c>
      <c r="C464" s="25">
        <v>38.630001</v>
      </c>
      <c r="D464" s="18">
        <f t="shared" si="63"/>
        <v>4.9428201077736933E-3</v>
      </c>
      <c r="E464" s="32">
        <f t="shared" ca="1" si="64"/>
        <v>-1.7439262550273865E-2</v>
      </c>
      <c r="F464" s="18">
        <f t="shared" ca="1" si="65"/>
        <v>57.293117583254272</v>
      </c>
      <c r="G464" s="19">
        <f t="shared" ca="1" si="66"/>
        <v>1.0168834167457277</v>
      </c>
      <c r="H464" s="27">
        <v>56.029998999999997</v>
      </c>
      <c r="I464" s="19">
        <f t="shared" si="67"/>
        <v>2.5626907823047551E-2</v>
      </c>
      <c r="J464" s="19">
        <f t="shared" ca="1" si="68"/>
        <v>-2.4789153261950688E-2</v>
      </c>
      <c r="K464" s="19">
        <f t="shared" ca="1" si="69"/>
        <v>81.420351643738044</v>
      </c>
      <c r="L464" s="19">
        <f t="shared" ca="1" si="70"/>
        <v>2.0696463562619556</v>
      </c>
      <c r="M464" s="19">
        <f t="shared" ca="1" si="71"/>
        <v>3.0865297730076833</v>
      </c>
      <c r="AA464" s="37">
        <v>444</v>
      </c>
      <c r="AB464" s="37">
        <v>1.8685065452717913</v>
      </c>
      <c r="AC464" s="37">
        <v>3.044864180156841</v>
      </c>
      <c r="AD464" s="37">
        <v>3.4076294841415189</v>
      </c>
    </row>
    <row r="465" spans="2:30" x14ac:dyDescent="0.3">
      <c r="B465" s="28">
        <v>43306</v>
      </c>
      <c r="C465" s="25">
        <v>38.009998000000003</v>
      </c>
      <c r="D465" s="18">
        <f t="shared" si="63"/>
        <v>-1.6049779548284127E-2</v>
      </c>
      <c r="E465" s="32">
        <f t="shared" ca="1" si="64"/>
        <v>-3.217096306749951E-3</v>
      </c>
      <c r="F465" s="18">
        <f t="shared" ca="1" si="65"/>
        <v>58.122412111136313</v>
      </c>
      <c r="G465" s="19">
        <f t="shared" ca="1" si="66"/>
        <v>0.18758888886368652</v>
      </c>
      <c r="H465" s="27">
        <v>57.34</v>
      </c>
      <c r="I465" s="19">
        <f t="shared" si="67"/>
        <v>2.3380350229883273E-2</v>
      </c>
      <c r="J465" s="19">
        <f t="shared" ca="1" si="68"/>
        <v>2.8151210463480424E-3</v>
      </c>
      <c r="K465" s="19">
        <f t="shared" ca="1" si="69"/>
        <v>83.725032450529355</v>
      </c>
      <c r="L465" s="19">
        <f t="shared" ca="1" si="70"/>
        <v>-0.2350344505293549</v>
      </c>
      <c r="M465" s="19">
        <f t="shared" ca="1" si="71"/>
        <v>-4.7445561665668379E-2</v>
      </c>
      <c r="AA465" s="37">
        <v>445</v>
      </c>
      <c r="AB465" s="37">
        <v>1.721637410812346</v>
      </c>
      <c r="AC465" s="37">
        <v>2.787910717134455</v>
      </c>
      <c r="AD465" s="37">
        <v>3.5794603726838217</v>
      </c>
    </row>
    <row r="466" spans="2:30" x14ac:dyDescent="0.3">
      <c r="B466" s="28">
        <v>43307</v>
      </c>
      <c r="C466" s="25">
        <v>38.18</v>
      </c>
      <c r="D466" s="18">
        <f t="shared" si="63"/>
        <v>4.4725600880062277E-3</v>
      </c>
      <c r="E466" s="32">
        <f t="shared" ca="1" si="64"/>
        <v>-3.1167751524013489E-2</v>
      </c>
      <c r="F466" s="18">
        <f t="shared" ca="1" si="65"/>
        <v>56.492609377467019</v>
      </c>
      <c r="G466" s="19">
        <f t="shared" ca="1" si="66"/>
        <v>1.8173916225329805</v>
      </c>
      <c r="H466" s="27">
        <v>57.439999</v>
      </c>
      <c r="I466" s="19">
        <f t="shared" si="67"/>
        <v>1.7439658179281281E-3</v>
      </c>
      <c r="J466" s="19">
        <f t="shared" ca="1" si="68"/>
        <v>3.2000955006945539E-2</v>
      </c>
      <c r="K466" s="19">
        <f t="shared" ca="1" si="69"/>
        <v>86.161757669527972</v>
      </c>
      <c r="L466" s="19">
        <f t="shared" ca="1" si="70"/>
        <v>-2.6717596695279724</v>
      </c>
      <c r="M466" s="19">
        <f t="shared" ca="1" si="71"/>
        <v>-0.85436804699499191</v>
      </c>
      <c r="AA466" s="37">
        <v>446</v>
      </c>
      <c r="AB466" s="37">
        <v>1.8412742217928459</v>
      </c>
      <c r="AC466" s="37">
        <v>2.8753924092357588</v>
      </c>
      <c r="AD466" s="37">
        <v>3.2486623569825976</v>
      </c>
    </row>
    <row r="467" spans="2:30" x14ac:dyDescent="0.3">
      <c r="B467" s="28">
        <v>43308</v>
      </c>
      <c r="C467" s="25">
        <v>39.099997999999999</v>
      </c>
      <c r="D467" s="18">
        <f t="shared" si="63"/>
        <v>2.4096333158721839E-2</v>
      </c>
      <c r="E467" s="32">
        <f t="shared" ca="1" si="64"/>
        <v>-1.0307259818219604E-2</v>
      </c>
      <c r="F467" s="18">
        <f t="shared" ca="1" si="65"/>
        <v>57.708984669692356</v>
      </c>
      <c r="G467" s="19">
        <f t="shared" ca="1" si="66"/>
        <v>0.6010163303076439</v>
      </c>
      <c r="H467" s="27">
        <v>57.82</v>
      </c>
      <c r="I467" s="19">
        <f t="shared" si="67"/>
        <v>6.6156164104389514E-3</v>
      </c>
      <c r="J467" s="19">
        <f t="shared" ca="1" si="68"/>
        <v>1.9995714886559368E-3</v>
      </c>
      <c r="K467" s="19">
        <f t="shared" ca="1" si="69"/>
        <v>83.656942219588743</v>
      </c>
      <c r="L467" s="19">
        <f t="shared" ca="1" si="70"/>
        <v>-0.16694421958874273</v>
      </c>
      <c r="M467" s="19">
        <f t="shared" ca="1" si="71"/>
        <v>0.43407211071890117</v>
      </c>
      <c r="AA467" s="37">
        <v>447</v>
      </c>
      <c r="AB467" s="37">
        <v>1.6914824921814473</v>
      </c>
      <c r="AC467" s="37">
        <v>2.9892002727069746</v>
      </c>
      <c r="AD467" s="37">
        <v>3.4556789928588882</v>
      </c>
    </row>
    <row r="468" spans="2:30" x14ac:dyDescent="0.3">
      <c r="B468" s="28">
        <v>43311</v>
      </c>
      <c r="C468" s="25">
        <v>39.740001999999997</v>
      </c>
      <c r="D468" s="18">
        <f t="shared" si="63"/>
        <v>1.6368389584060727E-2</v>
      </c>
      <c r="E468" s="32">
        <f t="shared" ca="1" si="64"/>
        <v>-1.1346815945482633E-3</v>
      </c>
      <c r="F468" s="18">
        <f t="shared" ca="1" si="65"/>
        <v>58.24383771508721</v>
      </c>
      <c r="G468" s="19">
        <f t="shared" ca="1" si="66"/>
        <v>6.6163284912789777E-2</v>
      </c>
      <c r="H468" s="27">
        <v>58.09</v>
      </c>
      <c r="I468" s="19">
        <f t="shared" si="67"/>
        <v>4.6696644759598449E-3</v>
      </c>
      <c r="J468" s="19">
        <f t="shared" ca="1" si="68"/>
        <v>2.3693913566647403E-2</v>
      </c>
      <c r="K468" s="19">
        <f t="shared" ca="1" si="69"/>
        <v>85.468202796291564</v>
      </c>
      <c r="L468" s="19">
        <f t="shared" ca="1" si="70"/>
        <v>-1.9782047962915641</v>
      </c>
      <c r="M468" s="19">
        <f t="shared" ca="1" si="71"/>
        <v>-1.9120415113787743</v>
      </c>
      <c r="AA468" s="37">
        <v>448</v>
      </c>
      <c r="AB468" s="37">
        <v>1.8267391116049514</v>
      </c>
      <c r="AC468" s="37">
        <v>2.7611890854038954</v>
      </c>
      <c r="AD468" s="37">
        <v>3.3269253584612533</v>
      </c>
    </row>
    <row r="469" spans="2:30" x14ac:dyDescent="0.3">
      <c r="B469" s="28">
        <v>43312</v>
      </c>
      <c r="C469" s="25">
        <v>39.659999999999997</v>
      </c>
      <c r="D469" s="18">
        <f t="shared" si="63"/>
        <v>-2.0131352786545431E-3</v>
      </c>
      <c r="E469" s="32">
        <f t="shared" ca="1" si="64"/>
        <v>-1.6195259867334642E-2</v>
      </c>
      <c r="F469" s="18">
        <f t="shared" ca="1" si="65"/>
        <v>57.36565538094046</v>
      </c>
      <c r="G469" s="19">
        <f t="shared" ca="1" si="66"/>
        <v>0.94434561905953984</v>
      </c>
      <c r="H469" s="27">
        <v>58.599997999999999</v>
      </c>
      <c r="I469" s="19">
        <f t="shared" si="67"/>
        <v>8.7794456877259286E-3</v>
      </c>
      <c r="J469" s="19">
        <f t="shared" ca="1" si="68"/>
        <v>-4.303392679547656E-2</v>
      </c>
      <c r="K469" s="19">
        <f t="shared" ca="1" si="69"/>
        <v>79.897095537913515</v>
      </c>
      <c r="L469" s="19">
        <f t="shared" ca="1" si="70"/>
        <v>3.5929024620864851</v>
      </c>
      <c r="M469" s="19">
        <f t="shared" ca="1" si="71"/>
        <v>4.537248081146025</v>
      </c>
      <c r="AA469" s="37">
        <v>449</v>
      </c>
      <c r="AB469" s="37">
        <v>1.686943777611529</v>
      </c>
      <c r="AC469" s="37">
        <v>2.869702622109517</v>
      </c>
      <c r="AD469" s="37">
        <v>3.3287393062960762</v>
      </c>
    </row>
    <row r="470" spans="2:30" x14ac:dyDescent="0.3">
      <c r="B470" s="28">
        <v>43313</v>
      </c>
      <c r="C470" s="25">
        <v>38.479999999999997</v>
      </c>
      <c r="D470" s="18">
        <f t="shared" si="63"/>
        <v>-2.9752899646999453E-2</v>
      </c>
      <c r="E470" s="32">
        <f t="shared" ca="1" si="64"/>
        <v>-1.063676379858723E-2</v>
      </c>
      <c r="F470" s="18">
        <f t="shared" ca="1" si="65"/>
        <v>57.689771292267615</v>
      </c>
      <c r="G470" s="19">
        <f t="shared" ca="1" si="66"/>
        <v>0.62022970773238484</v>
      </c>
      <c r="H470" s="27">
        <v>57.200001</v>
      </c>
      <c r="I470" s="19">
        <f t="shared" si="67"/>
        <v>-2.3890734603779329E-2</v>
      </c>
      <c r="J470" s="19">
        <f t="shared" ca="1" si="68"/>
        <v>-1.4155150340452607E-2</v>
      </c>
      <c r="K470" s="19">
        <f t="shared" ca="1" si="69"/>
        <v>82.308184526385915</v>
      </c>
      <c r="L470" s="19">
        <f t="shared" ca="1" si="70"/>
        <v>1.1818134736140848</v>
      </c>
      <c r="M470" s="19">
        <f t="shared" ca="1" si="71"/>
        <v>1.8020431813464697</v>
      </c>
      <c r="AA470" s="37">
        <v>450</v>
      </c>
      <c r="AB470" s="37">
        <v>1.865033964044533</v>
      </c>
      <c r="AC470" s="37">
        <v>2.9010962622128158</v>
      </c>
      <c r="AD470" s="37">
        <v>3.2536331631698165</v>
      </c>
    </row>
    <row r="471" spans="2:30" x14ac:dyDescent="0.3">
      <c r="B471" s="28">
        <v>43314</v>
      </c>
      <c r="C471" s="25">
        <v>38.259998000000003</v>
      </c>
      <c r="D471" s="18">
        <f t="shared" si="63"/>
        <v>-5.7173076923074939E-3</v>
      </c>
      <c r="E471" s="32">
        <f t="shared" ca="1" si="64"/>
        <v>-8.65316963842859E-3</v>
      </c>
      <c r="F471" s="18">
        <f t="shared" ca="1" si="65"/>
        <v>57.805434669730062</v>
      </c>
      <c r="G471" s="19">
        <f t="shared" ca="1" si="66"/>
        <v>0.50456633026993813</v>
      </c>
      <c r="H471" s="27">
        <v>56.16</v>
      </c>
      <c r="I471" s="19">
        <f t="shared" si="67"/>
        <v>-1.8181835346471442E-2</v>
      </c>
      <c r="J471" s="19">
        <f t="shared" ca="1" si="68"/>
        <v>-2.8703717071410128E-2</v>
      </c>
      <c r="K471" s="19">
        <f t="shared" ca="1" si="69"/>
        <v>81.093524719115393</v>
      </c>
      <c r="L471" s="19">
        <f t="shared" ca="1" si="70"/>
        <v>2.3964732808846065</v>
      </c>
      <c r="M471" s="19">
        <f t="shared" ca="1" si="71"/>
        <v>2.9010396111545447</v>
      </c>
      <c r="AA471" s="37">
        <v>451</v>
      </c>
      <c r="AB471" s="37">
        <v>1.7732935885755137</v>
      </c>
      <c r="AC471" s="37">
        <v>2.8095716517494691</v>
      </c>
      <c r="AD471" s="37">
        <v>3.4220892037080897</v>
      </c>
    </row>
    <row r="472" spans="2:30" x14ac:dyDescent="0.3">
      <c r="B472" s="28">
        <v>43315</v>
      </c>
      <c r="C472" s="25">
        <v>39.18</v>
      </c>
      <c r="D472" s="18">
        <f t="shared" si="63"/>
        <v>2.4046054576374987E-2</v>
      </c>
      <c r="E472" s="32">
        <f t="shared" ca="1" si="64"/>
        <v>5.0499230307135563E-3</v>
      </c>
      <c r="F472" s="18">
        <f t="shared" ca="1" si="65"/>
        <v>58.604462016970828</v>
      </c>
      <c r="G472" s="19">
        <f t="shared" ca="1" si="66"/>
        <v>-0.29446101697082838</v>
      </c>
      <c r="H472" s="27">
        <v>57.560001</v>
      </c>
      <c r="I472" s="19">
        <f t="shared" si="67"/>
        <v>2.4928792735042782E-2</v>
      </c>
      <c r="J472" s="19">
        <f t="shared" ca="1" si="68"/>
        <v>-1.0542461031498713E-2</v>
      </c>
      <c r="K472" s="19">
        <f t="shared" ca="1" si="69"/>
        <v>82.609807949565095</v>
      </c>
      <c r="L472" s="19">
        <f t="shared" ca="1" si="70"/>
        <v>0.88019005043490495</v>
      </c>
      <c r="M472" s="19">
        <f t="shared" ca="1" si="71"/>
        <v>0.58572903346407656</v>
      </c>
      <c r="AA472" s="37">
        <v>452</v>
      </c>
      <c r="AB472" s="37">
        <v>1.8011534885887897</v>
      </c>
      <c r="AC472" s="37">
        <v>2.8744902647421284</v>
      </c>
      <c r="AD472" s="37">
        <v>3.3496634008212873</v>
      </c>
    </row>
    <row r="473" spans="2:30" x14ac:dyDescent="0.3">
      <c r="B473" s="28">
        <v>43318</v>
      </c>
      <c r="C473" s="25">
        <v>39.259998000000003</v>
      </c>
      <c r="D473" s="18">
        <f t="shared" si="63"/>
        <v>2.0418070444105929E-3</v>
      </c>
      <c r="E473" s="32">
        <f t="shared" ca="1" si="64"/>
        <v>1.719377762536008E-2</v>
      </c>
      <c r="F473" s="18">
        <f t="shared" ca="1" si="65"/>
        <v>59.312570190528525</v>
      </c>
      <c r="G473" s="19">
        <f t="shared" ca="1" si="66"/>
        <v>-1.0025691905285257</v>
      </c>
      <c r="H473" s="27">
        <v>57.43</v>
      </c>
      <c r="I473" s="19">
        <f t="shared" si="67"/>
        <v>-2.2585301900880372E-3</v>
      </c>
      <c r="J473" s="19">
        <f t="shared" ca="1" si="68"/>
        <v>1.0956648082821336E-2</v>
      </c>
      <c r="K473" s="19">
        <f t="shared" ca="1" si="69"/>
        <v>84.404768526521465</v>
      </c>
      <c r="L473" s="19">
        <f t="shared" ca="1" si="70"/>
        <v>-0.9147705265214654</v>
      </c>
      <c r="M473" s="19">
        <f t="shared" ca="1" si="71"/>
        <v>-1.9173397170499911</v>
      </c>
      <c r="AA473" s="37">
        <v>453</v>
      </c>
      <c r="AB473" s="37">
        <v>1.7547149349826225</v>
      </c>
      <c r="AC473" s="37">
        <v>2.7957989823555756</v>
      </c>
      <c r="AD473" s="37">
        <v>3.4047926706543263</v>
      </c>
    </row>
    <row r="474" spans="2:30" x14ac:dyDescent="0.3">
      <c r="B474" s="28">
        <v>43319</v>
      </c>
      <c r="C474" s="25">
        <v>40.330002</v>
      </c>
      <c r="D474" s="18">
        <f t="shared" si="63"/>
        <v>2.7254306024162123E-2</v>
      </c>
      <c r="E474" s="32">
        <f t="shared" ca="1" si="64"/>
        <v>1.7588120838506749E-2</v>
      </c>
      <c r="F474" s="18">
        <f t="shared" ca="1" si="65"/>
        <v>59.335564343681447</v>
      </c>
      <c r="G474" s="19">
        <f t="shared" ca="1" si="66"/>
        <v>-1.0255633436814477</v>
      </c>
      <c r="H474" s="27">
        <v>57.380001</v>
      </c>
      <c r="I474" s="19">
        <f t="shared" si="67"/>
        <v>-8.7060769632596458E-4</v>
      </c>
      <c r="J474" s="19">
        <f t="shared" ca="1" si="68"/>
        <v>4.7297490541547943E-2</v>
      </c>
      <c r="K474" s="19">
        <f t="shared" ca="1" si="69"/>
        <v>87.43886539071886</v>
      </c>
      <c r="L474" s="19">
        <f t="shared" ca="1" si="70"/>
        <v>-3.9488673907188598</v>
      </c>
      <c r="M474" s="19">
        <f t="shared" ca="1" si="71"/>
        <v>-4.9744307344003076</v>
      </c>
      <c r="AA474" s="37">
        <v>454</v>
      </c>
      <c r="AB474" s="37">
        <v>1.8373114637728292</v>
      </c>
      <c r="AC474" s="37">
        <v>2.9068991255139021</v>
      </c>
      <c r="AD474" s="37">
        <v>3.1315440783824191</v>
      </c>
    </row>
    <row r="475" spans="2:30" x14ac:dyDescent="0.3">
      <c r="B475" s="28">
        <v>43320</v>
      </c>
      <c r="C475" s="25">
        <v>39.970001000000003</v>
      </c>
      <c r="D475" s="18">
        <f t="shared" si="63"/>
        <v>-8.9263819029812286E-3</v>
      </c>
      <c r="E475" s="32">
        <f t="shared" ca="1" si="64"/>
        <v>1.1038888445862743E-3</v>
      </c>
      <c r="F475" s="18">
        <f t="shared" ca="1" si="65"/>
        <v>58.374368759631714</v>
      </c>
      <c r="G475" s="19">
        <f t="shared" ca="1" si="66"/>
        <v>-6.4367759631714705E-2</v>
      </c>
      <c r="H475" s="27">
        <v>56.779998999999997</v>
      </c>
      <c r="I475" s="19">
        <f t="shared" si="67"/>
        <v>-1.0456639761996622E-2</v>
      </c>
      <c r="J475" s="19">
        <f t="shared" ca="1" si="68"/>
        <v>-1.7121155594607487E-3</v>
      </c>
      <c r="K475" s="19">
        <f t="shared" ca="1" si="69"/>
        <v>83.347053475364859</v>
      </c>
      <c r="L475" s="19">
        <f t="shared" ca="1" si="70"/>
        <v>0.14294452463514062</v>
      </c>
      <c r="M475" s="19">
        <f t="shared" ca="1" si="71"/>
        <v>7.8576765003425919E-2</v>
      </c>
      <c r="AA475" s="37">
        <v>455</v>
      </c>
      <c r="AB475" s="37">
        <v>1.8285910773757432</v>
      </c>
      <c r="AC475" s="37">
        <v>2.7304974719225763</v>
      </c>
      <c r="AD475" s="37">
        <v>3.5186944691060926</v>
      </c>
    </row>
    <row r="476" spans="2:30" x14ac:dyDescent="0.3">
      <c r="B476" s="28">
        <v>43321</v>
      </c>
      <c r="C476" s="25">
        <v>39.57</v>
      </c>
      <c r="D476" s="18">
        <f t="shared" si="63"/>
        <v>-1.0007530397610043E-2</v>
      </c>
      <c r="E476" s="32">
        <f t="shared" ca="1" si="64"/>
        <v>1.0631399243058557E-2</v>
      </c>
      <c r="F476" s="18">
        <f t="shared" ca="1" si="65"/>
        <v>58.929917900494139</v>
      </c>
      <c r="G476" s="19">
        <f t="shared" ca="1" si="66"/>
        <v>-0.61991690049413961</v>
      </c>
      <c r="H476" s="27">
        <v>56.82</v>
      </c>
      <c r="I476" s="19">
        <f t="shared" si="67"/>
        <v>7.0449103037151239E-4</v>
      </c>
      <c r="J476" s="19">
        <f t="shared" ca="1" si="68"/>
        <v>-3.5486405752940056E-2</v>
      </c>
      <c r="K476" s="19">
        <f t="shared" ca="1" si="69"/>
        <v>80.527238054659847</v>
      </c>
      <c r="L476" s="19">
        <f t="shared" ca="1" si="70"/>
        <v>2.962759945340153</v>
      </c>
      <c r="M476" s="19">
        <f t="shared" ca="1" si="71"/>
        <v>2.3428430448460134</v>
      </c>
      <c r="AA476" s="37">
        <v>456</v>
      </c>
      <c r="AB476" s="37">
        <v>1.6729931420884161</v>
      </c>
      <c r="AC476" s="37">
        <v>2.9688408211790382</v>
      </c>
      <c r="AD476" s="37">
        <v>3.4511638774529332</v>
      </c>
    </row>
    <row r="477" spans="2:30" x14ac:dyDescent="0.3">
      <c r="B477" s="28">
        <v>43322</v>
      </c>
      <c r="C477" s="25">
        <v>38.799999</v>
      </c>
      <c r="D477" s="18">
        <f t="shared" si="63"/>
        <v>-1.9459211523881748E-2</v>
      </c>
      <c r="E477" s="32">
        <f t="shared" ca="1" si="64"/>
        <v>1.3868523436028041E-2</v>
      </c>
      <c r="F477" s="18">
        <f t="shared" ca="1" si="65"/>
        <v>59.118674615423323</v>
      </c>
      <c r="G477" s="19">
        <f t="shared" ca="1" si="66"/>
        <v>-0.80867361542332361</v>
      </c>
      <c r="H477" s="27">
        <v>55.490001999999997</v>
      </c>
      <c r="I477" s="19">
        <f t="shared" si="67"/>
        <v>-2.3407215769095435E-2</v>
      </c>
      <c r="J477" s="19">
        <f t="shared" ca="1" si="68"/>
        <v>3.7775066265624074E-2</v>
      </c>
      <c r="K477" s="19">
        <f t="shared" ca="1" si="69"/>
        <v>86.643838206966819</v>
      </c>
      <c r="L477" s="19">
        <f t="shared" ca="1" si="70"/>
        <v>-3.1538402069668194</v>
      </c>
      <c r="M477" s="19">
        <f t="shared" ca="1" si="71"/>
        <v>-3.962513822390143</v>
      </c>
      <c r="AA477" s="37">
        <v>457</v>
      </c>
      <c r="AB477" s="37">
        <v>1.6820697496834816</v>
      </c>
      <c r="AC477" s="37">
        <v>2.8613106658275331</v>
      </c>
      <c r="AD477" s="37">
        <v>3.2267670998955409</v>
      </c>
    </row>
    <row r="478" spans="2:30" x14ac:dyDescent="0.3">
      <c r="B478" s="28">
        <v>43325</v>
      </c>
      <c r="C478" s="25">
        <v>39.159999999999997</v>
      </c>
      <c r="D478" s="18">
        <f t="shared" si="63"/>
        <v>9.2783765277930641E-3</v>
      </c>
      <c r="E478" s="32">
        <f t="shared" ca="1" si="64"/>
        <v>-2.8448110668864439E-3</v>
      </c>
      <c r="F478" s="18">
        <f t="shared" ca="1" si="65"/>
        <v>58.144120063845037</v>
      </c>
      <c r="G478" s="19">
        <f t="shared" ca="1" si="66"/>
        <v>0.16588093615496291</v>
      </c>
      <c r="H478" s="27">
        <v>55.91</v>
      </c>
      <c r="I478" s="19">
        <f t="shared" si="67"/>
        <v>7.5688950236476593E-3</v>
      </c>
      <c r="J478" s="19">
        <f t="shared" ca="1" si="68"/>
        <v>2.4166815581078863E-2</v>
      </c>
      <c r="K478" s="19">
        <f t="shared" ca="1" si="69"/>
        <v>85.507685384530632</v>
      </c>
      <c r="L478" s="19">
        <f t="shared" ca="1" si="70"/>
        <v>-2.0176873845306318</v>
      </c>
      <c r="M478" s="19">
        <f t="shared" ca="1" si="71"/>
        <v>-1.8518064483756689</v>
      </c>
      <c r="AA478" s="37">
        <v>458</v>
      </c>
      <c r="AB478" s="37">
        <v>1.7954726647518759</v>
      </c>
      <c r="AC478" s="37">
        <v>2.7800610766634803</v>
      </c>
      <c r="AD478" s="37">
        <v>3.3279986523616314</v>
      </c>
    </row>
    <row r="479" spans="2:30" x14ac:dyDescent="0.3">
      <c r="B479" s="28">
        <v>43326</v>
      </c>
      <c r="C479" s="25">
        <v>39.479999999999997</v>
      </c>
      <c r="D479" s="18">
        <f t="shared" si="63"/>
        <v>8.1716036772216949E-3</v>
      </c>
      <c r="E479" s="32">
        <f t="shared" ca="1" si="64"/>
        <v>7.3990284332970356E-3</v>
      </c>
      <c r="F479" s="18">
        <f t="shared" ca="1" si="65"/>
        <v>58.741438355344577</v>
      </c>
      <c r="G479" s="19">
        <f t="shared" ca="1" si="66"/>
        <v>-0.43143735534457761</v>
      </c>
      <c r="H479" s="27">
        <v>55.990001999999997</v>
      </c>
      <c r="I479" s="19">
        <f t="shared" si="67"/>
        <v>1.4309068145232917E-3</v>
      </c>
      <c r="J479" s="19">
        <f t="shared" ca="1" si="68"/>
        <v>-4.3454227646572349E-2</v>
      </c>
      <c r="K479" s="19">
        <f t="shared" ca="1" si="69"/>
        <v>79.862004620696126</v>
      </c>
      <c r="L479" s="19">
        <f t="shared" ca="1" si="70"/>
        <v>3.6279933793038737</v>
      </c>
      <c r="M479" s="19">
        <f t="shared" ca="1" si="71"/>
        <v>3.1965560239592961</v>
      </c>
      <c r="AA479" s="37">
        <v>459</v>
      </c>
      <c r="AB479" s="37">
        <v>1.8001482970429956</v>
      </c>
      <c r="AC479" s="37">
        <v>2.9325779173074915</v>
      </c>
      <c r="AD479" s="37">
        <v>3.2923806206361288</v>
      </c>
    </row>
    <row r="480" spans="2:30" x14ac:dyDescent="0.3">
      <c r="B480" s="28">
        <v>43327</v>
      </c>
      <c r="C480" s="25">
        <v>38.630001</v>
      </c>
      <c r="D480" s="18">
        <f t="shared" si="63"/>
        <v>-2.1529863221884438E-2</v>
      </c>
      <c r="E480" s="32">
        <f t="shared" ca="1" si="64"/>
        <v>1.2856665337215014E-2</v>
      </c>
      <c r="F480" s="18">
        <f t="shared" ca="1" si="65"/>
        <v>59.059673168669676</v>
      </c>
      <c r="G480" s="19">
        <f t="shared" ca="1" si="66"/>
        <v>-0.7496721686696759</v>
      </c>
      <c r="H480" s="27">
        <v>54.09</v>
      </c>
      <c r="I480" s="19">
        <f t="shared" si="67"/>
        <v>-3.3934665692635479E-2</v>
      </c>
      <c r="J480" s="19">
        <f t="shared" ca="1" si="68"/>
        <v>5.8025518620368893E-3</v>
      </c>
      <c r="K480" s="19">
        <f t="shared" ca="1" si="69"/>
        <v>83.974453043356348</v>
      </c>
      <c r="L480" s="19">
        <f t="shared" ca="1" si="70"/>
        <v>-0.48445504335634837</v>
      </c>
      <c r="M480" s="19">
        <f t="shared" ca="1" si="71"/>
        <v>-1.2341272120260243</v>
      </c>
      <c r="AA480" s="37">
        <v>460</v>
      </c>
      <c r="AB480" s="37">
        <v>1.7244384885490738</v>
      </c>
      <c r="AC480" s="37">
        <v>2.6799672249388964</v>
      </c>
      <c r="AD480" s="37">
        <v>3.5643038323226892</v>
      </c>
    </row>
    <row r="481" spans="2:30" x14ac:dyDescent="0.3">
      <c r="B481" s="28">
        <v>43328</v>
      </c>
      <c r="C481" s="25">
        <v>38.959999000000003</v>
      </c>
      <c r="D481" s="18">
        <f t="shared" si="63"/>
        <v>8.542531489968308E-3</v>
      </c>
      <c r="E481" s="32">
        <f t="shared" ca="1" si="64"/>
        <v>1.2370534869274374E-2</v>
      </c>
      <c r="F481" s="18">
        <f t="shared" ca="1" si="65"/>
        <v>59.031326900597925</v>
      </c>
      <c r="G481" s="19">
        <f t="shared" ca="1" si="66"/>
        <v>-0.72132590059792534</v>
      </c>
      <c r="H481" s="27">
        <v>51.990001999999997</v>
      </c>
      <c r="I481" s="19">
        <f t="shared" si="67"/>
        <v>-3.8824144943612637E-2</v>
      </c>
      <c r="J481" s="19">
        <f t="shared" ca="1" si="68"/>
        <v>-1.9811090954347712E-2</v>
      </c>
      <c r="K481" s="19">
        <f t="shared" ca="1" si="69"/>
        <v>81.835970055843688</v>
      </c>
      <c r="L481" s="19">
        <f t="shared" ca="1" si="70"/>
        <v>1.6540279441563115</v>
      </c>
      <c r="M481" s="19">
        <f t="shared" ca="1" si="71"/>
        <v>0.93270204355838615</v>
      </c>
      <c r="AA481" s="37">
        <v>461</v>
      </c>
      <c r="AB481" s="37">
        <v>1.6922608721382264</v>
      </c>
      <c r="AC481" s="37">
        <v>3.0938358919686109</v>
      </c>
      <c r="AD481" s="37">
        <v>3.3613120824108407</v>
      </c>
    </row>
    <row r="482" spans="2:30" x14ac:dyDescent="0.3">
      <c r="B482" s="28">
        <v>43329</v>
      </c>
      <c r="C482" s="25">
        <v>39.099997999999999</v>
      </c>
      <c r="D482" s="18">
        <f t="shared" si="63"/>
        <v>3.5934035829927602E-3</v>
      </c>
      <c r="E482" s="32">
        <f t="shared" ca="1" si="64"/>
        <v>3.704477646251501E-3</v>
      </c>
      <c r="F482" s="18">
        <f t="shared" ca="1" si="65"/>
        <v>58.526009095257407</v>
      </c>
      <c r="G482" s="19">
        <f t="shared" ca="1" si="66"/>
        <v>-0.21600809525740772</v>
      </c>
      <c r="H482" s="27">
        <v>52.540000999999997</v>
      </c>
      <c r="I482" s="19">
        <f t="shared" si="67"/>
        <v>1.0578937850396652E-2</v>
      </c>
      <c r="J482" s="19">
        <f t="shared" ca="1" si="68"/>
        <v>3.5686749562484132E-2</v>
      </c>
      <c r="K482" s="19">
        <f t="shared" ca="1" si="69"/>
        <v>86.4694846495983</v>
      </c>
      <c r="L482" s="19">
        <f t="shared" ca="1" si="70"/>
        <v>-2.9794866495983001</v>
      </c>
      <c r="M482" s="19">
        <f t="shared" ca="1" si="71"/>
        <v>-3.1954947448557078</v>
      </c>
      <c r="AA482" s="37">
        <v>462</v>
      </c>
      <c r="AB482" s="37">
        <v>1.8349392337744681</v>
      </c>
      <c r="AC482" s="37">
        <v>2.9063433540629591</v>
      </c>
      <c r="AD482" s="37">
        <v>3.3317439391208059</v>
      </c>
    </row>
    <row r="483" spans="2:30" x14ac:dyDescent="0.3">
      <c r="B483" s="28">
        <v>43332</v>
      </c>
      <c r="C483" s="25">
        <v>39.939999</v>
      </c>
      <c r="D483" s="18">
        <f t="shared" si="63"/>
        <v>2.1483402633422077E-2</v>
      </c>
      <c r="E483" s="32">
        <f t="shared" ca="1" si="64"/>
        <v>2.6035922750571611E-2</v>
      </c>
      <c r="F483" s="18">
        <f t="shared" ca="1" si="65"/>
        <v>59.828155681621752</v>
      </c>
      <c r="G483" s="19">
        <f t="shared" ca="1" si="66"/>
        <v>-1.5181546816217519</v>
      </c>
      <c r="H483" s="27">
        <v>53.810001</v>
      </c>
      <c r="I483" s="19">
        <f t="shared" si="67"/>
        <v>2.4172058923257467E-2</v>
      </c>
      <c r="J483" s="19">
        <f t="shared" ca="1" si="68"/>
        <v>-2.2070732223585202E-2</v>
      </c>
      <c r="K483" s="19">
        <f t="shared" ca="1" si="69"/>
        <v>81.64731261079433</v>
      </c>
      <c r="L483" s="19">
        <f t="shared" ca="1" si="70"/>
        <v>1.8426853892056698</v>
      </c>
      <c r="M483" s="19">
        <f t="shared" ca="1" si="71"/>
        <v>0.32453070758391789</v>
      </c>
      <c r="AA483" s="37">
        <v>463</v>
      </c>
      <c r="AB483" s="37">
        <v>1.8071168360659917</v>
      </c>
      <c r="AC483" s="37">
        <v>2.9486791874108715</v>
      </c>
      <c r="AD483" s="37">
        <v>3.2648695183452667</v>
      </c>
    </row>
    <row r="484" spans="2:30" x14ac:dyDescent="0.3">
      <c r="B484" s="28">
        <v>43333</v>
      </c>
      <c r="C484" s="25">
        <v>40.299999</v>
      </c>
      <c r="D484" s="18">
        <f t="shared" si="63"/>
        <v>9.0135205060970502E-3</v>
      </c>
      <c r="E484" s="32">
        <f t="shared" ca="1" si="64"/>
        <v>-5.2096649140797244E-3</v>
      </c>
      <c r="F484" s="18">
        <f t="shared" ca="1" si="65"/>
        <v>58.00622543365035</v>
      </c>
      <c r="G484" s="19">
        <f t="shared" ca="1" si="66"/>
        <v>0.30377556634964975</v>
      </c>
      <c r="H484" s="27">
        <v>53.630001</v>
      </c>
      <c r="I484" s="19">
        <f t="shared" si="67"/>
        <v>-3.3451030785150992E-3</v>
      </c>
      <c r="J484" s="19">
        <f t="shared" ca="1" si="68"/>
        <v>-1.7302378937440532E-2</v>
      </c>
      <c r="K484" s="19">
        <f t="shared" ca="1" si="69"/>
        <v>82.045422417117848</v>
      </c>
      <c r="L484" s="19">
        <f t="shared" ca="1" si="70"/>
        <v>1.4445755828821518</v>
      </c>
      <c r="M484" s="19">
        <f t="shared" ca="1" si="71"/>
        <v>1.7483511492318016</v>
      </c>
      <c r="AA484" s="37">
        <v>464</v>
      </c>
      <c r="AB484" s="37">
        <v>1.7141439206134732</v>
      </c>
      <c r="AC484" s="37">
        <v>2.854006972001836</v>
      </c>
      <c r="AD484" s="37">
        <v>3.3039380421810791</v>
      </c>
    </row>
    <row r="485" spans="2:30" x14ac:dyDescent="0.3">
      <c r="B485" s="28">
        <v>43334</v>
      </c>
      <c r="C485" s="25">
        <v>40.5</v>
      </c>
      <c r="D485" s="18">
        <f t="shared" si="63"/>
        <v>4.9628040933697992E-3</v>
      </c>
      <c r="E485" s="32">
        <f t="shared" ca="1" si="64"/>
        <v>-4.2552706340618042E-3</v>
      </c>
      <c r="F485" s="18">
        <f t="shared" ca="1" si="65"/>
        <v>58.061876165072583</v>
      </c>
      <c r="G485" s="19">
        <f t="shared" ca="1" si="66"/>
        <v>0.24812483492741677</v>
      </c>
      <c r="H485" s="27">
        <v>54.759998000000003</v>
      </c>
      <c r="I485" s="19">
        <f t="shared" si="67"/>
        <v>2.1070240144131391E-2</v>
      </c>
      <c r="J485" s="19">
        <f t="shared" ca="1" si="68"/>
        <v>1.6294884918117453E-2</v>
      </c>
      <c r="K485" s="19">
        <f t="shared" ca="1" si="69"/>
        <v>84.850457909223863</v>
      </c>
      <c r="L485" s="19">
        <f t="shared" ca="1" si="70"/>
        <v>-1.360459909223863</v>
      </c>
      <c r="M485" s="19">
        <f t="shared" ca="1" si="71"/>
        <v>-1.1123350742964462</v>
      </c>
      <c r="AA485" s="37">
        <v>465</v>
      </c>
      <c r="AB485" s="37">
        <v>1.8066558236441328</v>
      </c>
      <c r="AC485" s="37">
        <v>2.8204759362963356</v>
      </c>
      <c r="AD485" s="37">
        <v>3.382141212597817</v>
      </c>
    </row>
    <row r="486" spans="2:30" x14ac:dyDescent="0.3">
      <c r="B486" s="28">
        <v>43335</v>
      </c>
      <c r="C486" s="25">
        <v>40.259998000000003</v>
      </c>
      <c r="D486" s="18">
        <f t="shared" si="63"/>
        <v>-5.9259753086419176E-3</v>
      </c>
      <c r="E486" s="32">
        <f t="shared" ca="1" si="64"/>
        <v>-3.5835081143623534E-2</v>
      </c>
      <c r="F486" s="18">
        <f t="shared" ca="1" si="65"/>
        <v>56.22045738268023</v>
      </c>
      <c r="G486" s="19">
        <f t="shared" ca="1" si="66"/>
        <v>2.0895436173197695</v>
      </c>
      <c r="H486" s="27">
        <v>54.369999</v>
      </c>
      <c r="I486" s="19">
        <f t="shared" si="67"/>
        <v>-7.1219688503276757E-3</v>
      </c>
      <c r="J486" s="19">
        <f t="shared" ca="1" si="68"/>
        <v>-3.9045039733133745E-2</v>
      </c>
      <c r="K486" s="19">
        <f t="shared" ca="1" si="69"/>
        <v>80.230127710770745</v>
      </c>
      <c r="L486" s="19">
        <f t="shared" ca="1" si="70"/>
        <v>3.259870289229255</v>
      </c>
      <c r="M486" s="19">
        <f t="shared" ca="1" si="71"/>
        <v>5.3494139065490245</v>
      </c>
      <c r="AA486" s="37">
        <v>466</v>
      </c>
      <c r="AB486" s="37">
        <v>1.9338744820861526</v>
      </c>
      <c r="AC486" s="37">
        <v>2.8439284746002609</v>
      </c>
      <c r="AD486" s="37">
        <v>3.4632858622537901</v>
      </c>
    </row>
    <row r="487" spans="2:30" x14ac:dyDescent="0.3">
      <c r="B487" s="28">
        <v>43336</v>
      </c>
      <c r="C487" s="25">
        <v>40.240001999999997</v>
      </c>
      <c r="D487" s="18">
        <f t="shared" si="63"/>
        <v>-4.9667165904987431E-4</v>
      </c>
      <c r="E487" s="32">
        <f t="shared" ca="1" si="64"/>
        <v>1.0768628411276248E-2</v>
      </c>
      <c r="F487" s="18">
        <f t="shared" ca="1" si="65"/>
        <v>58.937919733430142</v>
      </c>
      <c r="G487" s="19">
        <f t="shared" ca="1" si="66"/>
        <v>-0.62791873343014259</v>
      </c>
      <c r="H487" s="27">
        <v>55</v>
      </c>
      <c r="I487" s="19">
        <f t="shared" si="67"/>
        <v>1.1587290998478883E-2</v>
      </c>
      <c r="J487" s="19">
        <f t="shared" ca="1" si="68"/>
        <v>3.2792721467459784E-3</v>
      </c>
      <c r="K487" s="19">
        <f t="shared" ca="1" si="69"/>
        <v>83.763784424973281</v>
      </c>
      <c r="L487" s="19">
        <f t="shared" ca="1" si="70"/>
        <v>-0.27378642497328087</v>
      </c>
      <c r="M487" s="19">
        <f t="shared" ca="1" si="71"/>
        <v>-0.90170515840342347</v>
      </c>
      <c r="AA487" s="37">
        <v>467</v>
      </c>
      <c r="AB487" s="37">
        <v>1.8135693585752184</v>
      </c>
      <c r="AC487" s="37">
        <v>2.8435568084997125</v>
      </c>
      <c r="AD487" s="37">
        <v>3.1878836426874089</v>
      </c>
    </row>
    <row r="488" spans="2:30" x14ac:dyDescent="0.3">
      <c r="B488" s="28">
        <v>43339</v>
      </c>
      <c r="C488" s="25">
        <v>40.630001</v>
      </c>
      <c r="D488" s="18">
        <f t="shared" si="63"/>
        <v>9.6918235739651415E-3</v>
      </c>
      <c r="E488" s="32">
        <f t="shared" ca="1" si="64"/>
        <v>-9.0493611716064501E-3</v>
      </c>
      <c r="F488" s="18">
        <f t="shared" ca="1" si="65"/>
        <v>57.782332741034267</v>
      </c>
      <c r="G488" s="19">
        <f t="shared" ca="1" si="66"/>
        <v>0.52766825896573266</v>
      </c>
      <c r="H488" s="27">
        <v>56.5</v>
      </c>
      <c r="I488" s="19">
        <f t="shared" si="67"/>
        <v>2.7272727272727337E-2</v>
      </c>
      <c r="J488" s="19">
        <f t="shared" ca="1" si="68"/>
        <v>3.9434556250675691E-2</v>
      </c>
      <c r="K488" s="19">
        <f t="shared" ca="1" si="69"/>
        <v>86.7823890224998</v>
      </c>
      <c r="L488" s="19">
        <f t="shared" ca="1" si="70"/>
        <v>-3.2923910224997996</v>
      </c>
      <c r="M488" s="19">
        <f t="shared" ca="1" si="71"/>
        <v>-2.764722763534067</v>
      </c>
      <c r="AA488" s="37">
        <v>468</v>
      </c>
      <c r="AB488" s="37">
        <v>1.7721141273223198</v>
      </c>
      <c r="AC488" s="37">
        <v>2.7682598775736462</v>
      </c>
      <c r="AD488" s="37">
        <v>3.2916000990904273</v>
      </c>
    </row>
    <row r="489" spans="2:30" x14ac:dyDescent="0.3">
      <c r="B489" s="28">
        <v>43340</v>
      </c>
      <c r="C489" s="25">
        <v>39.900002000000001</v>
      </c>
      <c r="D489" s="18">
        <f t="shared" si="63"/>
        <v>-1.7966994389195245E-2</v>
      </c>
      <c r="E489" s="32">
        <f t="shared" ca="1" si="64"/>
        <v>-2.486883842753025E-3</v>
      </c>
      <c r="F489" s="18">
        <f t="shared" ca="1" si="65"/>
        <v>58.164990800642187</v>
      </c>
      <c r="G489" s="19">
        <f t="shared" ca="1" si="66"/>
        <v>0.14501019935781301</v>
      </c>
      <c r="H489" s="27">
        <v>55.779998999999997</v>
      </c>
      <c r="I489" s="19">
        <f t="shared" si="67"/>
        <v>-1.2743380530973458E-2</v>
      </c>
      <c r="J489" s="19">
        <f t="shared" ca="1" si="68"/>
        <v>2.7000922763185102E-2</v>
      </c>
      <c r="K489" s="19">
        <f t="shared" ca="1" si="69"/>
        <v>85.744304987496477</v>
      </c>
      <c r="L489" s="19">
        <f t="shared" ca="1" si="70"/>
        <v>-2.2543069874964772</v>
      </c>
      <c r="M489" s="19">
        <f t="shared" ca="1" si="71"/>
        <v>-2.1092967881386642</v>
      </c>
      <c r="AA489" s="37">
        <v>469</v>
      </c>
      <c r="AB489" s="37">
        <v>1.838494944945666</v>
      </c>
      <c r="AC489" s="37">
        <v>2.9502512681139019</v>
      </c>
      <c r="AD489" s="37">
        <v>3.4804386292614189</v>
      </c>
    </row>
    <row r="490" spans="2:30" x14ac:dyDescent="0.3">
      <c r="B490" s="28">
        <v>43341</v>
      </c>
      <c r="C490" s="25">
        <v>40.659999999999997</v>
      </c>
      <c r="D490" s="18">
        <f t="shared" si="63"/>
        <v>1.9047567967540369E-2</v>
      </c>
      <c r="E490" s="32">
        <f t="shared" ca="1" si="64"/>
        <v>-2.4463412130155401E-2</v>
      </c>
      <c r="F490" s="18">
        <f t="shared" ca="1" si="65"/>
        <v>56.883539414227229</v>
      </c>
      <c r="G490" s="19">
        <f t="shared" ca="1" si="66"/>
        <v>1.4264615857727705</v>
      </c>
      <c r="H490" s="27">
        <v>56.189999</v>
      </c>
      <c r="I490" s="19">
        <f t="shared" si="67"/>
        <v>7.3503049005074761E-3</v>
      </c>
      <c r="J490" s="19">
        <f t="shared" ca="1" si="68"/>
        <v>-2.8761752358283921E-2</v>
      </c>
      <c r="K490" s="19">
        <f t="shared" ca="1" si="69"/>
        <v>81.088679353130374</v>
      </c>
      <c r="L490" s="19">
        <f t="shared" ca="1" si="70"/>
        <v>2.4013186468696261</v>
      </c>
      <c r="M490" s="19">
        <f t="shared" ca="1" si="71"/>
        <v>3.8277802326423966</v>
      </c>
      <c r="AA490" s="37">
        <v>470</v>
      </c>
      <c r="AB490" s="37">
        <v>1.7546968145457478</v>
      </c>
      <c r="AC490" s="37">
        <v>2.9801847414883693</v>
      </c>
      <c r="AD490" s="37">
        <v>3.3476751503041613</v>
      </c>
    </row>
    <row r="491" spans="2:30" x14ac:dyDescent="0.3">
      <c r="B491" s="28">
        <v>43342</v>
      </c>
      <c r="C491" s="25">
        <v>39.490001999999997</v>
      </c>
      <c r="D491" s="18">
        <f t="shared" si="63"/>
        <v>-2.8775159862272526E-2</v>
      </c>
      <c r="E491" s="32">
        <f t="shared" ca="1" si="64"/>
        <v>4.6407865994862151E-4</v>
      </c>
      <c r="F491" s="18">
        <f t="shared" ca="1" si="65"/>
        <v>58.337061427125683</v>
      </c>
      <c r="G491" s="19">
        <f t="shared" ca="1" si="66"/>
        <v>-2.7060427125682907E-2</v>
      </c>
      <c r="H491" s="27">
        <v>55.779998999999997</v>
      </c>
      <c r="I491" s="19">
        <f t="shared" si="67"/>
        <v>-7.2966721355521846E-3</v>
      </c>
      <c r="J491" s="19">
        <f t="shared" ca="1" si="68"/>
        <v>-1.3094583567032058E-2</v>
      </c>
      <c r="K491" s="19">
        <f t="shared" ca="1" si="69"/>
        <v>82.396731244177658</v>
      </c>
      <c r="L491" s="19">
        <f t="shared" ca="1" si="70"/>
        <v>1.0932667558223415</v>
      </c>
      <c r="M491" s="19">
        <f t="shared" ca="1" si="71"/>
        <v>1.0662063286966585</v>
      </c>
      <c r="AA491" s="37">
        <v>471</v>
      </c>
      <c r="AB491" s="37">
        <v>1.7569067031706294</v>
      </c>
      <c r="AC491" s="37">
        <v>2.7956897651469248</v>
      </c>
      <c r="AD491" s="37">
        <v>3.2525924724544018</v>
      </c>
    </row>
    <row r="492" spans="2:30" x14ac:dyDescent="0.3">
      <c r="B492" s="28">
        <v>43343</v>
      </c>
      <c r="C492" s="25">
        <v>39.75</v>
      </c>
      <c r="D492" s="18">
        <f t="shared" si="63"/>
        <v>6.5838943234290959E-3</v>
      </c>
      <c r="E492" s="32">
        <f t="shared" ca="1" si="64"/>
        <v>2.5223061891798885E-3</v>
      </c>
      <c r="F492" s="18">
        <f t="shared" ca="1" si="65"/>
        <v>58.457076676413386</v>
      </c>
      <c r="G492" s="19">
        <f t="shared" ca="1" si="66"/>
        <v>-0.1470756764133867</v>
      </c>
      <c r="H492" s="27">
        <v>56.02</v>
      </c>
      <c r="I492" s="19">
        <f t="shared" si="67"/>
        <v>4.3026354303090653E-3</v>
      </c>
      <c r="J492" s="19">
        <f t="shared" ca="1" si="68"/>
        <v>-5.6841270596248536E-2</v>
      </c>
      <c r="K492" s="19">
        <f t="shared" ca="1" si="69"/>
        <v>78.74432043160175</v>
      </c>
      <c r="L492" s="19">
        <f t="shared" ca="1" si="70"/>
        <v>4.7456775683982499</v>
      </c>
      <c r="M492" s="19">
        <f t="shared" ca="1" si="71"/>
        <v>4.5986018919848632</v>
      </c>
      <c r="AA492" s="37">
        <v>472</v>
      </c>
      <c r="AB492" s="37">
        <v>1.7416580695760295</v>
      </c>
      <c r="AC492" s="37">
        <v>2.831431212735823</v>
      </c>
      <c r="AD492" s="37">
        <v>3.204844671645855</v>
      </c>
    </row>
    <row r="493" spans="2:30" x14ac:dyDescent="0.3">
      <c r="B493" s="28">
        <v>43346</v>
      </c>
      <c r="C493" s="25">
        <v>39.779998999999997</v>
      </c>
      <c r="D493" s="18">
        <f t="shared" si="63"/>
        <v>7.5469182389920064E-4</v>
      </c>
      <c r="E493" s="32">
        <f t="shared" ca="1" si="64"/>
        <v>9.2628627962529544E-3</v>
      </c>
      <c r="F493" s="18">
        <f t="shared" ca="1" si="65"/>
        <v>58.850118538912376</v>
      </c>
      <c r="G493" s="19">
        <f t="shared" ca="1" si="66"/>
        <v>-0.54011753891237646</v>
      </c>
      <c r="H493" s="27">
        <v>55.330002</v>
      </c>
      <c r="I493" s="19">
        <f t="shared" si="67"/>
        <v>-1.231699393073904E-2</v>
      </c>
      <c r="J493" s="19">
        <f t="shared" ca="1" si="68"/>
        <v>-4.9783034522869099E-2</v>
      </c>
      <c r="K493" s="19">
        <f t="shared" ca="1" si="69"/>
        <v>79.333612547251718</v>
      </c>
      <c r="L493" s="19">
        <f t="shared" ca="1" si="70"/>
        <v>4.1563854527482818</v>
      </c>
      <c r="M493" s="19">
        <f t="shared" ca="1" si="71"/>
        <v>3.6162679138359053</v>
      </c>
      <c r="AA493" s="37">
        <v>473</v>
      </c>
      <c r="AB493" s="37">
        <v>1.9391008356904891</v>
      </c>
      <c r="AC493" s="37">
        <v>2.9372708060495607</v>
      </c>
      <c r="AD493" s="37">
        <v>3.2259673600650225</v>
      </c>
    </row>
    <row r="494" spans="2:30" x14ac:dyDescent="0.3">
      <c r="B494" s="28">
        <v>43347</v>
      </c>
      <c r="C494" s="25">
        <v>39.380001</v>
      </c>
      <c r="D494" s="18">
        <f t="shared" si="63"/>
        <v>-1.0055254149201831E-2</v>
      </c>
      <c r="E494" s="32">
        <f t="shared" ca="1" si="64"/>
        <v>1.5086140753367502E-2</v>
      </c>
      <c r="F494" s="18">
        <f t="shared" ca="1" si="65"/>
        <v>59.189673882415001</v>
      </c>
      <c r="G494" s="19">
        <f t="shared" ca="1" si="66"/>
        <v>-0.87967288241500086</v>
      </c>
      <c r="H494" s="27">
        <v>54.52</v>
      </c>
      <c r="I494" s="19">
        <f t="shared" si="67"/>
        <v>-1.4639471728195463E-2</v>
      </c>
      <c r="J494" s="19">
        <f t="shared" ca="1" si="68"/>
        <v>-9.620857077080552E-3</v>
      </c>
      <c r="K494" s="19">
        <f t="shared" ca="1" si="69"/>
        <v>82.686752661876255</v>
      </c>
      <c r="L494" s="19">
        <f t="shared" ca="1" si="70"/>
        <v>0.80324533812374455</v>
      </c>
      <c r="M494" s="19">
        <f t="shared" ca="1" si="71"/>
        <v>-7.6427544291256311E-2</v>
      </c>
      <c r="AA494" s="37">
        <v>474</v>
      </c>
      <c r="AB494" s="37">
        <v>1.7743486945623386</v>
      </c>
      <c r="AC494" s="37">
        <v>3.0575809822391387</v>
      </c>
      <c r="AD494" s="37">
        <v>3.3349601858667524</v>
      </c>
    </row>
    <row r="495" spans="2:30" x14ac:dyDescent="0.3">
      <c r="B495" s="28">
        <v>43348</v>
      </c>
      <c r="C495" s="25">
        <v>38.740001999999997</v>
      </c>
      <c r="D495" s="18">
        <f t="shared" si="63"/>
        <v>-1.6251878713766543E-2</v>
      </c>
      <c r="E495" s="32">
        <f t="shared" ca="1" si="64"/>
        <v>-5.0689493242554043E-3</v>
      </c>
      <c r="F495" s="18">
        <f t="shared" ca="1" si="65"/>
        <v>58.01443055983372</v>
      </c>
      <c r="G495" s="19">
        <f t="shared" ca="1" si="66"/>
        <v>0.29557044016627998</v>
      </c>
      <c r="H495" s="27">
        <v>53.959999000000003</v>
      </c>
      <c r="I495" s="19">
        <f t="shared" si="67"/>
        <v>-1.0271478356566388E-2</v>
      </c>
      <c r="J495" s="19">
        <f t="shared" ca="1" si="68"/>
        <v>1.6351059429514536E-2</v>
      </c>
      <c r="K495" s="19">
        <f t="shared" ca="1" si="69"/>
        <v>84.855147919068045</v>
      </c>
      <c r="L495" s="19">
        <f t="shared" ca="1" si="70"/>
        <v>-1.3651499190680454</v>
      </c>
      <c r="M495" s="19">
        <f t="shared" ca="1" si="71"/>
        <v>-1.0695794789017654</v>
      </c>
      <c r="AA495" s="37">
        <v>475</v>
      </c>
      <c r="AB495" s="37">
        <v>1.708765661559587</v>
      </c>
      <c r="AC495" s="37">
        <v>2.8289632467010914</v>
      </c>
      <c r="AD495" s="37">
        <v>3.4679509217394942</v>
      </c>
    </row>
    <row r="496" spans="2:30" x14ac:dyDescent="0.3">
      <c r="B496" s="28">
        <v>43349</v>
      </c>
      <c r="C496" s="25">
        <v>38.409999999999997</v>
      </c>
      <c r="D496" s="18">
        <f t="shared" si="63"/>
        <v>-8.5183784967279852E-3</v>
      </c>
      <c r="E496" s="32">
        <f t="shared" ca="1" si="64"/>
        <v>-1.9040819553403514E-2</v>
      </c>
      <c r="F496" s="18">
        <f t="shared" ca="1" si="65"/>
        <v>57.199730792800217</v>
      </c>
      <c r="G496" s="19">
        <f t="shared" ca="1" si="66"/>
        <v>1.1102702071997825</v>
      </c>
      <c r="H496" s="27">
        <v>54</v>
      </c>
      <c r="I496" s="19">
        <f t="shared" si="67"/>
        <v>7.413083903133888E-4</v>
      </c>
      <c r="J496" s="19">
        <f t="shared" ca="1" si="68"/>
        <v>-9.9151804509870749E-3</v>
      </c>
      <c r="K496" s="19">
        <f t="shared" ca="1" si="69"/>
        <v>82.662179603977449</v>
      </c>
      <c r="L496" s="19">
        <f t="shared" ca="1" si="70"/>
        <v>0.82781839602255047</v>
      </c>
      <c r="M496" s="19">
        <f t="shared" ca="1" si="71"/>
        <v>1.938088603222333</v>
      </c>
      <c r="AA496" s="37">
        <v>476</v>
      </c>
      <c r="AB496" s="37">
        <v>1.8038164239790999</v>
      </c>
      <c r="AC496" s="37">
        <v>2.7480273940173232</v>
      </c>
      <c r="AD496" s="37">
        <v>3.2948216396671057</v>
      </c>
    </row>
    <row r="497" spans="2:30" x14ac:dyDescent="0.3">
      <c r="B497" s="28">
        <v>43350</v>
      </c>
      <c r="C497" s="25">
        <v>38.810001</v>
      </c>
      <c r="D497" s="18">
        <f t="shared" si="63"/>
        <v>1.041398073418387E-2</v>
      </c>
      <c r="E497" s="32">
        <f t="shared" ca="1" si="64"/>
        <v>2.3642286326995568E-2</v>
      </c>
      <c r="F497" s="18">
        <f t="shared" ca="1" si="65"/>
        <v>59.688582739369402</v>
      </c>
      <c r="G497" s="19">
        <f t="shared" ca="1" si="66"/>
        <v>-1.3785817393694018</v>
      </c>
      <c r="H497" s="27">
        <v>54.220001000000003</v>
      </c>
      <c r="I497" s="19">
        <f t="shared" si="67"/>
        <v>4.0740925925926152E-3</v>
      </c>
      <c r="J497" s="19">
        <f t="shared" ca="1" si="68"/>
        <v>-1.0999213913098648E-2</v>
      </c>
      <c r="K497" s="19">
        <f t="shared" ca="1" si="69"/>
        <v>82.571673652393827</v>
      </c>
      <c r="L497" s="19">
        <f t="shared" ca="1" si="70"/>
        <v>0.91832434760617332</v>
      </c>
      <c r="M497" s="19">
        <f t="shared" ca="1" si="71"/>
        <v>-0.46025739176322844</v>
      </c>
      <c r="AA497" s="37">
        <v>477</v>
      </c>
      <c r="AB497" s="37">
        <v>1.8175078095671089</v>
      </c>
      <c r="AC497" s="37">
        <v>2.8503501531294515</v>
      </c>
      <c r="AD497" s="37">
        <v>3.1307930051317356</v>
      </c>
    </row>
    <row r="498" spans="2:30" x14ac:dyDescent="0.3">
      <c r="B498" s="28">
        <v>43353</v>
      </c>
      <c r="C498" s="25">
        <v>38.840000000000003</v>
      </c>
      <c r="D498" s="18">
        <f t="shared" si="63"/>
        <v>7.7297086387617675E-4</v>
      </c>
      <c r="E498" s="32">
        <f t="shared" ca="1" si="64"/>
        <v>3.062889729336014E-2</v>
      </c>
      <c r="F498" s="18">
        <f t="shared" ca="1" si="65"/>
        <v>60.095972031804727</v>
      </c>
      <c r="G498" s="19">
        <f t="shared" ca="1" si="66"/>
        <v>-1.7859710318047277</v>
      </c>
      <c r="H498" s="27">
        <v>53.939999</v>
      </c>
      <c r="I498" s="19">
        <f t="shared" si="67"/>
        <v>-5.1641828630730746E-3</v>
      </c>
      <c r="J498" s="19">
        <f t="shared" ca="1" si="68"/>
        <v>-5.1565503191952904E-2</v>
      </c>
      <c r="K498" s="19">
        <f t="shared" ca="1" si="69"/>
        <v>79.184794241634862</v>
      </c>
      <c r="L498" s="19">
        <f t="shared" ca="1" si="70"/>
        <v>4.3052037583651384</v>
      </c>
      <c r="M498" s="19">
        <f t="shared" ca="1" si="71"/>
        <v>2.5192327265604106</v>
      </c>
      <c r="AA498" s="37">
        <v>478</v>
      </c>
      <c r="AB498" s="37">
        <v>1.9038030587248882</v>
      </c>
      <c r="AC498" s="37">
        <v>2.7545090250216449</v>
      </c>
      <c r="AD498" s="37">
        <v>3.2816533827286634</v>
      </c>
    </row>
    <row r="499" spans="2:30" x14ac:dyDescent="0.3">
      <c r="B499" s="28">
        <v>43354</v>
      </c>
      <c r="C499" s="25">
        <v>38.720001000000003</v>
      </c>
      <c r="D499" s="18">
        <f t="shared" si="63"/>
        <v>-3.0895726055613082E-3</v>
      </c>
      <c r="E499" s="32">
        <f t="shared" ca="1" si="64"/>
        <v>9.3253210089289731E-3</v>
      </c>
      <c r="F499" s="18">
        <f t="shared" ca="1" si="65"/>
        <v>58.853760477355969</v>
      </c>
      <c r="G499" s="19">
        <f t="shared" ca="1" si="66"/>
        <v>-0.54375947735596952</v>
      </c>
      <c r="H499" s="27">
        <v>52.84</v>
      </c>
      <c r="I499" s="19">
        <f t="shared" si="67"/>
        <v>-2.0393011130756533E-2</v>
      </c>
      <c r="J499" s="19">
        <f t="shared" ca="1" si="68"/>
        <v>1.1294885012590769E-3</v>
      </c>
      <c r="K499" s="19">
        <f t="shared" ca="1" si="69"/>
        <v>83.584298992711155</v>
      </c>
      <c r="L499" s="19">
        <f t="shared" ca="1" si="70"/>
        <v>-9.4300992711154663E-2</v>
      </c>
      <c r="M499" s="19">
        <f t="shared" ca="1" si="71"/>
        <v>-0.63806047006712419</v>
      </c>
      <c r="AA499" s="37">
        <v>479</v>
      </c>
      <c r="AB499" s="37">
        <v>1.8334801877386482</v>
      </c>
      <c r="AC499" s="37">
        <v>3.033564668141008</v>
      </c>
      <c r="AD499" s="37">
        <v>3.4983198607257329</v>
      </c>
    </row>
    <row r="500" spans="2:30" x14ac:dyDescent="0.3">
      <c r="B500" s="28">
        <v>43355</v>
      </c>
      <c r="C500" s="25">
        <v>38.880001</v>
      </c>
      <c r="D500" s="18">
        <f t="shared" si="63"/>
        <v>4.1322312982376985E-3</v>
      </c>
      <c r="E500" s="32">
        <f t="shared" ca="1" si="64"/>
        <v>-4.1307547999840953E-2</v>
      </c>
      <c r="F500" s="18">
        <f t="shared" ca="1" si="65"/>
        <v>55.901357834821724</v>
      </c>
      <c r="G500" s="19">
        <f t="shared" ca="1" si="66"/>
        <v>2.408643165178276</v>
      </c>
      <c r="H500" s="27">
        <v>53.049999</v>
      </c>
      <c r="I500" s="19">
        <f t="shared" si="67"/>
        <v>3.9742429977289717E-3</v>
      </c>
      <c r="J500" s="19">
        <f t="shared" ca="1" si="68"/>
        <v>-1.3240226233416953E-2</v>
      </c>
      <c r="K500" s="19">
        <f t="shared" ca="1" si="69"/>
        <v>82.384571538252473</v>
      </c>
      <c r="L500" s="19">
        <f t="shared" ca="1" si="70"/>
        <v>1.1054264617475269</v>
      </c>
      <c r="M500" s="19">
        <f t="shared" ca="1" si="71"/>
        <v>3.5140696269258029</v>
      </c>
      <c r="AA500" s="37">
        <v>480</v>
      </c>
      <c r="AB500" s="37">
        <v>1.8274594960662953</v>
      </c>
      <c r="AC500" s="37">
        <v>2.888594638686393</v>
      </c>
      <c r="AD500" s="37">
        <v>3.0890357975422083</v>
      </c>
    </row>
    <row r="501" spans="2:30" x14ac:dyDescent="0.3">
      <c r="B501" s="28">
        <v>43356</v>
      </c>
      <c r="C501" s="25">
        <v>38.959999000000003</v>
      </c>
      <c r="D501" s="18">
        <f t="shared" si="63"/>
        <v>2.0575616754743287E-3</v>
      </c>
      <c r="E501" s="32">
        <f t="shared" ca="1" si="64"/>
        <v>-5.8421026669408975E-3</v>
      </c>
      <c r="F501" s="18">
        <f t="shared" ca="1" si="65"/>
        <v>57.969347987648575</v>
      </c>
      <c r="G501" s="19">
        <f t="shared" ca="1" si="66"/>
        <v>0.34065301235142442</v>
      </c>
      <c r="H501" s="27">
        <v>53.290000999999997</v>
      </c>
      <c r="I501" s="19">
        <f t="shared" si="67"/>
        <v>4.5240717158165911E-3</v>
      </c>
      <c r="J501" s="19">
        <f t="shared" ca="1" si="68"/>
        <v>1.9139526559385302E-2</v>
      </c>
      <c r="K501" s="19">
        <f t="shared" ca="1" si="69"/>
        <v>85.08795703416402</v>
      </c>
      <c r="L501" s="19">
        <f t="shared" ca="1" si="70"/>
        <v>-1.5979590341640204</v>
      </c>
      <c r="M501" s="19">
        <f t="shared" ca="1" si="71"/>
        <v>-1.257306021812596</v>
      </c>
      <c r="AA501" s="37">
        <v>481</v>
      </c>
      <c r="AB501" s="37">
        <v>1.909748700257841</v>
      </c>
      <c r="AC501" s="37">
        <v>2.9029674311580473</v>
      </c>
      <c r="AD501" s="37">
        <v>3.5417359898237479</v>
      </c>
    </row>
    <row r="502" spans="2:30" x14ac:dyDescent="0.3">
      <c r="B502" s="28">
        <v>43357</v>
      </c>
      <c r="C502" s="25">
        <v>39.779998999999997</v>
      </c>
      <c r="D502" s="18">
        <f t="shared" si="63"/>
        <v>2.1047228466304357E-2</v>
      </c>
      <c r="E502" s="32">
        <f t="shared" ca="1" si="64"/>
        <v>1.2723527121320265E-2</v>
      </c>
      <c r="F502" s="18">
        <f t="shared" ca="1" si="65"/>
        <v>59.05190987916771</v>
      </c>
      <c r="G502" s="19">
        <f t="shared" ca="1" si="66"/>
        <v>-0.74190887916770976</v>
      </c>
      <c r="H502" s="27">
        <v>53.060001</v>
      </c>
      <c r="I502" s="19">
        <f t="shared" si="67"/>
        <v>-4.3160066744978298E-3</v>
      </c>
      <c r="J502" s="19">
        <f t="shared" ca="1" si="68"/>
        <v>-1.9677459590830726E-2</v>
      </c>
      <c r="K502" s="19">
        <f t="shared" ca="1" si="69"/>
        <v>81.84712693811646</v>
      </c>
      <c r="L502" s="19">
        <f t="shared" ca="1" si="70"/>
        <v>1.6428710618835396</v>
      </c>
      <c r="M502" s="19">
        <f t="shared" ca="1" si="71"/>
        <v>0.90096218271582984</v>
      </c>
      <c r="AA502" s="37">
        <v>482</v>
      </c>
      <c r="AB502" s="37">
        <v>1.8051898263279906</v>
      </c>
      <c r="AC502" s="37">
        <v>2.9010139188510387</v>
      </c>
      <c r="AD502" s="37">
        <v>3.3825970819110198</v>
      </c>
    </row>
    <row r="503" spans="2:30" x14ac:dyDescent="0.3">
      <c r="B503" s="28">
        <v>43360</v>
      </c>
      <c r="C503" s="25">
        <v>40</v>
      </c>
      <c r="D503" s="18">
        <f t="shared" si="63"/>
        <v>5.5304425724094219E-3</v>
      </c>
      <c r="E503" s="32">
        <f t="shared" ca="1" si="64"/>
        <v>2.2027064472063009E-2</v>
      </c>
      <c r="F503" s="18">
        <f t="shared" ca="1" si="65"/>
        <v>59.594399151393063</v>
      </c>
      <c r="G503" s="19">
        <f t="shared" ca="1" si="66"/>
        <v>-1.2843981513930629</v>
      </c>
      <c r="H503" s="27">
        <v>52.810001</v>
      </c>
      <c r="I503" s="19">
        <f t="shared" si="67"/>
        <v>-4.7116471030598239E-3</v>
      </c>
      <c r="J503" s="19">
        <f t="shared" ca="1" si="68"/>
        <v>-1.6025696727977146E-2</v>
      </c>
      <c r="K503" s="19">
        <f t="shared" ca="1" si="69"/>
        <v>82.152012612232582</v>
      </c>
      <c r="L503" s="19">
        <f t="shared" ca="1" si="70"/>
        <v>1.3379853877674179</v>
      </c>
      <c r="M503" s="19">
        <f t="shared" ca="1" si="71"/>
        <v>5.358723637435503E-2</v>
      </c>
      <c r="AA503" s="37">
        <v>483</v>
      </c>
      <c r="AB503" s="37">
        <v>1.7833985248416886</v>
      </c>
      <c r="AC503" s="37">
        <v>2.8680734989482466</v>
      </c>
      <c r="AD503" s="37">
        <v>3.2419056601847989</v>
      </c>
    </row>
    <row r="504" spans="2:30" x14ac:dyDescent="0.3">
      <c r="B504" s="28">
        <v>43361</v>
      </c>
      <c r="C504" s="25">
        <v>40.5</v>
      </c>
      <c r="D504" s="18">
        <f t="shared" si="63"/>
        <v>1.2499999999999956E-2</v>
      </c>
      <c r="E504" s="32">
        <f t="shared" ca="1" si="64"/>
        <v>-5.3415045563461223E-4</v>
      </c>
      <c r="F504" s="18">
        <f t="shared" ca="1" si="65"/>
        <v>58.278854686397793</v>
      </c>
      <c r="G504" s="19">
        <f t="shared" ca="1" si="66"/>
        <v>3.1146313602206988E-2</v>
      </c>
      <c r="H504" s="27">
        <v>53.5</v>
      </c>
      <c r="I504" s="19">
        <f t="shared" si="67"/>
        <v>1.3065688069197279E-2</v>
      </c>
      <c r="J504" s="19">
        <f t="shared" ca="1" si="68"/>
        <v>4.6739272538594175E-3</v>
      </c>
      <c r="K504" s="19">
        <f t="shared" ca="1" si="69"/>
        <v>83.880224177076869</v>
      </c>
      <c r="L504" s="19">
        <f t="shared" ca="1" si="70"/>
        <v>-0.39022617707686891</v>
      </c>
      <c r="M504" s="19">
        <f t="shared" ca="1" si="71"/>
        <v>-0.35907986347466192</v>
      </c>
      <c r="AA504" s="37">
        <v>484</v>
      </c>
      <c r="AB504" s="37">
        <v>1.8196892956750581</v>
      </c>
      <c r="AC504" s="37">
        <v>2.7960059358726737</v>
      </c>
      <c r="AD504" s="37">
        <v>3.4014536122431447</v>
      </c>
    </row>
    <row r="505" spans="2:30" x14ac:dyDescent="0.3">
      <c r="B505" s="28">
        <v>43362</v>
      </c>
      <c r="C505" s="25">
        <v>40.479999999999997</v>
      </c>
      <c r="D505" s="18">
        <f t="shared" si="63"/>
        <v>-4.938271604939537E-4</v>
      </c>
      <c r="E505" s="32">
        <f t="shared" ca="1" si="64"/>
        <v>-3.3596972464035479E-2</v>
      </c>
      <c r="F505" s="18">
        <f t="shared" ca="1" si="65"/>
        <v>56.350961502025122</v>
      </c>
      <c r="G505" s="19">
        <f t="shared" ca="1" si="66"/>
        <v>1.959039497974878</v>
      </c>
      <c r="H505" s="27">
        <v>53.389999000000003</v>
      </c>
      <c r="I505" s="19">
        <f t="shared" si="67"/>
        <v>-2.0560934579438861E-3</v>
      </c>
      <c r="J505" s="19">
        <f t="shared" ca="1" si="68"/>
        <v>2.591407790721548E-2</v>
      </c>
      <c r="K505" s="19">
        <f t="shared" ca="1" si="69"/>
        <v>85.653564312645273</v>
      </c>
      <c r="L505" s="19">
        <f t="shared" ca="1" si="70"/>
        <v>-2.1635663126452727</v>
      </c>
      <c r="M505" s="19">
        <f t="shared" ca="1" si="71"/>
        <v>-0.20452681467039469</v>
      </c>
      <c r="AA505" s="37">
        <v>485</v>
      </c>
      <c r="AB505" s="37">
        <v>1.7971906650230529</v>
      </c>
      <c r="AC505" s="37">
        <v>2.7853175816242794</v>
      </c>
      <c r="AD505" s="37">
        <v>3.1111416048161877</v>
      </c>
    </row>
    <row r="506" spans="2:30" x14ac:dyDescent="0.3">
      <c r="B506" s="28">
        <v>43363</v>
      </c>
      <c r="C506" s="25">
        <v>40.119999</v>
      </c>
      <c r="D506" s="18">
        <f t="shared" si="63"/>
        <v>-8.8933053359683267E-3</v>
      </c>
      <c r="E506" s="32">
        <f t="shared" ca="1" si="64"/>
        <v>-2.4135807400720872E-2</v>
      </c>
      <c r="F506" s="18">
        <f t="shared" ca="1" si="65"/>
        <v>56.902642046328161</v>
      </c>
      <c r="G506" s="19">
        <f t="shared" ca="1" si="66"/>
        <v>1.4073589536718387</v>
      </c>
      <c r="H506" s="27">
        <v>52.669998</v>
      </c>
      <c r="I506" s="19">
        <f t="shared" si="67"/>
        <v>-1.3485690456746413E-2</v>
      </c>
      <c r="J506" s="19">
        <f t="shared" ca="1" si="68"/>
        <v>-3.5880092387748242E-3</v>
      </c>
      <c r="K506" s="19">
        <f t="shared" ca="1" si="69"/>
        <v>83.190435115830709</v>
      </c>
      <c r="L506" s="19">
        <f t="shared" ca="1" si="70"/>
        <v>0.29956288416929056</v>
      </c>
      <c r="M506" s="19">
        <f t="shared" ca="1" si="71"/>
        <v>1.7069218378411293</v>
      </c>
      <c r="AA506" s="37">
        <v>486</v>
      </c>
      <c r="AB506" s="37">
        <v>1.7538598992770447</v>
      </c>
      <c r="AC506" s="37">
        <v>2.8630046015144188</v>
      </c>
      <c r="AD506" s="37">
        <v>3.5027240024503459</v>
      </c>
    </row>
    <row r="507" spans="2:30" x14ac:dyDescent="0.3">
      <c r="B507" s="28">
        <v>43364</v>
      </c>
      <c r="C507" s="25">
        <v>40.25</v>
      </c>
      <c r="D507" s="18">
        <f t="shared" si="63"/>
        <v>3.2403041685020728E-3</v>
      </c>
      <c r="E507" s="32">
        <f t="shared" ca="1" si="64"/>
        <v>3.4170344905514967E-2</v>
      </c>
      <c r="F507" s="18">
        <f t="shared" ca="1" si="65"/>
        <v>60.302473845610926</v>
      </c>
      <c r="G507" s="19">
        <f t="shared" ca="1" si="66"/>
        <v>-1.9924728456109264</v>
      </c>
      <c r="H507" s="27">
        <v>55.200001</v>
      </c>
      <c r="I507" s="19">
        <f t="shared" si="67"/>
        <v>4.8034993280235083E-2</v>
      </c>
      <c r="J507" s="19">
        <f t="shared" ca="1" si="68"/>
        <v>-5.3226207750760111E-2</v>
      </c>
      <c r="K507" s="19">
        <f t="shared" ca="1" si="69"/>
        <v>79.046142021341453</v>
      </c>
      <c r="L507" s="19">
        <f t="shared" ca="1" si="70"/>
        <v>4.4438559786585472</v>
      </c>
      <c r="M507" s="19">
        <f t="shared" ca="1" si="71"/>
        <v>2.4513831330476208</v>
      </c>
      <c r="AA507" s="37">
        <v>487</v>
      </c>
      <c r="AB507" s="37">
        <v>1.8639100776953736</v>
      </c>
      <c r="AC507" s="37">
        <v>2.9468433846882678</v>
      </c>
      <c r="AD507" s="37">
        <v>3.3250437012725649</v>
      </c>
    </row>
    <row r="508" spans="2:30" x14ac:dyDescent="0.3">
      <c r="B508" s="28">
        <v>43367</v>
      </c>
      <c r="C508" s="25">
        <v>40.389999000000003</v>
      </c>
      <c r="D508" s="18">
        <f t="shared" si="63"/>
        <v>3.4782360248448718E-3</v>
      </c>
      <c r="E508" s="32">
        <f t="shared" ca="1" si="64"/>
        <v>-1.3058794550503133E-2</v>
      </c>
      <c r="F508" s="18">
        <f t="shared" ca="1" si="65"/>
        <v>57.548542676701366</v>
      </c>
      <c r="G508" s="19">
        <f t="shared" ca="1" si="66"/>
        <v>0.76145832329863339</v>
      </c>
      <c r="H508" s="27">
        <v>55.66</v>
      </c>
      <c r="I508" s="19">
        <f t="shared" si="67"/>
        <v>8.3333150664253175E-3</v>
      </c>
      <c r="J508" s="19">
        <f t="shared" ca="1" si="68"/>
        <v>2.0708617620665802E-2</v>
      </c>
      <c r="K508" s="19">
        <f t="shared" ca="1" si="69"/>
        <v>85.218960443732158</v>
      </c>
      <c r="L508" s="19">
        <f t="shared" ca="1" si="70"/>
        <v>-1.7289624437321578</v>
      </c>
      <c r="M508" s="19">
        <f t="shared" ca="1" si="71"/>
        <v>-0.96750412043352441</v>
      </c>
      <c r="AA508" s="37">
        <v>488</v>
      </c>
      <c r="AB508" s="37">
        <v>1.7685259425739417</v>
      </c>
      <c r="AC508" s="37">
        <v>2.9207064869634189</v>
      </c>
      <c r="AD508" s="37">
        <v>3.2737061994140495</v>
      </c>
    </row>
    <row r="509" spans="2:30" x14ac:dyDescent="0.3">
      <c r="B509" s="28">
        <v>43368</v>
      </c>
      <c r="C509" s="25">
        <v>40.619999</v>
      </c>
      <c r="D509" s="18">
        <f t="shared" si="63"/>
        <v>5.6944789723811784E-3</v>
      </c>
      <c r="E509" s="32">
        <f t="shared" ca="1" si="64"/>
        <v>1.9418476749244826E-2</v>
      </c>
      <c r="F509" s="18">
        <f t="shared" ca="1" si="65"/>
        <v>59.44229239866695</v>
      </c>
      <c r="G509" s="19">
        <f t="shared" ca="1" si="66"/>
        <v>-1.1322913986669505</v>
      </c>
      <c r="H509" s="27">
        <v>56.16</v>
      </c>
      <c r="I509" s="19">
        <f t="shared" si="67"/>
        <v>8.9831117499101776E-3</v>
      </c>
      <c r="J509" s="19">
        <f t="shared" ca="1" si="68"/>
        <v>-1.2969623476794591E-2</v>
      </c>
      <c r="K509" s="19">
        <f t="shared" ca="1" si="69"/>
        <v>82.407164161861658</v>
      </c>
      <c r="L509" s="19">
        <f t="shared" ca="1" si="70"/>
        <v>1.0828338381383418</v>
      </c>
      <c r="M509" s="19">
        <f t="shared" ca="1" si="71"/>
        <v>-4.9457560528608724E-2</v>
      </c>
      <c r="AA509" s="37">
        <v>489</v>
      </c>
      <c r="AB509" s="37">
        <v>1.920646323850612</v>
      </c>
      <c r="AC509" s="37">
        <v>2.7147250776316225</v>
      </c>
      <c r="AD509" s="37">
        <v>3.3977287865197776</v>
      </c>
    </row>
    <row r="510" spans="2:30" x14ac:dyDescent="0.3">
      <c r="B510" s="28">
        <v>43369</v>
      </c>
      <c r="C510" s="25">
        <v>40.689999</v>
      </c>
      <c r="D510" s="18">
        <f t="shared" si="63"/>
        <v>1.7232890626117658E-3</v>
      </c>
      <c r="E510" s="32">
        <f t="shared" ca="1" si="64"/>
        <v>1.2664616064404307E-2</v>
      </c>
      <c r="F510" s="18">
        <f t="shared" ca="1" si="65"/>
        <v>59.048474775380036</v>
      </c>
      <c r="G510" s="19">
        <f t="shared" ca="1" si="66"/>
        <v>-0.73847377538003656</v>
      </c>
      <c r="H510" s="27">
        <v>55.860000999999997</v>
      </c>
      <c r="I510" s="19">
        <f t="shared" si="67"/>
        <v>-5.3418625356125293E-3</v>
      </c>
      <c r="J510" s="19">
        <f t="shared" ca="1" si="68"/>
        <v>-3.5002327326344673E-2</v>
      </c>
      <c r="K510" s="19">
        <f t="shared" ca="1" si="69"/>
        <v>80.567653761528135</v>
      </c>
      <c r="L510" s="19">
        <f t="shared" ca="1" si="70"/>
        <v>2.9223442384718652</v>
      </c>
      <c r="M510" s="19">
        <f t="shared" ca="1" si="71"/>
        <v>2.1838704630918286</v>
      </c>
      <c r="AA510" s="37">
        <v>490</v>
      </c>
      <c r="AB510" s="37">
        <v>1.7064374687296777</v>
      </c>
      <c r="AC510" s="37">
        <v>3.0638737715320756</v>
      </c>
      <c r="AD510" s="37">
        <v>3.2872711173624993</v>
      </c>
    </row>
    <row r="511" spans="2:30" x14ac:dyDescent="0.3">
      <c r="B511" s="28">
        <v>43370</v>
      </c>
      <c r="C511" s="25">
        <v>40.560001</v>
      </c>
      <c r="D511" s="18">
        <f t="shared" si="63"/>
        <v>-3.1948391053044922E-3</v>
      </c>
      <c r="E511" s="32">
        <f t="shared" ca="1" si="64"/>
        <v>-6.1355513349613125E-4</v>
      </c>
      <c r="F511" s="18">
        <f t="shared" ca="1" si="65"/>
        <v>58.274224599552284</v>
      </c>
      <c r="G511" s="19">
        <f t="shared" ca="1" si="66"/>
        <v>3.5776400447716128E-2</v>
      </c>
      <c r="H511" s="27">
        <v>54.720001000000003</v>
      </c>
      <c r="I511" s="19">
        <f t="shared" si="67"/>
        <v>-2.0408162899961169E-2</v>
      </c>
      <c r="J511" s="19">
        <f t="shared" ca="1" si="68"/>
        <v>-7.1413703724048311E-3</v>
      </c>
      <c r="K511" s="19">
        <f t="shared" ca="1" si="69"/>
        <v>82.893765001890657</v>
      </c>
      <c r="L511" s="19">
        <f t="shared" ca="1" si="70"/>
        <v>0.59623299810934327</v>
      </c>
      <c r="M511" s="19">
        <f t="shared" ca="1" si="71"/>
        <v>0.6320093985570594</v>
      </c>
      <c r="AA511" s="37">
        <v>491</v>
      </c>
      <c r="AB511" s="37">
        <v>1.8189426228219268</v>
      </c>
      <c r="AC511" s="37">
        <v>2.7567521434452589</v>
      </c>
      <c r="AD511" s="37">
        <v>3.3594826421701778</v>
      </c>
    </row>
    <row r="512" spans="2:30" x14ac:dyDescent="0.3">
      <c r="B512" s="28">
        <v>43371</v>
      </c>
      <c r="C512" s="25">
        <v>39.909999999999997</v>
      </c>
      <c r="D512" s="18">
        <f t="shared" si="63"/>
        <v>-1.6025665285363311E-2</v>
      </c>
      <c r="E512" s="32">
        <f t="shared" ca="1" si="64"/>
        <v>-1.2151138414823025E-2</v>
      </c>
      <c r="F512" s="18">
        <f t="shared" ca="1" si="65"/>
        <v>57.601468106880525</v>
      </c>
      <c r="G512" s="19">
        <f t="shared" ca="1" si="66"/>
        <v>0.7085328931194752</v>
      </c>
      <c r="H512" s="27">
        <v>53.950001</v>
      </c>
      <c r="I512" s="19">
        <f t="shared" si="67"/>
        <v>-1.4071637169743578E-2</v>
      </c>
      <c r="J512" s="19">
        <f t="shared" ca="1" si="68"/>
        <v>4.3302327812119429E-2</v>
      </c>
      <c r="K512" s="19">
        <f t="shared" ca="1" si="69"/>
        <v>87.105309262429188</v>
      </c>
      <c r="L512" s="19">
        <f t="shared" ca="1" si="70"/>
        <v>-3.6153112624291879</v>
      </c>
      <c r="M512" s="19">
        <f t="shared" ca="1" si="71"/>
        <v>-2.9067783693097127</v>
      </c>
      <c r="AA512" s="37">
        <v>492</v>
      </c>
      <c r="AB512" s="37">
        <v>1.8364144025588252</v>
      </c>
      <c r="AC512" s="37">
        <v>2.912893342839904</v>
      </c>
      <c r="AD512" s="37">
        <v>3.4145777184658939</v>
      </c>
    </row>
    <row r="513" spans="2:30" x14ac:dyDescent="0.3">
      <c r="B513" s="28">
        <v>43374</v>
      </c>
      <c r="C513" s="25">
        <v>39.860000999999997</v>
      </c>
      <c r="D513" s="18">
        <f t="shared" si="63"/>
        <v>-1.2527937860185023E-3</v>
      </c>
      <c r="E513" s="32">
        <f t="shared" ca="1" si="64"/>
        <v>-5.5973998574746662E-3</v>
      </c>
      <c r="F513" s="18">
        <f t="shared" ca="1" si="65"/>
        <v>57.983616608713255</v>
      </c>
      <c r="G513" s="19">
        <f t="shared" ca="1" si="66"/>
        <v>0.32638439128674435</v>
      </c>
      <c r="H513" s="27">
        <v>54.439999</v>
      </c>
      <c r="I513" s="19">
        <f t="shared" si="67"/>
        <v>9.0824465415673128E-3</v>
      </c>
      <c r="J513" s="19">
        <f t="shared" ca="1" si="68"/>
        <v>-8.716202918946328E-3</v>
      </c>
      <c r="K513" s="19">
        <f t="shared" ca="1" si="69"/>
        <v>82.762282235729572</v>
      </c>
      <c r="L513" s="19">
        <f t="shared" ca="1" si="70"/>
        <v>0.72771576427042817</v>
      </c>
      <c r="M513" s="19">
        <f t="shared" ca="1" si="71"/>
        <v>1.0541001555571725</v>
      </c>
      <c r="AA513" s="37">
        <v>493</v>
      </c>
      <c r="AB513" s="37">
        <v>1.8355352009830925</v>
      </c>
      <c r="AC513" s="37">
        <v>2.7674217138873911</v>
      </c>
      <c r="AD513" s="37">
        <v>3.4357795726594689</v>
      </c>
    </row>
    <row r="514" spans="2:30" x14ac:dyDescent="0.3">
      <c r="B514" s="28">
        <v>43375</v>
      </c>
      <c r="C514" s="25">
        <v>39.040000999999997</v>
      </c>
      <c r="D514" s="18">
        <f t="shared" si="63"/>
        <v>-2.0572001490918201E-2</v>
      </c>
      <c r="E514" s="32">
        <f t="shared" ca="1" si="64"/>
        <v>2.0376991462346568E-2</v>
      </c>
      <c r="F514" s="18">
        <f t="shared" ca="1" si="65"/>
        <v>59.498183392546423</v>
      </c>
      <c r="G514" s="19">
        <f t="shared" ca="1" si="66"/>
        <v>-1.1881823925464232</v>
      </c>
      <c r="H514" s="27">
        <v>54.700001</v>
      </c>
      <c r="I514" s="19">
        <f t="shared" si="67"/>
        <v>4.77593689889666E-3</v>
      </c>
      <c r="J514" s="19">
        <f t="shared" ca="1" si="68"/>
        <v>1.7759468709413414E-2</v>
      </c>
      <c r="K514" s="19">
        <f t="shared" ca="1" si="69"/>
        <v>84.97273600702998</v>
      </c>
      <c r="L514" s="19">
        <f t="shared" ca="1" si="70"/>
        <v>-1.4827380070299796</v>
      </c>
      <c r="M514" s="19">
        <f t="shared" ca="1" si="71"/>
        <v>-2.6709203995764028</v>
      </c>
      <c r="AA514" s="37">
        <v>494</v>
      </c>
      <c r="AB514" s="37">
        <v>1.6373505830891937</v>
      </c>
      <c r="AC514" s="37">
        <v>2.8191722722462118</v>
      </c>
      <c r="AD514" s="37">
        <v>3.4986155473375495</v>
      </c>
    </row>
    <row r="515" spans="2:30" x14ac:dyDescent="0.3">
      <c r="B515" s="28">
        <v>43376</v>
      </c>
      <c r="C515" s="25">
        <v>38.82</v>
      </c>
      <c r="D515" s="18">
        <f t="shared" si="63"/>
        <v>-5.6352713720472236E-3</v>
      </c>
      <c r="E515" s="32">
        <f t="shared" ca="1" si="64"/>
        <v>2.5648570986707548E-2</v>
      </c>
      <c r="F515" s="18">
        <f t="shared" ca="1" si="65"/>
        <v>59.805569199883493</v>
      </c>
      <c r="G515" s="19">
        <f t="shared" ca="1" si="66"/>
        <v>-1.4955681998834933</v>
      </c>
      <c r="H515" s="27">
        <v>53.369999</v>
      </c>
      <c r="I515" s="19">
        <f t="shared" si="67"/>
        <v>-2.4314478531727968E-2</v>
      </c>
      <c r="J515" s="19">
        <f t="shared" ca="1" si="68"/>
        <v>-1.8829509145035988E-2</v>
      </c>
      <c r="K515" s="19">
        <f t="shared" ca="1" si="69"/>
        <v>81.917922319139961</v>
      </c>
      <c r="L515" s="19">
        <f t="shared" ca="1" si="70"/>
        <v>1.5720756808600385</v>
      </c>
      <c r="M515" s="19">
        <f t="shared" ca="1" si="71"/>
        <v>7.6507480976545139E-2</v>
      </c>
      <c r="AA515" s="37">
        <v>495</v>
      </c>
      <c r="AB515" s="37">
        <v>1.7264741361535731</v>
      </c>
      <c r="AC515" s="37">
        <v>2.8514374154276214</v>
      </c>
      <c r="AD515" s="37">
        <v>3.4247137264989576</v>
      </c>
    </row>
    <row r="516" spans="2:30" x14ac:dyDescent="0.3">
      <c r="B516" s="28">
        <v>43377</v>
      </c>
      <c r="C516" s="25">
        <v>38.549999</v>
      </c>
      <c r="D516" s="18">
        <f t="shared" si="63"/>
        <v>-6.9552035033487725E-3</v>
      </c>
      <c r="E516" s="32">
        <f t="shared" ca="1" si="64"/>
        <v>-1.3643461626634866E-2</v>
      </c>
      <c r="F516" s="18">
        <f t="shared" ca="1" si="65"/>
        <v>57.514450738907456</v>
      </c>
      <c r="G516" s="19">
        <f t="shared" ca="1" si="66"/>
        <v>0.79555026109254356</v>
      </c>
      <c r="H516" s="27">
        <v>53.509998000000003</v>
      </c>
      <c r="I516" s="19">
        <f t="shared" si="67"/>
        <v>2.6231778644028036E-3</v>
      </c>
      <c r="J516" s="19">
        <f t="shared" ca="1" si="68"/>
        <v>-1.4010803080947644E-3</v>
      </c>
      <c r="K516" s="19">
        <f t="shared" ca="1" si="69"/>
        <v>83.373021807879326</v>
      </c>
      <c r="L516" s="19">
        <f t="shared" ca="1" si="70"/>
        <v>0.11697619212067423</v>
      </c>
      <c r="M516" s="19">
        <f t="shared" ca="1" si="71"/>
        <v>0.91252645321321779</v>
      </c>
      <c r="AA516" s="37">
        <v>496</v>
      </c>
      <c r="AB516" s="37">
        <v>1.7311254730315528</v>
      </c>
      <c r="AC516" s="37">
        <v>2.6510486038972227</v>
      </c>
      <c r="AD516" s="37">
        <v>3.3897177321348289</v>
      </c>
    </row>
    <row r="517" spans="2:30" x14ac:dyDescent="0.3">
      <c r="B517" s="28">
        <v>43378</v>
      </c>
      <c r="C517" s="25">
        <v>38.189999</v>
      </c>
      <c r="D517" s="18">
        <f t="shared" si="63"/>
        <v>-9.3385216430226237E-3</v>
      </c>
      <c r="E517" s="32">
        <f t="shared" ca="1" si="64"/>
        <v>-2.7607859710060384E-2</v>
      </c>
      <c r="F517" s="18">
        <f t="shared" ca="1" si="65"/>
        <v>56.700186672698514</v>
      </c>
      <c r="G517" s="19">
        <f t="shared" ca="1" si="66"/>
        <v>1.6098143273014855</v>
      </c>
      <c r="H517" s="27">
        <v>52.240001999999997</v>
      </c>
      <c r="I517" s="19">
        <f t="shared" si="67"/>
        <v>-2.3733807652170036E-2</v>
      </c>
      <c r="J517" s="19">
        <f t="shared" ca="1" si="68"/>
        <v>2.4166288528823882E-2</v>
      </c>
      <c r="K517" s="19">
        <f t="shared" ca="1" si="69"/>
        <v>85.507641380938921</v>
      </c>
      <c r="L517" s="19">
        <f t="shared" ca="1" si="70"/>
        <v>-2.0176433809389209</v>
      </c>
      <c r="M517" s="19">
        <f t="shared" ca="1" si="71"/>
        <v>-0.40782905363743538</v>
      </c>
      <c r="AA517" s="37">
        <v>497</v>
      </c>
      <c r="AB517" s="37">
        <v>1.7725134264336431</v>
      </c>
      <c r="AC517" s="37">
        <v>2.9028539385842049</v>
      </c>
      <c r="AD517" s="37">
        <v>3.2965742180667883</v>
      </c>
    </row>
    <row r="518" spans="2:30" x14ac:dyDescent="0.3">
      <c r="B518" s="28">
        <v>43381</v>
      </c>
      <c r="C518" s="25">
        <v>38.310001</v>
      </c>
      <c r="D518" s="18">
        <f t="shared" si="63"/>
        <v>3.1422362697626216E-3</v>
      </c>
      <c r="E518" s="32">
        <f t="shared" ca="1" si="64"/>
        <v>-2.6243803781958566E-4</v>
      </c>
      <c r="F518" s="18">
        <f t="shared" ca="1" si="65"/>
        <v>58.2946982377523</v>
      </c>
      <c r="G518" s="19">
        <f t="shared" ca="1" si="66"/>
        <v>1.5302762247699775E-2</v>
      </c>
      <c r="H518" s="27">
        <v>50.799999</v>
      </c>
      <c r="I518" s="19">
        <f t="shared" si="67"/>
        <v>-2.7565140598578064E-2</v>
      </c>
      <c r="J518" s="19">
        <f t="shared" ca="1" si="68"/>
        <v>-1.8156896009781178E-2</v>
      </c>
      <c r="K518" s="19">
        <f t="shared" ca="1" si="69"/>
        <v>81.974078788457163</v>
      </c>
      <c r="L518" s="19">
        <f t="shared" ca="1" si="70"/>
        <v>1.5159192115428368</v>
      </c>
      <c r="M518" s="19">
        <f t="shared" ca="1" si="71"/>
        <v>1.5312219737905366</v>
      </c>
      <c r="AA518" s="37">
        <v>498</v>
      </c>
      <c r="AB518" s="37">
        <v>1.7230929542759317</v>
      </c>
      <c r="AC518" s="37">
        <v>2.7798331605308317</v>
      </c>
      <c r="AD518" s="37">
        <v>3.4321404093802439</v>
      </c>
    </row>
    <row r="519" spans="2:30" x14ac:dyDescent="0.3">
      <c r="B519" s="28">
        <v>43382</v>
      </c>
      <c r="C519" s="25">
        <v>38.540000999999997</v>
      </c>
      <c r="D519" s="18">
        <f t="shared" si="63"/>
        <v>6.0036542416168626E-3</v>
      </c>
      <c r="E519" s="32">
        <f t="shared" ca="1" si="64"/>
        <v>4.9882522261598894E-2</v>
      </c>
      <c r="F519" s="18">
        <f t="shared" ca="1" si="65"/>
        <v>61.21865092295635</v>
      </c>
      <c r="G519" s="19">
        <f t="shared" ca="1" si="66"/>
        <v>-2.9086499229563501</v>
      </c>
      <c r="H519" s="27">
        <v>51.720001000000003</v>
      </c>
      <c r="I519" s="19">
        <f t="shared" si="67"/>
        <v>1.8110275947052834E-2</v>
      </c>
      <c r="J519" s="19">
        <f t="shared" ca="1" si="68"/>
        <v>7.7910013200160142E-3</v>
      </c>
      <c r="K519" s="19">
        <f t="shared" ca="1" si="69"/>
        <v>84.140468684626128</v>
      </c>
      <c r="L519" s="19">
        <f t="shared" ca="1" si="70"/>
        <v>-0.65047068462612856</v>
      </c>
      <c r="M519" s="19">
        <f t="shared" ca="1" si="71"/>
        <v>-3.5591206075824786</v>
      </c>
      <c r="AA519" s="37">
        <v>499</v>
      </c>
      <c r="AB519" s="37">
        <v>1.824503961040902</v>
      </c>
      <c r="AC519" s="37">
        <v>2.9192408631902977</v>
      </c>
      <c r="AD519" s="37">
        <v>3.1605873621935685</v>
      </c>
    </row>
    <row r="520" spans="2:30" x14ac:dyDescent="0.3">
      <c r="B520" s="28">
        <v>43383</v>
      </c>
      <c r="C520" s="25">
        <v>38.270000000000003</v>
      </c>
      <c r="D520" s="18">
        <f t="shared" ref="D520:D583" si="72">C520/C519-1</f>
        <v>-7.0057341202454104E-3</v>
      </c>
      <c r="E520" s="32">
        <f t="shared" ref="E520:E583" ca="1" si="73">NORMINV(RAND(),$E$3,$E$4)</f>
        <v>2.5641465012133893E-2</v>
      </c>
      <c r="F520" s="18">
        <f t="shared" ref="F520:F583" ca="1" si="74">$C$1261*(1+E520)</f>
        <v>59.805154850498994</v>
      </c>
      <c r="G520" s="19">
        <f t="shared" ref="G520:G583" ca="1" si="75">$C$1261-F520</f>
        <v>-1.4951538504989941</v>
      </c>
      <c r="H520" s="27">
        <v>50.950001</v>
      </c>
      <c r="I520" s="19">
        <f t="shared" ref="I520:I583" si="76">H520/H519-1</f>
        <v>-1.4887857407427374E-2</v>
      </c>
      <c r="J520" s="19">
        <f t="shared" ref="J520:J583" ca="1" si="77">NORMINV(RAND(),$J$3,$J$4)</f>
        <v>5.3656390570574735E-3</v>
      </c>
      <c r="K520" s="19">
        <f t="shared" ref="K520:K583" ca="1" si="78">$H$1261*(1+J520)</f>
        <v>83.937975194142453</v>
      </c>
      <c r="L520" s="19">
        <f t="shared" ref="L520:L583" ca="1" si="79">$H$1261-K520</f>
        <v>-0.44797719414245307</v>
      </c>
      <c r="M520" s="19">
        <f t="shared" ref="M520:M583" ca="1" si="80">SUM(G520,L520)</f>
        <v>-1.9431310446414471</v>
      </c>
      <c r="AA520" s="37">
        <v>500</v>
      </c>
      <c r="AB520" s="37">
        <v>1.8094203813296565</v>
      </c>
      <c r="AC520" s="37">
        <v>2.7942113788579594</v>
      </c>
      <c r="AD520" s="37">
        <v>3.5451500079010114</v>
      </c>
    </row>
    <row r="521" spans="2:30" x14ac:dyDescent="0.3">
      <c r="B521" s="28">
        <v>43384</v>
      </c>
      <c r="C521" s="25">
        <v>38.610000999999997</v>
      </c>
      <c r="D521" s="18">
        <f t="shared" si="72"/>
        <v>8.8842696629212181E-3</v>
      </c>
      <c r="E521" s="32">
        <f t="shared" ca="1" si="73"/>
        <v>-5.9916963660576654E-3</v>
      </c>
      <c r="F521" s="18">
        <f t="shared" ca="1" si="74"/>
        <v>57.960625178903477</v>
      </c>
      <c r="G521" s="19">
        <f t="shared" ca="1" si="75"/>
        <v>0.34937582109652254</v>
      </c>
      <c r="H521" s="27">
        <v>51.330002</v>
      </c>
      <c r="I521" s="19">
        <f t="shared" si="76"/>
        <v>7.4583119242725981E-3</v>
      </c>
      <c r="J521" s="19">
        <f t="shared" ca="1" si="77"/>
        <v>-2.9896095272333494E-2</v>
      </c>
      <c r="K521" s="19">
        <f t="shared" ca="1" si="78"/>
        <v>80.99397306550506</v>
      </c>
      <c r="L521" s="19">
        <f t="shared" ca="1" si="79"/>
        <v>2.4960249344949403</v>
      </c>
      <c r="M521" s="19">
        <f t="shared" ca="1" si="80"/>
        <v>2.8454007555914629</v>
      </c>
      <c r="AA521" s="37">
        <v>501</v>
      </c>
      <c r="AB521" s="37">
        <v>1.8308241158892797</v>
      </c>
      <c r="AC521" s="37">
        <v>2.8287279667534424</v>
      </c>
      <c r="AD521" s="37">
        <v>3.2185020379524953</v>
      </c>
    </row>
    <row r="522" spans="2:30" x14ac:dyDescent="0.3">
      <c r="B522" s="28">
        <v>43385</v>
      </c>
      <c r="C522" s="25">
        <v>37.349997999999999</v>
      </c>
      <c r="D522" s="18">
        <f t="shared" si="72"/>
        <v>-3.2634109488886009E-2</v>
      </c>
      <c r="E522" s="32">
        <f t="shared" ca="1" si="73"/>
        <v>1.2885016898687889E-2</v>
      </c>
      <c r="F522" s="18">
        <f t="shared" ca="1" si="74"/>
        <v>59.061326348247505</v>
      </c>
      <c r="G522" s="19">
        <f t="shared" ca="1" si="75"/>
        <v>-0.75132534824750508</v>
      </c>
      <c r="H522" s="27">
        <v>51.59</v>
      </c>
      <c r="I522" s="19">
        <f t="shared" si="76"/>
        <v>5.0652248172522452E-3</v>
      </c>
      <c r="J522" s="19">
        <f t="shared" ca="1" si="77"/>
        <v>-1.1022148119901466E-2</v>
      </c>
      <c r="K522" s="19">
        <f t="shared" ca="1" si="78"/>
        <v>82.569758875513728</v>
      </c>
      <c r="L522" s="19">
        <f t="shared" ca="1" si="79"/>
        <v>0.92023912448627243</v>
      </c>
      <c r="M522" s="19">
        <f t="shared" ca="1" si="80"/>
        <v>0.16891377623876735</v>
      </c>
      <c r="AA522" s="37">
        <v>502</v>
      </c>
      <c r="AB522" s="37">
        <v>1.723934529542523</v>
      </c>
      <c r="AC522" s="37">
        <v>2.7846939179469201</v>
      </c>
      <c r="AD522" s="37">
        <v>3.4135643297287719</v>
      </c>
    </row>
    <row r="523" spans="2:30" x14ac:dyDescent="0.3">
      <c r="B523" s="28">
        <v>43388</v>
      </c>
      <c r="C523" s="25">
        <v>37.340000000000003</v>
      </c>
      <c r="D523" s="18">
        <f t="shared" si="72"/>
        <v>-2.6768408394550747E-4</v>
      </c>
      <c r="E523" s="32">
        <f t="shared" ca="1" si="73"/>
        <v>-4.2911248970968156E-3</v>
      </c>
      <c r="F523" s="18">
        <f t="shared" ca="1" si="74"/>
        <v>58.059785502959159</v>
      </c>
      <c r="G523" s="19">
        <f t="shared" ca="1" si="75"/>
        <v>0.25021549704084123</v>
      </c>
      <c r="H523" s="27">
        <v>51.529998999999997</v>
      </c>
      <c r="I523" s="19">
        <f t="shared" si="76"/>
        <v>-1.1630354719908143E-3</v>
      </c>
      <c r="J523" s="19">
        <f t="shared" ca="1" si="77"/>
        <v>-3.8125790623142041E-3</v>
      </c>
      <c r="K523" s="19">
        <f t="shared" ca="1" si="78"/>
        <v>83.17168578171254</v>
      </c>
      <c r="L523" s="19">
        <f t="shared" ca="1" si="79"/>
        <v>0.31831221828745981</v>
      </c>
      <c r="M523" s="19">
        <f t="shared" ca="1" si="80"/>
        <v>0.56852771532830104</v>
      </c>
      <c r="AA523" s="37">
        <v>503</v>
      </c>
      <c r="AB523" s="37">
        <v>1.7982251078267999</v>
      </c>
      <c r="AC523" s="37">
        <v>2.8411199391682529</v>
      </c>
      <c r="AD523" s="37">
        <v>3.3191250804135946</v>
      </c>
    </row>
    <row r="524" spans="2:30" x14ac:dyDescent="0.3">
      <c r="B524" s="28">
        <v>43389</v>
      </c>
      <c r="C524" s="25">
        <v>38.220001000000003</v>
      </c>
      <c r="D524" s="18">
        <f t="shared" si="72"/>
        <v>2.3567246920192852E-2</v>
      </c>
      <c r="E524" s="32">
        <f t="shared" ca="1" si="73"/>
        <v>-4.4268691503503439E-2</v>
      </c>
      <c r="F524" s="18">
        <f t="shared" ca="1" si="74"/>
        <v>55.728693554162021</v>
      </c>
      <c r="G524" s="19">
        <f t="shared" ca="1" si="75"/>
        <v>2.5813074458379788</v>
      </c>
      <c r="H524" s="27">
        <v>51.93</v>
      </c>
      <c r="I524" s="19">
        <f t="shared" si="76"/>
        <v>7.7624880217832537E-3</v>
      </c>
      <c r="J524" s="19">
        <f t="shared" ca="1" si="77"/>
        <v>3.2278958104076237E-2</v>
      </c>
      <c r="K524" s="19">
        <f t="shared" ca="1" si="78"/>
        <v>86.184968147551416</v>
      </c>
      <c r="L524" s="19">
        <f t="shared" ca="1" si="79"/>
        <v>-2.6949701475514161</v>
      </c>
      <c r="M524" s="19">
        <f t="shared" ca="1" si="80"/>
        <v>-0.11366270171343729</v>
      </c>
      <c r="AA524" s="37">
        <v>504</v>
      </c>
      <c r="AB524" s="37">
        <v>1.8085500972909432</v>
      </c>
      <c r="AC524" s="37">
        <v>2.8224122722990499</v>
      </c>
      <c r="AD524" s="37">
        <v>3.340352451621396</v>
      </c>
    </row>
    <row r="525" spans="2:30" x14ac:dyDescent="0.3">
      <c r="B525" s="28">
        <v>43390</v>
      </c>
      <c r="C525" s="25">
        <v>37.669998</v>
      </c>
      <c r="D525" s="18">
        <f t="shared" si="72"/>
        <v>-1.4390449649648196E-2</v>
      </c>
      <c r="E525" s="32">
        <f t="shared" ca="1" si="73"/>
        <v>3.308250520349313E-2</v>
      </c>
      <c r="F525" s="18">
        <f t="shared" ca="1" si="74"/>
        <v>60.239041911498184</v>
      </c>
      <c r="G525" s="19">
        <f t="shared" ca="1" si="75"/>
        <v>-1.9290409114981841</v>
      </c>
      <c r="H525" s="27">
        <v>50.549999</v>
      </c>
      <c r="I525" s="19">
        <f t="shared" si="76"/>
        <v>-2.6574253803196557E-2</v>
      </c>
      <c r="J525" s="19">
        <f t="shared" ca="1" si="77"/>
        <v>1.842186392009728E-2</v>
      </c>
      <c r="K525" s="19">
        <f t="shared" ca="1" si="78"/>
        <v>85.02803938184519</v>
      </c>
      <c r="L525" s="19">
        <f t="shared" ca="1" si="79"/>
        <v>-1.5380413818451899</v>
      </c>
      <c r="M525" s="19">
        <f t="shared" ca="1" si="80"/>
        <v>-3.467082293343374</v>
      </c>
      <c r="AA525" s="37">
        <v>505</v>
      </c>
      <c r="AB525" s="37">
        <v>1.8312673568597864</v>
      </c>
      <c r="AC525" s="37">
        <v>2.7825016532122717</v>
      </c>
      <c r="AD525" s="37">
        <v>3.3347663658035098</v>
      </c>
    </row>
    <row r="526" spans="2:30" x14ac:dyDescent="0.3">
      <c r="B526" s="28">
        <v>43391</v>
      </c>
      <c r="C526" s="25">
        <v>37.459999000000003</v>
      </c>
      <c r="D526" s="18">
        <f t="shared" si="72"/>
        <v>-5.5747016498380875E-3</v>
      </c>
      <c r="E526" s="32">
        <f t="shared" ca="1" si="73"/>
        <v>-8.4071517460050146E-3</v>
      </c>
      <c r="F526" s="18">
        <f t="shared" ca="1" si="74"/>
        <v>57.819779973283296</v>
      </c>
      <c r="G526" s="19">
        <f t="shared" ca="1" si="75"/>
        <v>0.49022102671670353</v>
      </c>
      <c r="H526" s="27">
        <v>48.889999000000003</v>
      </c>
      <c r="I526" s="19">
        <f t="shared" si="76"/>
        <v>-3.2838774141221938E-2</v>
      </c>
      <c r="J526" s="19">
        <f t="shared" ca="1" si="77"/>
        <v>3.9991586510050983E-2</v>
      </c>
      <c r="K526" s="19">
        <f t="shared" ca="1" si="78"/>
        <v>86.828895477740986</v>
      </c>
      <c r="L526" s="19">
        <f t="shared" ca="1" si="79"/>
        <v>-3.3388974777409857</v>
      </c>
      <c r="M526" s="19">
        <f t="shared" ca="1" si="80"/>
        <v>-2.8486764510242821</v>
      </c>
      <c r="AA526" s="37">
        <v>506</v>
      </c>
      <c r="AB526" s="37">
        <v>1.8204470607593253</v>
      </c>
      <c r="AC526" s="37">
        <v>2.7149973523397035</v>
      </c>
      <c r="AD526" s="37">
        <v>3.5176104968136097</v>
      </c>
    </row>
    <row r="527" spans="2:30" x14ac:dyDescent="0.3">
      <c r="B527" s="28">
        <v>43392</v>
      </c>
      <c r="C527" s="25">
        <v>36.779998999999997</v>
      </c>
      <c r="D527" s="18">
        <f t="shared" si="72"/>
        <v>-1.8152696693878867E-2</v>
      </c>
      <c r="E527" s="32">
        <f t="shared" ca="1" si="73"/>
        <v>-8.0432358441020185E-3</v>
      </c>
      <c r="F527" s="18">
        <f t="shared" ca="1" si="74"/>
        <v>57.840999909887174</v>
      </c>
      <c r="G527" s="19">
        <f t="shared" ca="1" si="75"/>
        <v>0.46900109011282609</v>
      </c>
      <c r="H527" s="27">
        <v>48.27</v>
      </c>
      <c r="I527" s="19">
        <f t="shared" si="76"/>
        <v>-1.2681509770536059E-2</v>
      </c>
      <c r="J527" s="19">
        <f t="shared" ca="1" si="77"/>
        <v>-1.9540692432188127E-2</v>
      </c>
      <c r="K527" s="19">
        <f t="shared" ca="1" si="78"/>
        <v>81.858545627917991</v>
      </c>
      <c r="L527" s="19">
        <f t="shared" ca="1" si="79"/>
        <v>1.6314523720820091</v>
      </c>
      <c r="M527" s="19">
        <f t="shared" ca="1" si="80"/>
        <v>2.1004534621948352</v>
      </c>
      <c r="AA527" s="37">
        <v>507</v>
      </c>
      <c r="AB527" s="37">
        <v>1.8274389184511375</v>
      </c>
      <c r="AC527" s="37">
        <v>2.9667928555055307</v>
      </c>
      <c r="AD527" s="37">
        <v>3.3506737202568013</v>
      </c>
    </row>
    <row r="528" spans="2:30" x14ac:dyDescent="0.3">
      <c r="B528" s="28">
        <v>43395</v>
      </c>
      <c r="C528" s="25">
        <v>36.779998999999997</v>
      </c>
      <c r="D528" s="18">
        <f t="shared" si="72"/>
        <v>0</v>
      </c>
      <c r="E528" s="32">
        <f t="shared" ca="1" si="73"/>
        <v>2.0375438563165364E-2</v>
      </c>
      <c r="F528" s="18">
        <f t="shared" ca="1" si="74"/>
        <v>59.498092842993614</v>
      </c>
      <c r="G528" s="19">
        <f t="shared" ca="1" si="75"/>
        <v>-1.1880918429936145</v>
      </c>
      <c r="H528" s="27">
        <v>47.540000999999997</v>
      </c>
      <c r="I528" s="19">
        <f t="shared" si="76"/>
        <v>-1.5123244251087797E-2</v>
      </c>
      <c r="J528" s="19">
        <f t="shared" ca="1" si="77"/>
        <v>5.167321106256873E-3</v>
      </c>
      <c r="K528" s="19">
        <f t="shared" ca="1" si="78"/>
        <v>83.921417628826745</v>
      </c>
      <c r="L528" s="19">
        <f t="shared" ca="1" si="79"/>
        <v>-0.43141962882674534</v>
      </c>
      <c r="M528" s="19">
        <f t="shared" ca="1" si="80"/>
        <v>-1.6195114718203598</v>
      </c>
      <c r="AA528" s="37">
        <v>508</v>
      </c>
      <c r="AB528" s="37">
        <v>1.8727033165744906</v>
      </c>
      <c r="AC528" s="37">
        <v>2.8586440057303162</v>
      </c>
      <c r="AD528" s="37">
        <v>3.3118362469119562</v>
      </c>
    </row>
    <row r="529" spans="2:30" x14ac:dyDescent="0.3">
      <c r="B529" s="28">
        <v>43396</v>
      </c>
      <c r="C529" s="25">
        <v>37.220001000000003</v>
      </c>
      <c r="D529" s="18">
        <f t="shared" si="72"/>
        <v>1.1963078084912482E-2</v>
      </c>
      <c r="E529" s="32">
        <f t="shared" ca="1" si="73"/>
        <v>-2.3737847971141521E-2</v>
      </c>
      <c r="F529" s="18">
        <f t="shared" ca="1" si="74"/>
        <v>56.925847061064886</v>
      </c>
      <c r="G529" s="19">
        <f t="shared" ca="1" si="75"/>
        <v>1.3841539389351141</v>
      </c>
      <c r="H529" s="27">
        <v>47.009998000000003</v>
      </c>
      <c r="I529" s="19">
        <f t="shared" si="76"/>
        <v>-1.1148569391069119E-2</v>
      </c>
      <c r="J529" s="19">
        <f t="shared" ca="1" si="77"/>
        <v>5.8513768213934815E-2</v>
      </c>
      <c r="K529" s="19">
        <f t="shared" ca="1" si="78"/>
        <v>88.375312391153869</v>
      </c>
      <c r="L529" s="19">
        <f t="shared" ca="1" si="79"/>
        <v>-4.8853143911538695</v>
      </c>
      <c r="M529" s="19">
        <f t="shared" ca="1" si="80"/>
        <v>-3.5011604522187554</v>
      </c>
      <c r="AA529" s="37">
        <v>509</v>
      </c>
      <c r="AB529" s="37">
        <v>1.7979190029459906</v>
      </c>
      <c r="AC529" s="37">
        <v>2.6987099171964575</v>
      </c>
      <c r="AD529" s="37">
        <v>3.1481160749758925</v>
      </c>
    </row>
    <row r="530" spans="2:30" x14ac:dyDescent="0.3">
      <c r="B530" s="28">
        <v>43397</v>
      </c>
      <c r="C530" s="25">
        <v>36.380001</v>
      </c>
      <c r="D530" s="18">
        <f t="shared" si="72"/>
        <v>-2.2568510946574194E-2</v>
      </c>
      <c r="E530" s="32">
        <f t="shared" ca="1" si="73"/>
        <v>3.1535418431475025E-2</v>
      </c>
      <c r="F530" s="18">
        <f t="shared" ca="1" si="74"/>
        <v>60.148831280274734</v>
      </c>
      <c r="G530" s="19">
        <f t="shared" ca="1" si="75"/>
        <v>-1.8388302802747347</v>
      </c>
      <c r="H530" s="27">
        <v>47.220001000000003</v>
      </c>
      <c r="I530" s="19">
        <f t="shared" si="76"/>
        <v>4.4671986584641221E-3</v>
      </c>
      <c r="J530" s="19">
        <f t="shared" ca="1" si="77"/>
        <v>3.2225419907189509E-2</v>
      </c>
      <c r="K530" s="19">
        <f t="shared" ca="1" si="78"/>
        <v>86.180498243600411</v>
      </c>
      <c r="L530" s="19">
        <f t="shared" ca="1" si="79"/>
        <v>-2.6905002436004111</v>
      </c>
      <c r="M530" s="19">
        <f t="shared" ca="1" si="80"/>
        <v>-4.5293305238751458</v>
      </c>
      <c r="AA530" s="37">
        <v>510</v>
      </c>
      <c r="AB530" s="37">
        <v>1.7605598262659126</v>
      </c>
      <c r="AC530" s="37">
        <v>2.7644779166818281</v>
      </c>
      <c r="AD530" s="37">
        <v>3.3837510327788332</v>
      </c>
    </row>
    <row r="531" spans="2:30" x14ac:dyDescent="0.3">
      <c r="B531" s="28">
        <v>43398</v>
      </c>
      <c r="C531" s="25">
        <v>38.299999</v>
      </c>
      <c r="D531" s="18">
        <f t="shared" si="72"/>
        <v>5.2776194261237031E-2</v>
      </c>
      <c r="E531" s="32">
        <f t="shared" ca="1" si="73"/>
        <v>2.3464842752855708E-2</v>
      </c>
      <c r="F531" s="18">
        <f t="shared" ca="1" si="74"/>
        <v>59.678236004383855</v>
      </c>
      <c r="G531" s="19">
        <f t="shared" ca="1" si="75"/>
        <v>-1.3682350043838554</v>
      </c>
      <c r="H531" s="27">
        <v>47.529998999999997</v>
      </c>
      <c r="I531" s="19">
        <f t="shared" si="76"/>
        <v>6.5649723302629859E-3</v>
      </c>
      <c r="J531" s="19">
        <f t="shared" ca="1" si="77"/>
        <v>-3.4298254471738137E-3</v>
      </c>
      <c r="K531" s="19">
        <f t="shared" ca="1" si="78"/>
        <v>83.2036418802751</v>
      </c>
      <c r="L531" s="19">
        <f t="shared" ca="1" si="79"/>
        <v>0.28635611972489983</v>
      </c>
      <c r="M531" s="19">
        <f t="shared" ca="1" si="80"/>
        <v>-1.0818788846589555</v>
      </c>
      <c r="AA531" s="37">
        <v>511</v>
      </c>
      <c r="AB531" s="37">
        <v>1.8172382571473682</v>
      </c>
      <c r="AC531" s="37">
        <v>2.8355285974395512</v>
      </c>
      <c r="AD531" s="37">
        <v>3.3619440512237535</v>
      </c>
    </row>
    <row r="532" spans="2:30" x14ac:dyDescent="0.3">
      <c r="B532" s="28">
        <v>43399</v>
      </c>
      <c r="C532" s="25">
        <v>38.200001</v>
      </c>
      <c r="D532" s="18">
        <f t="shared" si="72"/>
        <v>-2.610913906290202E-3</v>
      </c>
      <c r="E532" s="32">
        <f t="shared" ca="1" si="73"/>
        <v>-1.5614841409945835E-2</v>
      </c>
      <c r="F532" s="18">
        <f t="shared" ca="1" si="74"/>
        <v>57.399499581771217</v>
      </c>
      <c r="G532" s="19">
        <f t="shared" ca="1" si="75"/>
        <v>0.91050141822878317</v>
      </c>
      <c r="H532" s="27">
        <v>47.869999</v>
      </c>
      <c r="I532" s="19">
        <f t="shared" si="76"/>
        <v>7.1533769651457302E-3</v>
      </c>
      <c r="J532" s="19">
        <f t="shared" ca="1" si="77"/>
        <v>-1.0743847892366208E-2</v>
      </c>
      <c r="K532" s="19">
        <f t="shared" ca="1" si="78"/>
        <v>82.592994160954049</v>
      </c>
      <c r="L532" s="19">
        <f t="shared" ca="1" si="79"/>
        <v>0.89700383904595071</v>
      </c>
      <c r="M532" s="19">
        <f t="shared" ca="1" si="80"/>
        <v>1.8075052572747339</v>
      </c>
      <c r="AA532" s="37">
        <v>512</v>
      </c>
      <c r="AB532" s="37">
        <v>1.7428047899438672</v>
      </c>
      <c r="AC532" s="37">
        <v>2.7689436178278934</v>
      </c>
      <c r="AD532" s="37">
        <v>3.3571411068480539</v>
      </c>
    </row>
    <row r="533" spans="2:30" x14ac:dyDescent="0.3">
      <c r="B533" s="28">
        <v>43402</v>
      </c>
      <c r="C533" s="25">
        <v>36.400002000000001</v>
      </c>
      <c r="D533" s="18">
        <f t="shared" si="72"/>
        <v>-4.7120391436638931E-2</v>
      </c>
      <c r="E533" s="32">
        <f t="shared" ca="1" si="73"/>
        <v>-5.7441622379130898E-2</v>
      </c>
      <c r="F533" s="18">
        <f t="shared" ca="1" si="74"/>
        <v>54.960579941631259</v>
      </c>
      <c r="G533" s="19">
        <f t="shared" ca="1" si="75"/>
        <v>3.3494210583687405</v>
      </c>
      <c r="H533" s="27">
        <v>46.099997999999999</v>
      </c>
      <c r="I533" s="19">
        <f t="shared" si="76"/>
        <v>-3.6975162669211636E-2</v>
      </c>
      <c r="J533" s="19">
        <f t="shared" ca="1" si="77"/>
        <v>-4.9673640667876695E-4</v>
      </c>
      <c r="K533" s="19">
        <f t="shared" ca="1" si="78"/>
        <v>83.448525478399858</v>
      </c>
      <c r="L533" s="19">
        <f t="shared" ca="1" si="79"/>
        <v>4.1472521600141476E-2</v>
      </c>
      <c r="M533" s="19">
        <f t="shared" ca="1" si="80"/>
        <v>3.390893579968882</v>
      </c>
      <c r="AA533" s="37">
        <v>513</v>
      </c>
      <c r="AB533" s="37">
        <v>1.7891185075536917</v>
      </c>
      <c r="AC533" s="37">
        <v>2.8912472301008534</v>
      </c>
      <c r="AD533" s="37">
        <v>3.2969152757464997</v>
      </c>
    </row>
    <row r="534" spans="2:30" x14ac:dyDescent="0.3">
      <c r="B534" s="28">
        <v>43403</v>
      </c>
      <c r="C534" s="25">
        <v>37.889999000000003</v>
      </c>
      <c r="D534" s="18">
        <f t="shared" si="72"/>
        <v>4.0933981267363695E-2</v>
      </c>
      <c r="E534" s="32">
        <f t="shared" ca="1" si="73"/>
        <v>8.4529419536156277E-3</v>
      </c>
      <c r="F534" s="18">
        <f t="shared" ca="1" si="74"/>
        <v>58.802892053768275</v>
      </c>
      <c r="G534" s="19">
        <f t="shared" ca="1" si="75"/>
        <v>-0.49289105376827536</v>
      </c>
      <c r="H534" s="27">
        <v>44.82</v>
      </c>
      <c r="I534" s="19">
        <f t="shared" si="76"/>
        <v>-2.7765684501765087E-2</v>
      </c>
      <c r="J534" s="19">
        <f t="shared" ca="1" si="77"/>
        <v>6.080180473245554E-3</v>
      </c>
      <c r="K534" s="19">
        <f t="shared" ca="1" si="78"/>
        <v>83.997632255550911</v>
      </c>
      <c r="L534" s="19">
        <f t="shared" ca="1" si="79"/>
        <v>-0.50763425555091146</v>
      </c>
      <c r="M534" s="19">
        <f t="shared" ca="1" si="80"/>
        <v>-1.0005253093191868</v>
      </c>
      <c r="AA534" s="37">
        <v>514</v>
      </c>
      <c r="AB534" s="37">
        <v>1.6955609450990798</v>
      </c>
      <c r="AC534" s="37">
        <v>2.8368350056740899</v>
      </c>
      <c r="AD534" s="37">
        <v>3.2065859826837526</v>
      </c>
    </row>
    <row r="535" spans="2:30" x14ac:dyDescent="0.3">
      <c r="B535" s="28">
        <v>43404</v>
      </c>
      <c r="C535" s="25">
        <v>38.049999</v>
      </c>
      <c r="D535" s="18">
        <f t="shared" si="72"/>
        <v>4.222750177427903E-3</v>
      </c>
      <c r="E535" s="32">
        <f t="shared" ca="1" si="73"/>
        <v>-6.3180222251915663E-3</v>
      </c>
      <c r="F535" s="18">
        <f t="shared" ca="1" si="74"/>
        <v>57.941597117731064</v>
      </c>
      <c r="G535" s="19">
        <f t="shared" ca="1" si="75"/>
        <v>0.36840388226893594</v>
      </c>
      <c r="H535" s="27">
        <v>46.869999</v>
      </c>
      <c r="I535" s="19">
        <f t="shared" si="76"/>
        <v>4.5738487282463103E-2</v>
      </c>
      <c r="J535" s="19">
        <f t="shared" ca="1" si="77"/>
        <v>2.5142283297630307E-2</v>
      </c>
      <c r="K535" s="19">
        <f t="shared" ca="1" si="78"/>
        <v>85.589127182234577</v>
      </c>
      <c r="L535" s="19">
        <f t="shared" ca="1" si="79"/>
        <v>-2.0991291822345772</v>
      </c>
      <c r="M535" s="19">
        <f t="shared" ca="1" si="80"/>
        <v>-1.7307252999656413</v>
      </c>
      <c r="AA535" s="37">
        <v>515</v>
      </c>
      <c r="AB535" s="37">
        <v>1.7005261125632429</v>
      </c>
      <c r="AC535" s="37">
        <v>2.9940257164060533</v>
      </c>
      <c r="AD535" s="37">
        <v>3.2087712488951308</v>
      </c>
    </row>
    <row r="536" spans="2:30" x14ac:dyDescent="0.3">
      <c r="B536" s="28">
        <v>43405</v>
      </c>
      <c r="C536" s="25">
        <v>38.700001</v>
      </c>
      <c r="D536" s="18">
        <f t="shared" si="72"/>
        <v>1.7082838819522772E-2</v>
      </c>
      <c r="E536" s="32">
        <f t="shared" ca="1" si="73"/>
        <v>2.0908763632920854E-3</v>
      </c>
      <c r="F536" s="18">
        <f t="shared" ca="1" si="74"/>
        <v>58.431920002834438</v>
      </c>
      <c r="G536" s="19">
        <f t="shared" ca="1" si="75"/>
        <v>-0.12191900283443857</v>
      </c>
      <c r="H536" s="27">
        <v>48.060001</v>
      </c>
      <c r="I536" s="19">
        <f t="shared" si="76"/>
        <v>2.5389418079569293E-2</v>
      </c>
      <c r="J536" s="19">
        <f t="shared" ca="1" si="77"/>
        <v>3.9899381974251732E-2</v>
      </c>
      <c r="K536" s="19">
        <f t="shared" ca="1" si="78"/>
        <v>86.821197321231509</v>
      </c>
      <c r="L536" s="19">
        <f t="shared" ca="1" si="79"/>
        <v>-3.3311993212315087</v>
      </c>
      <c r="M536" s="19">
        <f t="shared" ca="1" si="80"/>
        <v>-3.4531183240659473</v>
      </c>
      <c r="AA536" s="37">
        <v>516</v>
      </c>
      <c r="AB536" s="37">
        <v>1.7940820702266129</v>
      </c>
      <c r="AC536" s="37">
        <v>3.1456216129693684</v>
      </c>
      <c r="AD536" s="37">
        <v>3.6053123343412929</v>
      </c>
    </row>
    <row r="537" spans="2:30" x14ac:dyDescent="0.3">
      <c r="B537" s="28">
        <v>43409</v>
      </c>
      <c r="C537" s="25">
        <v>40.220001000000003</v>
      </c>
      <c r="D537" s="18">
        <f t="shared" si="72"/>
        <v>3.9276484773217435E-2</v>
      </c>
      <c r="E537" s="32">
        <f t="shared" ca="1" si="73"/>
        <v>-1.464408359507903E-3</v>
      </c>
      <c r="F537" s="18">
        <f t="shared" ca="1" si="74"/>
        <v>58.224611347092683</v>
      </c>
      <c r="G537" s="19">
        <f t="shared" ca="1" si="75"/>
        <v>8.5389652907316815E-2</v>
      </c>
      <c r="H537" s="27">
        <v>49.610000999999997</v>
      </c>
      <c r="I537" s="19">
        <f t="shared" si="76"/>
        <v>3.2251351805007156E-2</v>
      </c>
      <c r="J537" s="19">
        <f t="shared" ca="1" si="77"/>
        <v>3.1731838805118893E-2</v>
      </c>
      <c r="K537" s="19">
        <f t="shared" ca="1" si="78"/>
        <v>86.139289158375703</v>
      </c>
      <c r="L537" s="19">
        <f t="shared" ca="1" si="79"/>
        <v>-2.6492911583757035</v>
      </c>
      <c r="M537" s="19">
        <f t="shared" ca="1" si="80"/>
        <v>-2.5639015054683867</v>
      </c>
      <c r="AA537" s="37">
        <v>517</v>
      </c>
      <c r="AB537" s="37">
        <v>1.7990612041994409</v>
      </c>
      <c r="AC537" s="37">
        <v>2.910655819773873</v>
      </c>
      <c r="AD537" s="37">
        <v>3.3851463830945128</v>
      </c>
    </row>
    <row r="538" spans="2:30" x14ac:dyDescent="0.3">
      <c r="B538" s="28">
        <v>43410</v>
      </c>
      <c r="C538" s="25">
        <v>39.220001000000003</v>
      </c>
      <c r="D538" s="18">
        <f t="shared" si="72"/>
        <v>-2.4863251495195082E-2</v>
      </c>
      <c r="E538" s="32">
        <f t="shared" ca="1" si="73"/>
        <v>1.637183472862342E-2</v>
      </c>
      <c r="F538" s="18">
        <f t="shared" ca="1" si="74"/>
        <v>59.264642699397868</v>
      </c>
      <c r="G538" s="19">
        <f t="shared" ca="1" si="75"/>
        <v>-0.95464169939786814</v>
      </c>
      <c r="H538" s="27">
        <v>48.580002</v>
      </c>
      <c r="I538" s="19">
        <f t="shared" si="76"/>
        <v>-2.0761922580892489E-2</v>
      </c>
      <c r="J538" s="19">
        <f t="shared" ca="1" si="77"/>
        <v>2.1434887546023264E-2</v>
      </c>
      <c r="K538" s="19">
        <f t="shared" ca="1" si="78"/>
        <v>85.279596718347705</v>
      </c>
      <c r="L538" s="19">
        <f t="shared" ca="1" si="79"/>
        <v>-1.7895987183477047</v>
      </c>
      <c r="M538" s="19">
        <f t="shared" ca="1" si="80"/>
        <v>-2.7442404177455728</v>
      </c>
      <c r="AA538" s="37">
        <v>518</v>
      </c>
      <c r="AB538" s="37">
        <v>1.7295851719543229</v>
      </c>
      <c r="AC538" s="37">
        <v>2.8338306773547002</v>
      </c>
      <c r="AD538" s="37">
        <v>3.2269496025646096</v>
      </c>
    </row>
    <row r="539" spans="2:30" x14ac:dyDescent="0.3">
      <c r="B539" s="28">
        <v>43411</v>
      </c>
      <c r="C539" s="25">
        <v>39.979999999999997</v>
      </c>
      <c r="D539" s="18">
        <f t="shared" si="72"/>
        <v>1.9377842443196069E-2</v>
      </c>
      <c r="E539" s="32">
        <f t="shared" ca="1" si="73"/>
        <v>-2.337125855119564E-2</v>
      </c>
      <c r="F539" s="18">
        <f t="shared" ca="1" si="74"/>
        <v>56.947222890508527</v>
      </c>
      <c r="G539" s="19">
        <f t="shared" ca="1" si="75"/>
        <v>1.3627781094914724</v>
      </c>
      <c r="H539" s="27">
        <v>49.82</v>
      </c>
      <c r="I539" s="19">
        <f t="shared" si="76"/>
        <v>2.5524865149243903E-2</v>
      </c>
      <c r="J539" s="19">
        <f t="shared" ca="1" si="77"/>
        <v>1.1169417660674065E-3</v>
      </c>
      <c r="K539" s="19">
        <f t="shared" ca="1" si="78"/>
        <v>83.583251465815096</v>
      </c>
      <c r="L539" s="19">
        <f t="shared" ca="1" si="79"/>
        <v>-9.3253465815095637E-2</v>
      </c>
      <c r="M539" s="19">
        <f t="shared" ca="1" si="80"/>
        <v>1.2695246436763767</v>
      </c>
      <c r="AA539" s="37">
        <v>519</v>
      </c>
      <c r="AB539" s="37">
        <v>1.6648984443087012</v>
      </c>
      <c r="AC539" s="37">
        <v>2.969976938485491</v>
      </c>
      <c r="AD539" s="37">
        <v>3.4180638948768594</v>
      </c>
    </row>
    <row r="540" spans="2:30" x14ac:dyDescent="0.3">
      <c r="B540" s="28">
        <v>43412</v>
      </c>
      <c r="C540" s="25">
        <v>38.529998999999997</v>
      </c>
      <c r="D540" s="18">
        <f t="shared" si="72"/>
        <v>-3.626815907953973E-2</v>
      </c>
      <c r="E540" s="32">
        <f t="shared" ca="1" si="73"/>
        <v>9.2349524274964248E-3</v>
      </c>
      <c r="F540" s="18">
        <f t="shared" ca="1" si="74"/>
        <v>58.848491085282269</v>
      </c>
      <c r="G540" s="19">
        <f t="shared" ca="1" si="75"/>
        <v>-0.5384900852822696</v>
      </c>
      <c r="H540" s="27">
        <v>48.009998000000003</v>
      </c>
      <c r="I540" s="19">
        <f t="shared" si="76"/>
        <v>-3.633083099156964E-2</v>
      </c>
      <c r="J540" s="19">
        <f t="shared" ca="1" si="77"/>
        <v>8.5059100032911627E-3</v>
      </c>
      <c r="K540" s="19">
        <f t="shared" ca="1" si="78"/>
        <v>84.200156409162958</v>
      </c>
      <c r="L540" s="19">
        <f t="shared" ca="1" si="79"/>
        <v>-0.71015840916295758</v>
      </c>
      <c r="M540" s="19">
        <f t="shared" ca="1" si="80"/>
        <v>-1.2486484944452272</v>
      </c>
      <c r="AA540" s="37">
        <v>520</v>
      </c>
      <c r="AB540" s="37">
        <v>1.6984526478550448</v>
      </c>
      <c r="AC540" s="37">
        <v>2.7869528821772027</v>
      </c>
      <c r="AD540" s="37">
        <v>3.2219046877764947</v>
      </c>
    </row>
    <row r="541" spans="2:30" x14ac:dyDescent="0.3">
      <c r="B541" s="28">
        <v>43413</v>
      </c>
      <c r="C541" s="25">
        <v>40.659999999999997</v>
      </c>
      <c r="D541" s="18">
        <f t="shared" si="72"/>
        <v>5.5281626142788198E-2</v>
      </c>
      <c r="E541" s="32">
        <f t="shared" ca="1" si="73"/>
        <v>1.3112669674160578E-2</v>
      </c>
      <c r="F541" s="18">
        <f t="shared" ca="1" si="74"/>
        <v>59.074600781812975</v>
      </c>
      <c r="G541" s="19">
        <f t="shared" ca="1" si="75"/>
        <v>-0.76459978181297572</v>
      </c>
      <c r="H541" s="27">
        <v>46.939999</v>
      </c>
      <c r="I541" s="19">
        <f t="shared" si="76"/>
        <v>-2.2287003636200953E-2</v>
      </c>
      <c r="J541" s="19">
        <f t="shared" ca="1" si="77"/>
        <v>5.4881906350503808E-3</v>
      </c>
      <c r="K541" s="19">
        <f t="shared" ca="1" si="78"/>
        <v>83.948207025143972</v>
      </c>
      <c r="L541" s="19">
        <f t="shared" ca="1" si="79"/>
        <v>-0.45820902514397233</v>
      </c>
      <c r="M541" s="19">
        <f t="shared" ca="1" si="80"/>
        <v>-1.222808806956948</v>
      </c>
      <c r="AA541" s="37">
        <v>521</v>
      </c>
      <c r="AB541" s="37">
        <v>1.8517357515991177</v>
      </c>
      <c r="AC541" s="37">
        <v>2.8308910423796965</v>
      </c>
      <c r="AD541" s="37">
        <v>3.5513354423690453</v>
      </c>
    </row>
    <row r="542" spans="2:30" x14ac:dyDescent="0.3">
      <c r="B542" s="28">
        <v>43416</v>
      </c>
      <c r="C542" s="25">
        <v>39.279998999999997</v>
      </c>
      <c r="D542" s="18">
        <f t="shared" si="72"/>
        <v>-3.3940014756517423E-2</v>
      </c>
      <c r="E542" s="32">
        <f t="shared" ca="1" si="73"/>
        <v>2.636577139426075E-3</v>
      </c>
      <c r="F542" s="18">
        <f t="shared" ca="1" si="74"/>
        <v>58.463739815636515</v>
      </c>
      <c r="G542" s="19">
        <f t="shared" ca="1" si="75"/>
        <v>-0.15373881563651537</v>
      </c>
      <c r="H542" s="27">
        <v>46.599997999999999</v>
      </c>
      <c r="I542" s="19">
        <f t="shared" si="76"/>
        <v>-7.2433107635984095E-3</v>
      </c>
      <c r="J542" s="19">
        <f t="shared" ca="1" si="77"/>
        <v>4.7864772284185392E-3</v>
      </c>
      <c r="K542" s="19">
        <f t="shared" ca="1" si="78"/>
        <v>83.889620974227711</v>
      </c>
      <c r="L542" s="19">
        <f t="shared" ca="1" si="79"/>
        <v>-0.39962297422771087</v>
      </c>
      <c r="M542" s="19">
        <f t="shared" ca="1" si="80"/>
        <v>-0.55336178986422624</v>
      </c>
      <c r="AA542" s="37">
        <v>522</v>
      </c>
      <c r="AB542" s="37">
        <v>1.7197182479711655</v>
      </c>
      <c r="AC542" s="37">
        <v>2.7635009846848217</v>
      </c>
      <c r="AD542" s="37">
        <v>3.4214883140167238</v>
      </c>
    </row>
    <row r="543" spans="2:30" x14ac:dyDescent="0.3">
      <c r="B543" s="28">
        <v>43417</v>
      </c>
      <c r="C543" s="25">
        <v>37.959999000000003</v>
      </c>
      <c r="D543" s="18">
        <f t="shared" si="72"/>
        <v>-3.3604888839228186E-2</v>
      </c>
      <c r="E543" s="32">
        <f t="shared" ca="1" si="73"/>
        <v>2.0353038409557045E-2</v>
      </c>
      <c r="F543" s="18">
        <f t="shared" ca="1" si="74"/>
        <v>59.496786690014304</v>
      </c>
      <c r="G543" s="19">
        <f t="shared" ca="1" si="75"/>
        <v>-1.1867856900143039</v>
      </c>
      <c r="H543" s="27">
        <v>45.669998</v>
      </c>
      <c r="I543" s="19">
        <f t="shared" si="76"/>
        <v>-1.9957082401591553E-2</v>
      </c>
      <c r="J543" s="19">
        <f t="shared" ca="1" si="77"/>
        <v>4.2913400985909482E-3</v>
      </c>
      <c r="K543" s="19">
        <f t="shared" ca="1" si="78"/>
        <v>83.848281976248671</v>
      </c>
      <c r="L543" s="19">
        <f t="shared" ca="1" si="79"/>
        <v>-0.35828397624867137</v>
      </c>
      <c r="M543" s="19">
        <f t="shared" ca="1" si="80"/>
        <v>-1.5450696662629753</v>
      </c>
      <c r="AA543" s="37">
        <v>523</v>
      </c>
      <c r="AB543" s="37">
        <v>1.6899468575720213</v>
      </c>
      <c r="AC543" s="37">
        <v>2.9477175016640511</v>
      </c>
      <c r="AD543" s="37">
        <v>3.3720944233722498</v>
      </c>
    </row>
    <row r="544" spans="2:30" x14ac:dyDescent="0.3">
      <c r="B544" s="28">
        <v>43418</v>
      </c>
      <c r="C544" s="25">
        <v>37.970001000000003</v>
      </c>
      <c r="D544" s="18">
        <f t="shared" si="72"/>
        <v>2.6348788892227581E-4</v>
      </c>
      <c r="E544" s="32">
        <f t="shared" ca="1" si="73"/>
        <v>-2.7473220630755586E-3</v>
      </c>
      <c r="F544" s="18">
        <f t="shared" ca="1" si="74"/>
        <v>58.149804647754742</v>
      </c>
      <c r="G544" s="19">
        <f t="shared" ca="1" si="75"/>
        <v>0.16019635224525786</v>
      </c>
      <c r="H544" s="27">
        <v>44.650002000000001</v>
      </c>
      <c r="I544" s="19">
        <f t="shared" si="76"/>
        <v>-2.2334049587652727E-2</v>
      </c>
      <c r="J544" s="19">
        <f t="shared" ca="1" si="77"/>
        <v>-1.51603897026426E-2</v>
      </c>
      <c r="K544" s="19">
        <f t="shared" ca="1" si="78"/>
        <v>82.224257094047147</v>
      </c>
      <c r="L544" s="19">
        <f t="shared" ca="1" si="79"/>
        <v>1.2657409059528533</v>
      </c>
      <c r="M544" s="19">
        <f t="shared" ca="1" si="80"/>
        <v>1.4259372581981111</v>
      </c>
      <c r="AA544" s="37">
        <v>524</v>
      </c>
      <c r="AB544" s="37">
        <v>1.8496043311309869</v>
      </c>
      <c r="AC544" s="37">
        <v>2.8659946873089677</v>
      </c>
      <c r="AD544" s="37">
        <v>3.6812995176424104</v>
      </c>
    </row>
    <row r="545" spans="2:30" x14ac:dyDescent="0.3">
      <c r="B545" s="28">
        <v>43419</v>
      </c>
      <c r="C545" s="25">
        <v>37.200001</v>
      </c>
      <c r="D545" s="18">
        <f t="shared" si="72"/>
        <v>-2.0279167229940387E-2</v>
      </c>
      <c r="E545" s="32">
        <f t="shared" ca="1" si="73"/>
        <v>8.4423359313571533E-3</v>
      </c>
      <c r="F545" s="18">
        <f t="shared" ca="1" si="74"/>
        <v>58.802273616599777</v>
      </c>
      <c r="G545" s="19">
        <f t="shared" ca="1" si="75"/>
        <v>-0.49227261659977728</v>
      </c>
      <c r="H545" s="27">
        <v>43.439999</v>
      </c>
      <c r="I545" s="19">
        <f t="shared" si="76"/>
        <v>-2.7099730029127467E-2</v>
      </c>
      <c r="J545" s="19">
        <f t="shared" ca="1" si="77"/>
        <v>-4.60633288634323E-3</v>
      </c>
      <c r="K545" s="19">
        <f t="shared" ca="1" si="78"/>
        <v>83.105415276531872</v>
      </c>
      <c r="L545" s="19">
        <f t="shared" ca="1" si="79"/>
        <v>0.38458272346812805</v>
      </c>
      <c r="M545" s="19">
        <f t="shared" ca="1" si="80"/>
        <v>-0.10768989313164923</v>
      </c>
      <c r="AA545" s="37">
        <v>525</v>
      </c>
      <c r="AB545" s="37">
        <v>1.7699323930358939</v>
      </c>
      <c r="AC545" s="37">
        <v>2.6620455909225256</v>
      </c>
      <c r="AD545" s="37">
        <v>3.274814781935552</v>
      </c>
    </row>
    <row r="546" spans="2:30" x14ac:dyDescent="0.3">
      <c r="B546" s="28">
        <v>43420</v>
      </c>
      <c r="C546" s="25">
        <v>38.810001</v>
      </c>
      <c r="D546" s="18">
        <f t="shared" si="72"/>
        <v>4.3279568729043927E-2</v>
      </c>
      <c r="E546" s="32">
        <f t="shared" ca="1" si="73"/>
        <v>4.4389843928187489E-3</v>
      </c>
      <c r="F546" s="18">
        <f t="shared" ca="1" si="74"/>
        <v>58.568838184384248</v>
      </c>
      <c r="G546" s="19">
        <f t="shared" ca="1" si="75"/>
        <v>-0.25883718438424808</v>
      </c>
      <c r="H546" s="27">
        <v>44.02</v>
      </c>
      <c r="I546" s="19">
        <f t="shared" si="76"/>
        <v>1.3351772867213896E-2</v>
      </c>
      <c r="J546" s="19">
        <f t="shared" ca="1" si="77"/>
        <v>1.7638413498894667E-2</v>
      </c>
      <c r="K546" s="19">
        <f t="shared" ca="1" si="78"/>
        <v>84.962629107745897</v>
      </c>
      <c r="L546" s="19">
        <f t="shared" ca="1" si="79"/>
        <v>-1.4726311077458973</v>
      </c>
      <c r="M546" s="19">
        <f t="shared" ca="1" si="80"/>
        <v>-1.7314682921301454</v>
      </c>
      <c r="AA546" s="37">
        <v>526</v>
      </c>
      <c r="AB546" s="37">
        <v>1.7202541286095998</v>
      </c>
      <c r="AC546" s="37">
        <v>2.8135217212541304</v>
      </c>
      <c r="AD546" s="37">
        <v>3.406396775745085</v>
      </c>
    </row>
    <row r="547" spans="2:30" x14ac:dyDescent="0.3">
      <c r="B547" s="28">
        <v>43424</v>
      </c>
      <c r="C547" s="25">
        <v>38.900002000000001</v>
      </c>
      <c r="D547" s="18">
        <f t="shared" si="72"/>
        <v>2.3190156578454246E-3</v>
      </c>
      <c r="E547" s="32">
        <f t="shared" ca="1" si="73"/>
        <v>-5.7936836979676776E-3</v>
      </c>
      <c r="F547" s="18">
        <f t="shared" ca="1" si="74"/>
        <v>57.97217129777782</v>
      </c>
      <c r="G547" s="19">
        <f t="shared" ca="1" si="75"/>
        <v>0.33782970222218012</v>
      </c>
      <c r="H547" s="27">
        <v>41.639999000000003</v>
      </c>
      <c r="I547" s="19">
        <f t="shared" si="76"/>
        <v>-5.4066356201726506E-2</v>
      </c>
      <c r="J547" s="19">
        <f t="shared" ca="1" si="77"/>
        <v>1.0374755781793114E-2</v>
      </c>
      <c r="K547" s="19">
        <f t="shared" ca="1" si="78"/>
        <v>84.356186339472387</v>
      </c>
      <c r="L547" s="19">
        <f t="shared" ca="1" si="79"/>
        <v>-0.86618833947238727</v>
      </c>
      <c r="M547" s="19">
        <f t="shared" ca="1" si="80"/>
        <v>-0.52835863725020715</v>
      </c>
      <c r="AA547" s="37">
        <v>527</v>
      </c>
      <c r="AB547" s="37">
        <v>1.7135867272008674</v>
      </c>
      <c r="AC547" s="37">
        <v>2.7665925309206338</v>
      </c>
      <c r="AD547" s="37">
        <v>3.2908429910542281</v>
      </c>
    </row>
    <row r="548" spans="2:30" x14ac:dyDescent="0.3">
      <c r="B548" s="28">
        <v>43425</v>
      </c>
      <c r="C548" s="25">
        <v>38.630001</v>
      </c>
      <c r="D548" s="18">
        <f t="shared" si="72"/>
        <v>-6.9408993860720081E-3</v>
      </c>
      <c r="E548" s="32">
        <f t="shared" ca="1" si="73"/>
        <v>-1.9862401177261405E-2</v>
      </c>
      <c r="F548" s="18">
        <f t="shared" ca="1" si="74"/>
        <v>57.151824367491486</v>
      </c>
      <c r="G548" s="19">
        <f t="shared" ca="1" si="75"/>
        <v>1.1581766325085141</v>
      </c>
      <c r="H548" s="27">
        <v>40.779998999999997</v>
      </c>
      <c r="I548" s="19">
        <f t="shared" si="76"/>
        <v>-2.065321855555291E-2</v>
      </c>
      <c r="J548" s="19">
        <f t="shared" ca="1" si="77"/>
        <v>4.3856937118209247E-2</v>
      </c>
      <c r="K548" s="19">
        <f t="shared" ca="1" si="78"/>
        <v>87.151613592285401</v>
      </c>
      <c r="L548" s="19">
        <f t="shared" ca="1" si="79"/>
        <v>-3.6616155922854006</v>
      </c>
      <c r="M548" s="19">
        <f t="shared" ca="1" si="80"/>
        <v>-2.5034389597768865</v>
      </c>
      <c r="AA548" s="37">
        <v>528</v>
      </c>
      <c r="AB548" s="37">
        <v>1.7790047739374919</v>
      </c>
      <c r="AC548" s="37">
        <v>2.8494533657643086</v>
      </c>
      <c r="AD548" s="37">
        <v>3.3327454472962268</v>
      </c>
    </row>
    <row r="549" spans="2:30" x14ac:dyDescent="0.3">
      <c r="B549" s="28">
        <v>43426</v>
      </c>
      <c r="C549" s="25">
        <v>38.119999</v>
      </c>
      <c r="D549" s="18">
        <f t="shared" si="72"/>
        <v>-1.3202225907268272E-2</v>
      </c>
      <c r="E549" s="32">
        <f t="shared" ca="1" si="73"/>
        <v>-9.0931862263768631E-4</v>
      </c>
      <c r="F549" s="18">
        <f t="shared" ca="1" si="74"/>
        <v>58.256978630204678</v>
      </c>
      <c r="G549" s="19">
        <f t="shared" ca="1" si="75"/>
        <v>5.3022369795321822E-2</v>
      </c>
      <c r="H549" s="27">
        <v>38.860000999999997</v>
      </c>
      <c r="I549" s="19">
        <f t="shared" si="76"/>
        <v>-4.7081855004459383E-2</v>
      </c>
      <c r="J549" s="19">
        <f t="shared" ca="1" si="77"/>
        <v>-9.3367310059368352E-3</v>
      </c>
      <c r="K549" s="19">
        <f t="shared" ca="1" si="78"/>
        <v>82.710474346987795</v>
      </c>
      <c r="L549" s="19">
        <f t="shared" ca="1" si="79"/>
        <v>0.77952365301220539</v>
      </c>
      <c r="M549" s="19">
        <f t="shared" ca="1" si="80"/>
        <v>0.83254602280752721</v>
      </c>
      <c r="AA549" s="37">
        <v>529</v>
      </c>
      <c r="AB549" s="37">
        <v>1.7943343823506095</v>
      </c>
      <c r="AC549" s="37">
        <v>2.7485909912408344</v>
      </c>
      <c r="AD549" s="37">
        <v>3.3363045913382892</v>
      </c>
    </row>
    <row r="550" spans="2:30" x14ac:dyDescent="0.3">
      <c r="B550" s="28">
        <v>43427</v>
      </c>
      <c r="C550" s="25">
        <v>37.509998000000003</v>
      </c>
      <c r="D550" s="18">
        <f t="shared" si="72"/>
        <v>-1.6002125288618108E-2</v>
      </c>
      <c r="E550" s="32">
        <f t="shared" ca="1" si="73"/>
        <v>7.3051559171132601E-3</v>
      </c>
      <c r="F550" s="18">
        <f t="shared" ca="1" si="74"/>
        <v>58.735964648832031</v>
      </c>
      <c r="G550" s="19">
        <f t="shared" ca="1" si="75"/>
        <v>-0.42596364883203108</v>
      </c>
      <c r="H550" s="27">
        <v>39.349997999999999</v>
      </c>
      <c r="I550" s="19">
        <f t="shared" si="76"/>
        <v>1.260928943362627E-2</v>
      </c>
      <c r="J550" s="19">
        <f t="shared" ca="1" si="77"/>
        <v>2.7890409126341523E-3</v>
      </c>
      <c r="K550" s="19">
        <f t="shared" ca="1" si="78"/>
        <v>83.722855020217736</v>
      </c>
      <c r="L550" s="19">
        <f t="shared" ca="1" si="79"/>
        <v>-0.23285702021773602</v>
      </c>
      <c r="M550" s="19">
        <f t="shared" ca="1" si="80"/>
        <v>-0.6588206690497671</v>
      </c>
      <c r="AA550" s="37">
        <v>530</v>
      </c>
      <c r="AB550" s="37">
        <v>1.7971646044848639</v>
      </c>
      <c r="AC550" s="37">
        <v>2.8143886357132057</v>
      </c>
      <c r="AD550" s="37">
        <v>3.3807353019782616</v>
      </c>
    </row>
    <row r="551" spans="2:30" x14ac:dyDescent="0.3">
      <c r="B551" s="28">
        <v>43430</v>
      </c>
      <c r="C551" s="25">
        <v>36.790000999999997</v>
      </c>
      <c r="D551" s="18">
        <f t="shared" si="72"/>
        <v>-1.9194802409747025E-2</v>
      </c>
      <c r="E551" s="32">
        <f t="shared" ca="1" si="73"/>
        <v>9.9991588005895679E-3</v>
      </c>
      <c r="F551" s="18">
        <f t="shared" ca="1" si="74"/>
        <v>58.893051959661541</v>
      </c>
      <c r="G551" s="19">
        <f t="shared" ca="1" si="75"/>
        <v>-0.58305095966154141</v>
      </c>
      <c r="H551" s="27">
        <v>37.770000000000003</v>
      </c>
      <c r="I551" s="19">
        <f t="shared" si="76"/>
        <v>-4.0152428978522337E-2</v>
      </c>
      <c r="J551" s="19">
        <f t="shared" ca="1" si="77"/>
        <v>7.2017672672949565E-3</v>
      </c>
      <c r="K551" s="19">
        <f t="shared" ca="1" si="78"/>
        <v>84.091273534742925</v>
      </c>
      <c r="L551" s="19">
        <f t="shared" ca="1" si="79"/>
        <v>-0.60127553474292483</v>
      </c>
      <c r="M551" s="19">
        <f t="shared" ca="1" si="80"/>
        <v>-1.1843264944044662</v>
      </c>
      <c r="AA551" s="37">
        <v>531</v>
      </c>
      <c r="AB551" s="37">
        <v>1.8181759945006171</v>
      </c>
      <c r="AC551" s="37">
        <v>2.8375013742042143</v>
      </c>
      <c r="AD551" s="37">
        <v>3.3644277549828052</v>
      </c>
    </row>
    <row r="552" spans="2:30" x14ac:dyDescent="0.3">
      <c r="B552" s="28">
        <v>43431</v>
      </c>
      <c r="C552" s="25">
        <v>38.720001000000003</v>
      </c>
      <c r="D552" s="18">
        <f t="shared" si="72"/>
        <v>5.2459906157654279E-2</v>
      </c>
      <c r="E552" s="32">
        <f t="shared" ca="1" si="73"/>
        <v>1.2919268675171592E-2</v>
      </c>
      <c r="F552" s="18">
        <f t="shared" ca="1" si="74"/>
        <v>59.063323569368521</v>
      </c>
      <c r="G552" s="19">
        <f t="shared" ca="1" si="75"/>
        <v>-0.75332256936852104</v>
      </c>
      <c r="H552" s="27">
        <v>39</v>
      </c>
      <c r="I552" s="19">
        <f t="shared" si="76"/>
        <v>3.2565528196981663E-2</v>
      </c>
      <c r="J552" s="19">
        <f t="shared" ca="1" si="77"/>
        <v>3.9760916383541671E-2</v>
      </c>
      <c r="K552" s="19">
        <f t="shared" ca="1" si="78"/>
        <v>86.809636829340064</v>
      </c>
      <c r="L552" s="19">
        <f t="shared" ca="1" si="79"/>
        <v>-3.3196388293400645</v>
      </c>
      <c r="M552" s="19">
        <f t="shared" ca="1" si="80"/>
        <v>-4.0729613987085855</v>
      </c>
      <c r="AA552" s="37">
        <v>532</v>
      </c>
      <c r="AB552" s="37">
        <v>1.6341509817790523</v>
      </c>
      <c r="AC552" s="37">
        <v>2.8493703547092237</v>
      </c>
      <c r="AD552" s="37">
        <v>3.5702754976551452</v>
      </c>
    </row>
    <row r="553" spans="2:30" x14ac:dyDescent="0.3">
      <c r="B553" s="28">
        <v>43432</v>
      </c>
      <c r="C553" s="25">
        <v>39.709999000000003</v>
      </c>
      <c r="D553" s="18">
        <f t="shared" si="72"/>
        <v>2.5568129504955239E-2</v>
      </c>
      <c r="E553" s="32">
        <f t="shared" ca="1" si="73"/>
        <v>3.2324600095965883E-2</v>
      </c>
      <c r="F553" s="18">
        <f t="shared" ca="1" si="74"/>
        <v>60.194848463920366</v>
      </c>
      <c r="G553" s="19">
        <f t="shared" ca="1" si="75"/>
        <v>-1.8848474639203658</v>
      </c>
      <c r="H553" s="27">
        <v>39.970001000000003</v>
      </c>
      <c r="I553" s="19">
        <f t="shared" si="76"/>
        <v>2.4871820512820664E-2</v>
      </c>
      <c r="J553" s="19">
        <f t="shared" ca="1" si="77"/>
        <v>4.0192329627682773E-2</v>
      </c>
      <c r="K553" s="19">
        <f t="shared" ca="1" si="78"/>
        <v>86.845655520230565</v>
      </c>
      <c r="L553" s="19">
        <f t="shared" ca="1" si="79"/>
        <v>-3.3556575202305652</v>
      </c>
      <c r="M553" s="19">
        <f t="shared" ca="1" si="80"/>
        <v>-5.240504984150931</v>
      </c>
      <c r="AA553" s="37">
        <v>533</v>
      </c>
      <c r="AB553" s="37">
        <v>1.7443418467022587</v>
      </c>
      <c r="AC553" s="37">
        <v>2.9083649969752732</v>
      </c>
      <c r="AD553" s="37">
        <v>3.4324667740558454</v>
      </c>
    </row>
    <row r="554" spans="2:30" x14ac:dyDescent="0.3">
      <c r="B554" s="28">
        <v>43433</v>
      </c>
      <c r="C554" s="25">
        <v>39.990001999999997</v>
      </c>
      <c r="D554" s="18">
        <f t="shared" si="72"/>
        <v>7.0511963498158803E-3</v>
      </c>
      <c r="E554" s="32">
        <f t="shared" ca="1" si="73"/>
        <v>-2.3666355426027054E-2</v>
      </c>
      <c r="F554" s="18">
        <f t="shared" ca="1" si="74"/>
        <v>56.93001579144201</v>
      </c>
      <c r="G554" s="19">
        <f t="shared" ca="1" si="75"/>
        <v>1.37998520855799</v>
      </c>
      <c r="H554" s="27">
        <v>42.080002</v>
      </c>
      <c r="I554" s="19">
        <f t="shared" si="76"/>
        <v>5.2789615892178565E-2</v>
      </c>
      <c r="J554" s="19">
        <f t="shared" ca="1" si="77"/>
        <v>-1.7010024245810804E-3</v>
      </c>
      <c r="K554" s="19">
        <f t="shared" ca="1" si="78"/>
        <v>83.347981310973736</v>
      </c>
      <c r="L554" s="19">
        <f t="shared" ca="1" si="79"/>
        <v>0.14201668902626352</v>
      </c>
      <c r="M554" s="19">
        <f t="shared" ca="1" si="80"/>
        <v>1.5220018975842535</v>
      </c>
      <c r="AA554" s="37">
        <v>534</v>
      </c>
      <c r="AB554" s="37">
        <v>1.8201733353029692</v>
      </c>
      <c r="AC554" s="37">
        <v>2.8225447468517935</v>
      </c>
      <c r="AD554" s="37">
        <v>3.4406513963432808</v>
      </c>
    </row>
    <row r="555" spans="2:30" x14ac:dyDescent="0.3">
      <c r="B555" s="28">
        <v>43434</v>
      </c>
      <c r="C555" s="25">
        <v>39</v>
      </c>
      <c r="D555" s="18">
        <f t="shared" si="72"/>
        <v>-2.475623782164349E-2</v>
      </c>
      <c r="E555" s="32">
        <f t="shared" ca="1" si="73"/>
        <v>-1.2230852507922298E-2</v>
      </c>
      <c r="F555" s="18">
        <f t="shared" ca="1" si="74"/>
        <v>57.596819978032194</v>
      </c>
      <c r="G555" s="19">
        <f t="shared" ca="1" si="75"/>
        <v>0.71318102196780586</v>
      </c>
      <c r="H555" s="27">
        <v>41.98</v>
      </c>
      <c r="I555" s="19">
        <f t="shared" si="76"/>
        <v>-2.3764732710802594E-3</v>
      </c>
      <c r="J555" s="19">
        <f t="shared" ca="1" si="77"/>
        <v>1.3682987909952659E-2</v>
      </c>
      <c r="K555" s="19">
        <f t="shared" ca="1" si="78"/>
        <v>84.632390633235971</v>
      </c>
      <c r="L555" s="19">
        <f t="shared" ca="1" si="79"/>
        <v>-1.1423926332359713</v>
      </c>
      <c r="M555" s="19">
        <f t="shared" ca="1" si="80"/>
        <v>-0.42921161126816543</v>
      </c>
      <c r="AA555" s="37">
        <v>535</v>
      </c>
      <c r="AB555" s="37">
        <v>1.9222638594027832</v>
      </c>
      <c r="AC555" s="37">
        <v>2.878123533555728</v>
      </c>
      <c r="AD555" s="37">
        <v>3.4868014521240691</v>
      </c>
    </row>
    <row r="556" spans="2:30" x14ac:dyDescent="0.3">
      <c r="B556" s="28">
        <v>43437</v>
      </c>
      <c r="C556" s="25">
        <v>39.060001</v>
      </c>
      <c r="D556" s="18">
        <f t="shared" si="72"/>
        <v>1.5384871794872357E-3</v>
      </c>
      <c r="E556" s="32">
        <f t="shared" ca="1" si="73"/>
        <v>-5.0272710068736751E-2</v>
      </c>
      <c r="F556" s="18">
        <f t="shared" ca="1" si="74"/>
        <v>55.378599225619247</v>
      </c>
      <c r="G556" s="19">
        <f t="shared" ca="1" si="75"/>
        <v>2.9314017743807526</v>
      </c>
      <c r="H556" s="27">
        <v>41.990001999999997</v>
      </c>
      <c r="I556" s="19">
        <f t="shared" si="76"/>
        <v>2.382563125298276E-4</v>
      </c>
      <c r="J556" s="19">
        <f t="shared" ca="1" si="77"/>
        <v>9.3083474803550611E-3</v>
      </c>
      <c r="K556" s="19">
        <f t="shared" ca="1" si="78"/>
        <v>84.267151912518145</v>
      </c>
      <c r="L556" s="19">
        <f t="shared" ca="1" si="79"/>
        <v>-0.77715391251814481</v>
      </c>
      <c r="M556" s="19">
        <f t="shared" ca="1" si="80"/>
        <v>2.1542478618626077</v>
      </c>
      <c r="AA556" s="37">
        <v>536</v>
      </c>
      <c r="AB556" s="37">
        <v>1.9444330854681335</v>
      </c>
      <c r="AC556" s="37">
        <v>2.9596386050744115</v>
      </c>
      <c r="AD556" s="37">
        <v>3.5235214839335507</v>
      </c>
    </row>
    <row r="557" spans="2:30" x14ac:dyDescent="0.3">
      <c r="B557" s="28">
        <v>43438</v>
      </c>
      <c r="C557" s="25">
        <v>38.540000999999997</v>
      </c>
      <c r="D557" s="18">
        <f t="shared" si="72"/>
        <v>-1.3312851681698712E-2</v>
      </c>
      <c r="E557" s="32">
        <f t="shared" ca="1" si="73"/>
        <v>-1.3089863391321256E-4</v>
      </c>
      <c r="F557" s="18">
        <f t="shared" ca="1" si="74"/>
        <v>58.302368300525622</v>
      </c>
      <c r="G557" s="19">
        <f t="shared" ca="1" si="75"/>
        <v>7.6326994743780574E-3</v>
      </c>
      <c r="H557" s="27">
        <v>41.220001000000003</v>
      </c>
      <c r="I557" s="19">
        <f t="shared" si="76"/>
        <v>-1.8337722394011657E-2</v>
      </c>
      <c r="J557" s="19">
        <f t="shared" ca="1" si="77"/>
        <v>1.4821916759791541E-2</v>
      </c>
      <c r="K557" s="19">
        <f t="shared" ca="1" si="78"/>
        <v>84.727479800631173</v>
      </c>
      <c r="L557" s="19">
        <f t="shared" ca="1" si="79"/>
        <v>-1.2374818006311727</v>
      </c>
      <c r="M557" s="19">
        <f t="shared" ca="1" si="80"/>
        <v>-1.2298491011567947</v>
      </c>
      <c r="AA557" s="37">
        <v>537</v>
      </c>
      <c r="AB557" s="37">
        <v>1.8224845896702919</v>
      </c>
      <c r="AC557" s="37">
        <v>2.7136344399908578</v>
      </c>
      <c r="AD557" s="37">
        <v>3.3063712077178846</v>
      </c>
    </row>
    <row r="558" spans="2:30" x14ac:dyDescent="0.3">
      <c r="B558" s="28">
        <v>43439</v>
      </c>
      <c r="C558" s="25">
        <v>38.970001000000003</v>
      </c>
      <c r="D558" s="18">
        <f t="shared" si="72"/>
        <v>1.1157238942469228E-2</v>
      </c>
      <c r="E558" s="32">
        <f t="shared" ca="1" si="73"/>
        <v>3.0950466765282989E-2</v>
      </c>
      <c r="F558" s="18">
        <f t="shared" ca="1" si="74"/>
        <v>60.114722748034112</v>
      </c>
      <c r="G558" s="19">
        <f t="shared" ca="1" si="75"/>
        <v>-1.8047217480341118</v>
      </c>
      <c r="H558" s="27">
        <v>41.57</v>
      </c>
      <c r="I558" s="19">
        <f t="shared" si="76"/>
        <v>8.4909993088062574E-3</v>
      </c>
      <c r="J558" s="19">
        <f t="shared" ca="1" si="77"/>
        <v>8.3078292951189042E-3</v>
      </c>
      <c r="K558" s="19">
        <f t="shared" ca="1" si="78"/>
        <v>84.183618651233814</v>
      </c>
      <c r="L558" s="19">
        <f t="shared" ca="1" si="79"/>
        <v>-0.69362065123381456</v>
      </c>
      <c r="M558" s="19">
        <f t="shared" ca="1" si="80"/>
        <v>-2.4983423992679263</v>
      </c>
      <c r="AA558" s="37">
        <v>538</v>
      </c>
      <c r="AB558" s="37">
        <v>1.828968319782369</v>
      </c>
      <c r="AC558" s="37">
        <v>2.7891462815245234</v>
      </c>
      <c r="AD558" s="37">
        <v>3.3634166322377266</v>
      </c>
    </row>
    <row r="559" spans="2:30" x14ac:dyDescent="0.3">
      <c r="B559" s="28">
        <v>43440</v>
      </c>
      <c r="C559" s="25">
        <v>38.919998</v>
      </c>
      <c r="D559" s="18">
        <f t="shared" si="72"/>
        <v>-1.2831151839078903E-3</v>
      </c>
      <c r="E559" s="32">
        <f t="shared" ca="1" si="73"/>
        <v>1.0610609028977903E-2</v>
      </c>
      <c r="F559" s="18">
        <f t="shared" ca="1" si="74"/>
        <v>58.928705623090309</v>
      </c>
      <c r="G559" s="19">
        <f t="shared" ca="1" si="75"/>
        <v>-0.61870462309030927</v>
      </c>
      <c r="H559" s="27">
        <v>41.540000999999997</v>
      </c>
      <c r="I559" s="19">
        <f t="shared" si="76"/>
        <v>-7.216502285303239E-4</v>
      </c>
      <c r="J559" s="19">
        <f t="shared" ca="1" si="77"/>
        <v>4.6092721199895758E-3</v>
      </c>
      <c r="K559" s="19">
        <f t="shared" ca="1" si="78"/>
        <v>83.874826120079376</v>
      </c>
      <c r="L559" s="19">
        <f t="shared" ca="1" si="79"/>
        <v>-0.38482812007937639</v>
      </c>
      <c r="M559" s="19">
        <f t="shared" ca="1" si="80"/>
        <v>-1.0035327431696857</v>
      </c>
      <c r="AA559" s="37">
        <v>539</v>
      </c>
      <c r="AB559" s="37">
        <v>1.8373866152852105</v>
      </c>
      <c r="AC559" s="37">
        <v>2.7820914273761543</v>
      </c>
      <c r="AD559" s="37">
        <v>3.353644170264455</v>
      </c>
    </row>
    <row r="560" spans="2:30" x14ac:dyDescent="0.3">
      <c r="B560" s="28">
        <v>43441</v>
      </c>
      <c r="C560" s="25">
        <v>39</v>
      </c>
      <c r="D560" s="18">
        <f t="shared" si="72"/>
        <v>2.0555499514671727E-3</v>
      </c>
      <c r="E560" s="32">
        <f t="shared" ca="1" si="73"/>
        <v>-2.0771987712341948E-2</v>
      </c>
      <c r="F560" s="18">
        <f t="shared" ca="1" si="74"/>
        <v>57.098786375721353</v>
      </c>
      <c r="G560" s="19">
        <f t="shared" ca="1" si="75"/>
        <v>1.2112146242786466</v>
      </c>
      <c r="H560" s="27">
        <v>42.490001999999997</v>
      </c>
      <c r="I560" s="19">
        <f t="shared" si="76"/>
        <v>2.2869546873626634E-2</v>
      </c>
      <c r="J560" s="19">
        <f t="shared" ca="1" si="77"/>
        <v>2.739159190906578E-3</v>
      </c>
      <c r="K560" s="19">
        <f t="shared" ca="1" si="78"/>
        <v>83.718690395370459</v>
      </c>
      <c r="L560" s="19">
        <f t="shared" ca="1" si="79"/>
        <v>-0.22869239537045871</v>
      </c>
      <c r="M560" s="19">
        <f t="shared" ca="1" si="80"/>
        <v>0.98252222890818786</v>
      </c>
      <c r="AA560" s="37">
        <v>540</v>
      </c>
      <c r="AB560" s="37">
        <v>1.920066755820995</v>
      </c>
      <c r="AC560" s="37">
        <v>2.8871394356320934</v>
      </c>
      <c r="AD560" s="37">
        <v>3.135775088561612</v>
      </c>
    </row>
    <row r="561" spans="2:30" x14ac:dyDescent="0.3">
      <c r="B561" s="28">
        <v>43444</v>
      </c>
      <c r="C561" s="25">
        <v>38.950001</v>
      </c>
      <c r="D561" s="18">
        <f t="shared" si="72"/>
        <v>-1.2820256410256414E-3</v>
      </c>
      <c r="E561" s="32">
        <f t="shared" ca="1" si="73"/>
        <v>-1.5160411548834941E-2</v>
      </c>
      <c r="F561" s="18">
        <f t="shared" ca="1" si="74"/>
        <v>57.425997387427024</v>
      </c>
      <c r="G561" s="19">
        <f t="shared" ca="1" si="75"/>
        <v>0.88400361257297533</v>
      </c>
      <c r="H561" s="27">
        <v>42.209999000000003</v>
      </c>
      <c r="I561" s="19">
        <f t="shared" si="76"/>
        <v>-6.5898561266246602E-3</v>
      </c>
      <c r="J561" s="19">
        <f t="shared" ca="1" si="77"/>
        <v>3.4593134986942518E-2</v>
      </c>
      <c r="K561" s="19">
        <f t="shared" ca="1" si="78"/>
        <v>86.378178770873575</v>
      </c>
      <c r="L561" s="19">
        <f t="shared" ca="1" si="79"/>
        <v>-2.8881807708735749</v>
      </c>
      <c r="M561" s="19">
        <f t="shared" ca="1" si="80"/>
        <v>-2.0041771583005996</v>
      </c>
      <c r="AA561" s="37">
        <v>541</v>
      </c>
      <c r="AB561" s="37">
        <v>1.8238238682984422</v>
      </c>
      <c r="AC561" s="37">
        <v>2.8289078257387801</v>
      </c>
      <c r="AD561" s="37">
        <v>3.5089506656758114</v>
      </c>
    </row>
    <row r="562" spans="2:30" x14ac:dyDescent="0.3">
      <c r="B562" s="28">
        <v>43445</v>
      </c>
      <c r="C562" s="25">
        <v>38.57</v>
      </c>
      <c r="D562" s="18">
        <f t="shared" si="72"/>
        <v>-9.7561229844383979E-3</v>
      </c>
      <c r="E562" s="32">
        <f t="shared" ca="1" si="73"/>
        <v>1.7768447726297708E-3</v>
      </c>
      <c r="F562" s="18">
        <f t="shared" ca="1" si="74"/>
        <v>58.413608820468887</v>
      </c>
      <c r="G562" s="19">
        <f t="shared" ca="1" si="75"/>
        <v>-0.10360782046888772</v>
      </c>
      <c r="H562" s="27">
        <v>41.080002</v>
      </c>
      <c r="I562" s="19">
        <f t="shared" si="76"/>
        <v>-2.6770836928946662E-2</v>
      </c>
      <c r="J562" s="19">
        <f t="shared" ca="1" si="77"/>
        <v>-6.4471590423431924E-2</v>
      </c>
      <c r="K562" s="19">
        <f t="shared" ca="1" si="78"/>
        <v>78.107265044490859</v>
      </c>
      <c r="L562" s="19">
        <f t="shared" ca="1" si="79"/>
        <v>5.382732955509141</v>
      </c>
      <c r="M562" s="19">
        <f t="shared" ca="1" si="80"/>
        <v>5.2791251350402533</v>
      </c>
      <c r="AA562" s="37">
        <v>542</v>
      </c>
      <c r="AB562" s="37">
        <v>1.6905315863880293</v>
      </c>
      <c r="AC562" s="37">
        <v>2.9026306308791421</v>
      </c>
      <c r="AD562" s="37">
        <v>3.4195151204365195</v>
      </c>
    </row>
    <row r="563" spans="2:30" x14ac:dyDescent="0.3">
      <c r="B563" s="28">
        <v>43447</v>
      </c>
      <c r="C563" s="25">
        <v>38.450001</v>
      </c>
      <c r="D563" s="18">
        <f t="shared" si="72"/>
        <v>-3.1112004148301509E-3</v>
      </c>
      <c r="E563" s="32">
        <f t="shared" ca="1" si="73"/>
        <v>8.717399241488958E-3</v>
      </c>
      <c r="F563" s="18">
        <f t="shared" ca="1" si="74"/>
        <v>58.818312558488628</v>
      </c>
      <c r="G563" s="19">
        <f t="shared" ca="1" si="75"/>
        <v>-0.50831155848862863</v>
      </c>
      <c r="H563" s="27">
        <v>40.779998999999997</v>
      </c>
      <c r="I563" s="19">
        <f t="shared" si="76"/>
        <v>-7.3028964312125133E-3</v>
      </c>
      <c r="J563" s="19">
        <f t="shared" ca="1" si="77"/>
        <v>4.4298743182711008E-2</v>
      </c>
      <c r="K563" s="19">
        <f t="shared" ca="1" si="78"/>
        <v>87.188499979727069</v>
      </c>
      <c r="L563" s="19">
        <f t="shared" ca="1" si="79"/>
        <v>-3.6985019797270695</v>
      </c>
      <c r="M563" s="19">
        <f t="shared" ca="1" si="80"/>
        <v>-4.2068135382156981</v>
      </c>
      <c r="AA563" s="37">
        <v>543</v>
      </c>
      <c r="AB563" s="37">
        <v>1.7246393771962978</v>
      </c>
      <c r="AC563" s="37">
        <v>2.7606043506487445</v>
      </c>
      <c r="AD563" s="37">
        <v>3.5510474995912888</v>
      </c>
    </row>
    <row r="564" spans="2:30" x14ac:dyDescent="0.3">
      <c r="B564" s="28">
        <v>43448</v>
      </c>
      <c r="C564" s="25">
        <v>38.779998999999997</v>
      </c>
      <c r="D564" s="18">
        <f t="shared" si="72"/>
        <v>8.5825225336144673E-3</v>
      </c>
      <c r="E564" s="32">
        <f t="shared" ca="1" si="73"/>
        <v>5.5542882221518326E-3</v>
      </c>
      <c r="F564" s="18">
        <f t="shared" ca="1" si="74"/>
        <v>58.633871551787955</v>
      </c>
      <c r="G564" s="19">
        <f t="shared" ca="1" si="75"/>
        <v>-0.32387055178795521</v>
      </c>
      <c r="H564" s="27">
        <v>40.779998999999997</v>
      </c>
      <c r="I564" s="19">
        <f t="shared" si="76"/>
        <v>0</v>
      </c>
      <c r="J564" s="19">
        <f t="shared" ca="1" si="77"/>
        <v>3.0228628245919886E-2</v>
      </c>
      <c r="K564" s="19">
        <f t="shared" ca="1" si="78"/>
        <v>86.013786111794587</v>
      </c>
      <c r="L564" s="19">
        <f t="shared" ca="1" si="79"/>
        <v>-2.5237881117945875</v>
      </c>
      <c r="M564" s="19">
        <f t="shared" ca="1" si="80"/>
        <v>-2.8476586635825427</v>
      </c>
      <c r="AA564" s="37">
        <v>544</v>
      </c>
      <c r="AB564" s="37">
        <v>1.8482574713772892</v>
      </c>
      <c r="AC564" s="37">
        <v>2.6295131575139949</v>
      </c>
      <c r="AD564" s="37">
        <v>3.5228808781139755</v>
      </c>
    </row>
    <row r="565" spans="2:30" x14ac:dyDescent="0.3">
      <c r="B565" s="28">
        <v>43451</v>
      </c>
      <c r="C565" s="25">
        <v>37.770000000000003</v>
      </c>
      <c r="D565" s="18">
        <f t="shared" si="72"/>
        <v>-2.6044327644257903E-2</v>
      </c>
      <c r="E565" s="32">
        <f t="shared" ca="1" si="73"/>
        <v>-4.2318737508890798E-3</v>
      </c>
      <c r="F565" s="18">
        <f t="shared" ca="1" si="74"/>
        <v>58.063240437353784</v>
      </c>
      <c r="G565" s="19">
        <f t="shared" ca="1" si="75"/>
        <v>0.24676056264621593</v>
      </c>
      <c r="H565" s="27">
        <v>39.770000000000003</v>
      </c>
      <c r="I565" s="19">
        <f t="shared" si="76"/>
        <v>-2.4767018753482417E-2</v>
      </c>
      <c r="J565" s="19">
        <f t="shared" ca="1" si="77"/>
        <v>8.7631944213987945E-3</v>
      </c>
      <c r="K565" s="19">
        <f t="shared" ca="1" si="78"/>
        <v>84.221637084716207</v>
      </c>
      <c r="L565" s="19">
        <f t="shared" ca="1" si="79"/>
        <v>-0.73163908471620687</v>
      </c>
      <c r="M565" s="19">
        <f t="shared" ca="1" si="80"/>
        <v>-0.48487852206999094</v>
      </c>
      <c r="AA565" s="37">
        <v>545</v>
      </c>
      <c r="AB565" s="37">
        <v>1.7825647358558312</v>
      </c>
      <c r="AC565" s="37">
        <v>2.8120578552696869</v>
      </c>
      <c r="AD565" s="37">
        <v>3.3306217045511852</v>
      </c>
    </row>
    <row r="566" spans="2:30" x14ac:dyDescent="0.3">
      <c r="B566" s="28">
        <v>43452</v>
      </c>
      <c r="C566" s="25">
        <v>38.479999999999997</v>
      </c>
      <c r="D566" s="18">
        <f t="shared" si="72"/>
        <v>1.8797987821021822E-2</v>
      </c>
      <c r="E566" s="32">
        <f t="shared" ca="1" si="73"/>
        <v>9.6718932679098531E-3</v>
      </c>
      <c r="F566" s="18">
        <f t="shared" ca="1" si="74"/>
        <v>58.873969106123717</v>
      </c>
      <c r="G566" s="19">
        <f t="shared" ca="1" si="75"/>
        <v>-0.56396810612371695</v>
      </c>
      <c r="H566" s="27">
        <v>38.790000999999997</v>
      </c>
      <c r="I566" s="19">
        <f t="shared" si="76"/>
        <v>-2.4641664571285027E-2</v>
      </c>
      <c r="J566" s="19">
        <f t="shared" ca="1" si="77"/>
        <v>-9.2445096968628276E-3</v>
      </c>
      <c r="K566" s="19">
        <f t="shared" ca="1" si="78"/>
        <v>82.718173903897934</v>
      </c>
      <c r="L566" s="19">
        <f t="shared" ca="1" si="79"/>
        <v>0.77182409610206548</v>
      </c>
      <c r="M566" s="19">
        <f t="shared" ca="1" si="80"/>
        <v>0.20785598997834853</v>
      </c>
      <c r="AA566" s="37">
        <v>546</v>
      </c>
      <c r="AB566" s="37">
        <v>1.7281107724944291</v>
      </c>
      <c r="AC566" s="37">
        <v>2.934461685634576</v>
      </c>
      <c r="AD566" s="37">
        <v>3.3605483666172238</v>
      </c>
    </row>
    <row r="567" spans="2:30" x14ac:dyDescent="0.3">
      <c r="B567" s="28">
        <v>43453</v>
      </c>
      <c r="C567" s="25">
        <v>38.779998999999997</v>
      </c>
      <c r="D567" s="18">
        <f t="shared" si="72"/>
        <v>7.7962318087319016E-3</v>
      </c>
      <c r="E567" s="32">
        <f t="shared" ca="1" si="73"/>
        <v>2.5139591706029953E-2</v>
      </c>
      <c r="F567" s="18">
        <f t="shared" ca="1" si="74"/>
        <v>59.775890617518201</v>
      </c>
      <c r="G567" s="19">
        <f t="shared" ca="1" si="75"/>
        <v>-1.4658896175182008</v>
      </c>
      <c r="H567" s="27">
        <v>38.169998</v>
      </c>
      <c r="I567" s="19">
        <f t="shared" si="76"/>
        <v>-1.5983577829760787E-2</v>
      </c>
      <c r="J567" s="19">
        <f t="shared" ca="1" si="77"/>
        <v>5.6188011907368166E-3</v>
      </c>
      <c r="K567" s="19">
        <f t="shared" ca="1" si="78"/>
        <v>83.959111700177004</v>
      </c>
      <c r="L567" s="19">
        <f t="shared" ca="1" si="79"/>
        <v>-0.46911370017700449</v>
      </c>
      <c r="M567" s="19">
        <f t="shared" ca="1" si="80"/>
        <v>-1.9350033176952053</v>
      </c>
      <c r="AA567" s="37">
        <v>547</v>
      </c>
      <c r="AB567" s="37">
        <v>1.7291279549427008</v>
      </c>
      <c r="AC567" s="37">
        <v>2.7843885977996345</v>
      </c>
      <c r="AD567" s="37">
        <v>3.2627086167084722</v>
      </c>
    </row>
    <row r="568" spans="2:30" x14ac:dyDescent="0.3">
      <c r="B568" s="28">
        <v>43454</v>
      </c>
      <c r="C568" s="25">
        <v>39.93</v>
      </c>
      <c r="D568" s="18">
        <f t="shared" si="72"/>
        <v>2.9654487613576253E-2</v>
      </c>
      <c r="E568" s="32">
        <f t="shared" ca="1" si="73"/>
        <v>-8.3863439382006189E-3</v>
      </c>
      <c r="F568" s="18">
        <f t="shared" ca="1" si="74"/>
        <v>57.820993276577177</v>
      </c>
      <c r="G568" s="19">
        <f t="shared" ca="1" si="75"/>
        <v>0.48900772342282295</v>
      </c>
      <c r="H568" s="27">
        <v>39.159999999999997</v>
      </c>
      <c r="I568" s="19">
        <f t="shared" si="76"/>
        <v>2.5936653179808866E-2</v>
      </c>
      <c r="J568" s="19">
        <f t="shared" ca="1" si="77"/>
        <v>2.6928892378729259E-2</v>
      </c>
      <c r="K568" s="19">
        <f t="shared" ca="1" si="78"/>
        <v>85.738291170842317</v>
      </c>
      <c r="L568" s="19">
        <f t="shared" ca="1" si="79"/>
        <v>-2.2482931708423166</v>
      </c>
      <c r="M568" s="19">
        <f t="shared" ca="1" si="80"/>
        <v>-1.7592854474194937</v>
      </c>
      <c r="AA568" s="37">
        <v>548</v>
      </c>
      <c r="AB568" s="37">
        <v>1.7446210593940201</v>
      </c>
      <c r="AC568" s="37">
        <v>2.7919447557071262</v>
      </c>
      <c r="AD568" s="37">
        <v>3.401087768594325</v>
      </c>
    </row>
    <row r="569" spans="2:30" x14ac:dyDescent="0.3">
      <c r="B569" s="28">
        <v>43455</v>
      </c>
      <c r="C569" s="25">
        <v>38.639999000000003</v>
      </c>
      <c r="D569" s="18">
        <f t="shared" si="72"/>
        <v>-3.2306561482594476E-2</v>
      </c>
      <c r="E569" s="32">
        <f t="shared" ca="1" si="73"/>
        <v>-2.808929301614102E-2</v>
      </c>
      <c r="F569" s="18">
        <f t="shared" ca="1" si="74"/>
        <v>56.672114296139519</v>
      </c>
      <c r="G569" s="19">
        <f t="shared" ca="1" si="75"/>
        <v>1.637886703860481</v>
      </c>
      <c r="H569" s="27">
        <v>40.409999999999997</v>
      </c>
      <c r="I569" s="19">
        <f t="shared" si="76"/>
        <v>3.1920326864147031E-2</v>
      </c>
      <c r="J569" s="19">
        <f t="shared" ca="1" si="77"/>
        <v>-1.0640668933310319E-2</v>
      </c>
      <c r="K569" s="19">
        <f t="shared" ca="1" si="78"/>
        <v>82.601608572039268</v>
      </c>
      <c r="L569" s="19">
        <f t="shared" ca="1" si="79"/>
        <v>0.88838942796073184</v>
      </c>
      <c r="M569" s="19">
        <f t="shared" ca="1" si="80"/>
        <v>2.5262761318212128</v>
      </c>
      <c r="AA569" s="37">
        <v>549</v>
      </c>
      <c r="AB569" s="37">
        <v>1.8029470876037905</v>
      </c>
      <c r="AC569" s="37">
        <v>2.9580800782059873</v>
      </c>
      <c r="AD569" s="37">
        <v>3.4053936559462961</v>
      </c>
    </row>
    <row r="570" spans="2:30" x14ac:dyDescent="0.3">
      <c r="B570" s="28">
        <v>43458</v>
      </c>
      <c r="C570" s="25">
        <v>38.970001000000003</v>
      </c>
      <c r="D570" s="18">
        <f t="shared" si="72"/>
        <v>8.5404246516673776E-3</v>
      </c>
      <c r="E570" s="32">
        <f t="shared" ca="1" si="73"/>
        <v>7.4784793524362006E-3</v>
      </c>
      <c r="F570" s="18">
        <f t="shared" ca="1" si="74"/>
        <v>58.746071138519042</v>
      </c>
      <c r="G570" s="19">
        <f t="shared" ca="1" si="75"/>
        <v>-0.43607013851904242</v>
      </c>
      <c r="H570" s="27">
        <v>40.240001999999997</v>
      </c>
      <c r="I570" s="19">
        <f t="shared" si="76"/>
        <v>-4.2068299925760444E-3</v>
      </c>
      <c r="J570" s="19">
        <f t="shared" ca="1" si="77"/>
        <v>2.1247906378352509E-2</v>
      </c>
      <c r="K570" s="19">
        <f t="shared" ca="1" si="78"/>
        <v>85.263985661032848</v>
      </c>
      <c r="L570" s="19">
        <f t="shared" ca="1" si="79"/>
        <v>-1.773987661032848</v>
      </c>
      <c r="M570" s="19">
        <f t="shared" ca="1" si="80"/>
        <v>-2.2100577995518904</v>
      </c>
      <c r="AA570" s="37">
        <v>550</v>
      </c>
      <c r="AB570" s="37">
        <v>1.7928150454387286</v>
      </c>
      <c r="AC570" s="37">
        <v>2.8942060465245945</v>
      </c>
      <c r="AD570" s="37">
        <v>3.2078774485925012</v>
      </c>
    </row>
    <row r="571" spans="2:30" x14ac:dyDescent="0.3">
      <c r="B571" s="28">
        <v>43460</v>
      </c>
      <c r="C571" s="25">
        <v>38.860000999999997</v>
      </c>
      <c r="D571" s="18">
        <f t="shared" si="72"/>
        <v>-2.8226840435545686E-3</v>
      </c>
      <c r="E571" s="32">
        <f t="shared" ca="1" si="73"/>
        <v>1.3200428749329284E-3</v>
      </c>
      <c r="F571" s="18">
        <f t="shared" ca="1" si="74"/>
        <v>58.386972701357379</v>
      </c>
      <c r="G571" s="19">
        <f t="shared" ca="1" si="75"/>
        <v>-7.6971701357379629E-2</v>
      </c>
      <c r="H571" s="27">
        <v>40.689999</v>
      </c>
      <c r="I571" s="19">
        <f t="shared" si="76"/>
        <v>1.1182827476002632E-2</v>
      </c>
      <c r="J571" s="19">
        <f t="shared" ca="1" si="77"/>
        <v>-1.3907460329360501E-2</v>
      </c>
      <c r="K571" s="19">
        <f t="shared" ca="1" si="78"/>
        <v>82.32886416491661</v>
      </c>
      <c r="L571" s="19">
        <f t="shared" ca="1" si="79"/>
        <v>1.1611338350833904</v>
      </c>
      <c r="M571" s="19">
        <f t="shared" ca="1" si="80"/>
        <v>1.0841621337260108</v>
      </c>
      <c r="AA571" s="37">
        <v>551</v>
      </c>
      <c r="AB571" s="37">
        <v>1.7459205087881295</v>
      </c>
      <c r="AC571" s="37">
        <v>2.8979851617515009</v>
      </c>
      <c r="AD571" s="37">
        <v>3.35573002076777</v>
      </c>
    </row>
    <row r="572" spans="2:30" x14ac:dyDescent="0.3">
      <c r="B572" s="28">
        <v>43461</v>
      </c>
      <c r="C572" s="25">
        <v>39.229999999999997</v>
      </c>
      <c r="D572" s="18">
        <f t="shared" si="72"/>
        <v>9.5213327452050578E-3</v>
      </c>
      <c r="E572" s="32">
        <f t="shared" ca="1" si="73"/>
        <v>-3.5871419092600609E-2</v>
      </c>
      <c r="F572" s="18">
        <f t="shared" ca="1" si="74"/>
        <v>56.21833851683904</v>
      </c>
      <c r="G572" s="19">
        <f t="shared" ca="1" si="75"/>
        <v>2.0916624831609596</v>
      </c>
      <c r="H572" s="27">
        <v>40.759998000000003</v>
      </c>
      <c r="I572" s="19">
        <f t="shared" si="76"/>
        <v>1.7202998702459116E-3</v>
      </c>
      <c r="J572" s="19">
        <f t="shared" ca="1" si="77"/>
        <v>-1.1932000923977925E-2</v>
      </c>
      <c r="K572" s="19">
        <f t="shared" ca="1" si="78"/>
        <v>82.493795266721079</v>
      </c>
      <c r="L572" s="19">
        <f t="shared" ca="1" si="79"/>
        <v>0.9962027332789205</v>
      </c>
      <c r="M572" s="19">
        <f t="shared" ca="1" si="80"/>
        <v>3.0878652164398801</v>
      </c>
      <c r="AA572" s="37">
        <v>552</v>
      </c>
      <c r="AB572" s="37">
        <v>1.7396724750509973</v>
      </c>
      <c r="AC572" s="37">
        <v>2.8225220183026818</v>
      </c>
      <c r="AD572" s="37">
        <v>3.3841953747178519</v>
      </c>
    </row>
    <row r="573" spans="2:30" x14ac:dyDescent="0.3">
      <c r="B573" s="28">
        <v>43462</v>
      </c>
      <c r="C573" s="25">
        <v>38.830002</v>
      </c>
      <c r="D573" s="18">
        <f t="shared" si="72"/>
        <v>-1.0196227377007316E-2</v>
      </c>
      <c r="E573" s="32">
        <f t="shared" ca="1" si="73"/>
        <v>1.5057618350766149E-2</v>
      </c>
      <c r="F573" s="18">
        <f t="shared" ca="1" si="74"/>
        <v>59.1880107410908</v>
      </c>
      <c r="G573" s="19">
        <f t="shared" ca="1" si="75"/>
        <v>-0.87800974109079988</v>
      </c>
      <c r="H573" s="27">
        <v>40.360000999999997</v>
      </c>
      <c r="I573" s="19">
        <f t="shared" si="76"/>
        <v>-9.8134695688651963E-3</v>
      </c>
      <c r="J573" s="19">
        <f t="shared" ca="1" si="77"/>
        <v>-8.2367005856238944E-3</v>
      </c>
      <c r="K573" s="19">
        <f t="shared" ca="1" si="78"/>
        <v>82.80231588457967</v>
      </c>
      <c r="L573" s="19">
        <f t="shared" ca="1" si="79"/>
        <v>0.68768211542032986</v>
      </c>
      <c r="M573" s="19">
        <f t="shared" ca="1" si="80"/>
        <v>-0.19032762567047001</v>
      </c>
      <c r="AA573" s="37">
        <v>553</v>
      </c>
      <c r="AB573" s="37">
        <v>1.8351193489108524</v>
      </c>
      <c r="AC573" s="37">
        <v>2.878769703625331</v>
      </c>
      <c r="AD573" s="37">
        <v>3.5149111925026522</v>
      </c>
    </row>
    <row r="574" spans="2:30" x14ac:dyDescent="0.3">
      <c r="B574" s="28">
        <v>43465</v>
      </c>
      <c r="C574" s="25">
        <v>39.150002000000001</v>
      </c>
      <c r="D574" s="18">
        <f t="shared" si="72"/>
        <v>8.2410503095002863E-3</v>
      </c>
      <c r="E574" s="32">
        <f t="shared" ca="1" si="73"/>
        <v>-4.183040075969406E-3</v>
      </c>
      <c r="F574" s="18">
        <f t="shared" ca="1" si="74"/>
        <v>58.066087928987187</v>
      </c>
      <c r="G574" s="19">
        <f t="shared" ca="1" si="75"/>
        <v>0.24391307101281257</v>
      </c>
      <c r="H574" s="27">
        <v>40.439999</v>
      </c>
      <c r="I574" s="19">
        <f t="shared" si="76"/>
        <v>1.9821109518802782E-3</v>
      </c>
      <c r="J574" s="19">
        <f t="shared" ca="1" si="77"/>
        <v>3.347742488476533E-3</v>
      </c>
      <c r="K574" s="19">
        <f t="shared" ca="1" si="78"/>
        <v>83.769501013667409</v>
      </c>
      <c r="L574" s="19">
        <f t="shared" ca="1" si="79"/>
        <v>-0.2795030136674086</v>
      </c>
      <c r="M574" s="19">
        <f t="shared" ca="1" si="80"/>
        <v>-3.558994265459603E-2</v>
      </c>
      <c r="AA574" s="37">
        <v>554</v>
      </c>
      <c r="AB574" s="37">
        <v>1.7509414357863431</v>
      </c>
      <c r="AC574" s="37">
        <v>2.8716548636661638</v>
      </c>
      <c r="AD574" s="37">
        <v>3.2815866623979164</v>
      </c>
    </row>
    <row r="575" spans="2:30" x14ac:dyDescent="0.3">
      <c r="B575" s="28">
        <v>43467</v>
      </c>
      <c r="C575" s="25">
        <v>39.32</v>
      </c>
      <c r="D575" s="18">
        <f t="shared" si="72"/>
        <v>4.3422220003972445E-3</v>
      </c>
      <c r="E575" s="32">
        <f t="shared" ca="1" si="73"/>
        <v>6.0974889679594859E-3</v>
      </c>
      <c r="F575" s="18">
        <f t="shared" ca="1" si="74"/>
        <v>58.665545587819203</v>
      </c>
      <c r="G575" s="19">
        <f t="shared" ca="1" si="75"/>
        <v>-0.35554458781920317</v>
      </c>
      <c r="H575" s="27">
        <v>41.009998000000003</v>
      </c>
      <c r="I575" s="19">
        <f t="shared" si="76"/>
        <v>1.4094931110161468E-2</v>
      </c>
      <c r="J575" s="19">
        <f t="shared" ca="1" si="77"/>
        <v>2.52079203906088E-3</v>
      </c>
      <c r="K575" s="19">
        <f t="shared" ca="1" si="78"/>
        <v>83.700458922299603</v>
      </c>
      <c r="L575" s="19">
        <f t="shared" ca="1" si="79"/>
        <v>-0.21046092229960323</v>
      </c>
      <c r="M575" s="19">
        <f t="shared" ca="1" si="80"/>
        <v>-0.5660055101188064</v>
      </c>
      <c r="AA575" s="37">
        <v>555</v>
      </c>
      <c r="AB575" s="37">
        <v>1.8029006922316659</v>
      </c>
      <c r="AC575" s="37">
        <v>2.7953693753926356</v>
      </c>
      <c r="AD575" s="37">
        <v>3.3314272838707906</v>
      </c>
    </row>
    <row r="576" spans="2:30" x14ac:dyDescent="0.3">
      <c r="B576" s="28">
        <v>43468</v>
      </c>
      <c r="C576" s="25">
        <v>39.32</v>
      </c>
      <c r="D576" s="18">
        <f t="shared" si="72"/>
        <v>0</v>
      </c>
      <c r="E576" s="32">
        <f t="shared" ca="1" si="73"/>
        <v>-3.9629459511109133E-2</v>
      </c>
      <c r="F576" s="18">
        <f t="shared" ca="1" si="74"/>
        <v>55.999207176277771</v>
      </c>
      <c r="G576" s="19">
        <f t="shared" ca="1" si="75"/>
        <v>2.3107938237222285</v>
      </c>
      <c r="H576" s="27">
        <v>40.810001</v>
      </c>
      <c r="I576" s="19">
        <f t="shared" si="76"/>
        <v>-4.8767863875536221E-3</v>
      </c>
      <c r="J576" s="19">
        <f t="shared" ca="1" si="77"/>
        <v>1.2908504481683004E-2</v>
      </c>
      <c r="K576" s="19">
        <f t="shared" ca="1" si="78"/>
        <v>84.567729013358701</v>
      </c>
      <c r="L576" s="19">
        <f t="shared" ca="1" si="79"/>
        <v>-1.0777310133587008</v>
      </c>
      <c r="M576" s="19">
        <f t="shared" ca="1" si="80"/>
        <v>1.2330628103635277</v>
      </c>
      <c r="AA576" s="37">
        <v>556</v>
      </c>
      <c r="AB576" s="37">
        <v>1.7170057721879208</v>
      </c>
      <c r="AC576" s="37">
        <v>2.8775017738940303</v>
      </c>
      <c r="AD576" s="37">
        <v>3.359009431339584</v>
      </c>
    </row>
    <row r="577" spans="2:30" x14ac:dyDescent="0.3">
      <c r="B577" s="28">
        <v>43469</v>
      </c>
      <c r="C577" s="25">
        <v>39.389999000000003</v>
      </c>
      <c r="D577" s="18">
        <f t="shared" si="72"/>
        <v>1.7802390640895283E-3</v>
      </c>
      <c r="E577" s="32">
        <f t="shared" ca="1" si="73"/>
        <v>-3.3375181407426097E-3</v>
      </c>
      <c r="F577" s="18">
        <f t="shared" ca="1" si="74"/>
        <v>58.115390313875785</v>
      </c>
      <c r="G577" s="19">
        <f t="shared" ca="1" si="75"/>
        <v>0.19461068612421428</v>
      </c>
      <c r="H577" s="27">
        <v>43.220001000000003</v>
      </c>
      <c r="I577" s="19">
        <f t="shared" si="76"/>
        <v>5.9054151946725142E-2</v>
      </c>
      <c r="J577" s="19">
        <f t="shared" ca="1" si="77"/>
        <v>1.8271707777300441E-2</v>
      </c>
      <c r="K577" s="19">
        <f t="shared" ca="1" si="78"/>
        <v>85.015502845783402</v>
      </c>
      <c r="L577" s="19">
        <f t="shared" ca="1" si="79"/>
        <v>-1.5255048457834022</v>
      </c>
      <c r="M577" s="19">
        <f t="shared" ca="1" si="80"/>
        <v>-1.3308941596591879</v>
      </c>
      <c r="AA577" s="37">
        <v>557</v>
      </c>
      <c r="AB577" s="37">
        <v>1.7380052348354047</v>
      </c>
      <c r="AC577" s="37">
        <v>2.7862560639526861</v>
      </c>
      <c r="AD577" s="37">
        <v>3.2991155339877092</v>
      </c>
    </row>
    <row r="578" spans="2:30" x14ac:dyDescent="0.3">
      <c r="B578" s="28">
        <v>43472</v>
      </c>
      <c r="C578" s="25">
        <v>39.110000999999997</v>
      </c>
      <c r="D578" s="18">
        <f t="shared" si="72"/>
        <v>-7.1083525541598691E-3</v>
      </c>
      <c r="E578" s="32">
        <f t="shared" ca="1" si="73"/>
        <v>-1.2680821957110004E-3</v>
      </c>
      <c r="F578" s="18">
        <f t="shared" ca="1" si="74"/>
        <v>58.236059125900013</v>
      </c>
      <c r="G578" s="19">
        <f t="shared" ca="1" si="75"/>
        <v>7.3941874099986649E-2</v>
      </c>
      <c r="H578" s="27">
        <v>43.52</v>
      </c>
      <c r="I578" s="19">
        <f t="shared" si="76"/>
        <v>6.9412076135768608E-3</v>
      </c>
      <c r="J578" s="19">
        <f t="shared" ca="1" si="77"/>
        <v>1.6300000517153645E-2</v>
      </c>
      <c r="K578" s="19">
        <f t="shared" ca="1" si="78"/>
        <v>84.850885010577159</v>
      </c>
      <c r="L578" s="19">
        <f t="shared" ca="1" si="79"/>
        <v>-1.3608870105771587</v>
      </c>
      <c r="M578" s="19">
        <f t="shared" ca="1" si="80"/>
        <v>-1.286945136477172</v>
      </c>
      <c r="AA578" s="37">
        <v>558</v>
      </c>
      <c r="AB578" s="37">
        <v>1.768397369123061</v>
      </c>
      <c r="AC578" s="37">
        <v>2.9596072836868768</v>
      </c>
      <c r="AD578" s="37">
        <v>3.4325525621537092</v>
      </c>
    </row>
    <row r="579" spans="2:30" x14ac:dyDescent="0.3">
      <c r="B579" s="28">
        <v>43473</v>
      </c>
      <c r="C579" s="25">
        <v>39.259998000000003</v>
      </c>
      <c r="D579" s="18">
        <f t="shared" si="72"/>
        <v>3.8352594263550976E-3</v>
      </c>
      <c r="E579" s="32">
        <f t="shared" ca="1" si="73"/>
        <v>-1.3796003844721856E-2</v>
      </c>
      <c r="F579" s="18">
        <f t="shared" ca="1" si="74"/>
        <v>57.50555600201826</v>
      </c>
      <c r="G579" s="19">
        <f t="shared" ca="1" si="75"/>
        <v>0.80444499798174007</v>
      </c>
      <c r="H579" s="27">
        <v>43.950001</v>
      </c>
      <c r="I579" s="19">
        <f t="shared" si="76"/>
        <v>9.8805376838233538E-3</v>
      </c>
      <c r="J579" s="19">
        <f t="shared" ca="1" si="77"/>
        <v>-7.8831512874786101E-3</v>
      </c>
      <c r="K579" s="19">
        <f t="shared" ca="1" si="78"/>
        <v>82.831833714774717</v>
      </c>
      <c r="L579" s="19">
        <f t="shared" ca="1" si="79"/>
        <v>0.6581642852252827</v>
      </c>
      <c r="M579" s="19">
        <f t="shared" ca="1" si="80"/>
        <v>1.4626092832070228</v>
      </c>
      <c r="AA579" s="37">
        <v>559</v>
      </c>
      <c r="AB579" s="37">
        <v>1.8570541200158934</v>
      </c>
      <c r="AC579" s="37">
        <v>2.9903774226590132</v>
      </c>
      <c r="AD579" s="37">
        <v>3.3479334296762882</v>
      </c>
    </row>
    <row r="580" spans="2:30" x14ac:dyDescent="0.3">
      <c r="B580" s="28">
        <v>43474</v>
      </c>
      <c r="C580" s="25">
        <v>39.389999000000003</v>
      </c>
      <c r="D580" s="18">
        <f t="shared" si="72"/>
        <v>3.3112839180480247E-3</v>
      </c>
      <c r="E580" s="32">
        <f t="shared" ca="1" si="73"/>
        <v>-1.3857522683927566E-2</v>
      </c>
      <c r="F580" s="18">
        <f t="shared" ca="1" si="74"/>
        <v>57.501968838442657</v>
      </c>
      <c r="G580" s="19">
        <f t="shared" ca="1" si="75"/>
        <v>0.80803216155734248</v>
      </c>
      <c r="H580" s="27">
        <v>44.279998999999997</v>
      </c>
      <c r="I580" s="19">
        <f t="shared" si="76"/>
        <v>7.5084867461094884E-3</v>
      </c>
      <c r="J580" s="19">
        <f t="shared" ca="1" si="77"/>
        <v>5.3361652539580084E-2</v>
      </c>
      <c r="K580" s="19">
        <f t="shared" ca="1" si="78"/>
        <v>87.945162263806239</v>
      </c>
      <c r="L580" s="19">
        <f t="shared" ca="1" si="79"/>
        <v>-4.455164263806239</v>
      </c>
      <c r="M580" s="19">
        <f t="shared" ca="1" si="80"/>
        <v>-3.6471321022488965</v>
      </c>
      <c r="AA580" s="37">
        <v>560</v>
      </c>
      <c r="AB580" s="37">
        <v>1.7547947908356694</v>
      </c>
      <c r="AC580" s="37">
        <v>2.8335981969067556</v>
      </c>
      <c r="AD580" s="37">
        <v>3.2900954722514086</v>
      </c>
    </row>
    <row r="581" spans="2:30" x14ac:dyDescent="0.3">
      <c r="B581" s="28">
        <v>43475</v>
      </c>
      <c r="C581" s="25">
        <v>39.610000999999997</v>
      </c>
      <c r="D581" s="18">
        <f t="shared" si="72"/>
        <v>5.5852248181065267E-3</v>
      </c>
      <c r="E581" s="32">
        <f t="shared" ca="1" si="73"/>
        <v>1.1399548328476868E-2</v>
      </c>
      <c r="F581" s="18">
        <f t="shared" ca="1" si="74"/>
        <v>58.974708674433032</v>
      </c>
      <c r="G581" s="19">
        <f t="shared" ca="1" si="75"/>
        <v>-0.66470767443303203</v>
      </c>
      <c r="H581" s="27">
        <v>44.77</v>
      </c>
      <c r="I581" s="19">
        <f t="shared" si="76"/>
        <v>1.1065966826241391E-2</v>
      </c>
      <c r="J581" s="19">
        <f t="shared" ca="1" si="77"/>
        <v>-1.8067634682263009E-3</v>
      </c>
      <c r="K581" s="19">
        <f t="shared" ca="1" si="78"/>
        <v>83.339151321651315</v>
      </c>
      <c r="L581" s="19">
        <f t="shared" ca="1" si="79"/>
        <v>0.15084667834868526</v>
      </c>
      <c r="M581" s="19">
        <f t="shared" ca="1" si="80"/>
        <v>-0.51386099608434677</v>
      </c>
      <c r="AA581" s="37">
        <v>561</v>
      </c>
      <c r="AB581" s="37">
        <v>1.7769834038323309</v>
      </c>
      <c r="AC581" s="37">
        <v>2.9084113679719019</v>
      </c>
      <c r="AD581" s="37">
        <v>3.2858756680478036</v>
      </c>
    </row>
    <row r="582" spans="2:30" x14ac:dyDescent="0.3">
      <c r="B582" s="28">
        <v>43476</v>
      </c>
      <c r="C582" s="25">
        <v>38.590000000000003</v>
      </c>
      <c r="D582" s="18">
        <f t="shared" si="72"/>
        <v>-2.5751097557407121E-2</v>
      </c>
      <c r="E582" s="32">
        <f t="shared" ca="1" si="73"/>
        <v>1.7460035795369255E-2</v>
      </c>
      <c r="F582" s="18">
        <f t="shared" ca="1" si="74"/>
        <v>59.32809570468801</v>
      </c>
      <c r="G582" s="19">
        <f t="shared" ca="1" si="75"/>
        <v>-1.0180947046880107</v>
      </c>
      <c r="H582" s="27">
        <v>44.720001000000003</v>
      </c>
      <c r="I582" s="19">
        <f t="shared" si="76"/>
        <v>-1.1167969622515317E-3</v>
      </c>
      <c r="J582" s="19">
        <f t="shared" ca="1" si="77"/>
        <v>-6.4467540808288556E-3</v>
      </c>
      <c r="K582" s="19">
        <f t="shared" ca="1" si="78"/>
        <v>82.95175851468511</v>
      </c>
      <c r="L582" s="19">
        <f t="shared" ca="1" si="79"/>
        <v>0.53823948531488952</v>
      </c>
      <c r="M582" s="19">
        <f t="shared" ca="1" si="80"/>
        <v>-0.47985521937312114</v>
      </c>
      <c r="AA582" s="37">
        <v>562</v>
      </c>
      <c r="AB582" s="37">
        <v>1.8363570277132915</v>
      </c>
      <c r="AC582" s="37">
        <v>2.8444386338302108</v>
      </c>
      <c r="AD582" s="37">
        <v>3.4414003884807345</v>
      </c>
    </row>
    <row r="583" spans="2:30" x14ac:dyDescent="0.3">
      <c r="B583" s="28">
        <v>43479</v>
      </c>
      <c r="C583" s="25">
        <v>37.959999000000003</v>
      </c>
      <c r="D583" s="18">
        <f t="shared" si="72"/>
        <v>-1.632549883389478E-2</v>
      </c>
      <c r="E583" s="32">
        <f t="shared" ca="1" si="73"/>
        <v>-2.1055258254612484E-2</v>
      </c>
      <c r="F583" s="18">
        <f t="shared" ca="1" si="74"/>
        <v>57.082268870118284</v>
      </c>
      <c r="G583" s="19">
        <f t="shared" ca="1" si="75"/>
        <v>1.2277321298817157</v>
      </c>
      <c r="H583" s="27">
        <v>45.060001</v>
      </c>
      <c r="I583" s="19">
        <f t="shared" si="76"/>
        <v>7.6028620840147276E-3</v>
      </c>
      <c r="J583" s="19">
        <f t="shared" ca="1" si="77"/>
        <v>2.0007314633360456E-2</v>
      </c>
      <c r="K583" s="19">
        <f t="shared" ca="1" si="78"/>
        <v>85.160408658724634</v>
      </c>
      <c r="L583" s="19">
        <f t="shared" ca="1" si="79"/>
        <v>-1.6704106587246343</v>
      </c>
      <c r="M583" s="19">
        <f t="shared" ca="1" si="80"/>
        <v>-0.44267852884291869</v>
      </c>
      <c r="AA583" s="37">
        <v>563</v>
      </c>
      <c r="AB583" s="37">
        <v>1.7395520105387843</v>
      </c>
      <c r="AC583" s="37">
        <v>2.6622787234126899</v>
      </c>
      <c r="AD583" s="37">
        <v>3.1928586752517227</v>
      </c>
    </row>
    <row r="584" spans="2:30" x14ac:dyDescent="0.3">
      <c r="B584" s="28">
        <v>43480</v>
      </c>
      <c r="C584" s="25">
        <v>38.68</v>
      </c>
      <c r="D584" s="18">
        <f t="shared" ref="D584:D647" si="81">C584/C583-1</f>
        <v>1.8967360879013517E-2</v>
      </c>
      <c r="E584" s="32">
        <f t="shared" ref="E584:E647" ca="1" si="82">NORMINV(RAND(),$E$3,$E$4)</f>
        <v>-4.7355768037649895E-3</v>
      </c>
      <c r="F584" s="18">
        <f t="shared" ref="F584:F647" ca="1" si="83">$C$1261*(1+E584)</f>
        <v>58.033869511836883</v>
      </c>
      <c r="G584" s="19">
        <f t="shared" ref="G584:G647" ca="1" si="84">$C$1261-F584</f>
        <v>0.2761314881631165</v>
      </c>
      <c r="H584" s="27">
        <v>44.220001000000003</v>
      </c>
      <c r="I584" s="19">
        <f t="shared" ref="I584:I647" si="85">H584/H583-1</f>
        <v>-1.8641810505064083E-2</v>
      </c>
      <c r="J584" s="19">
        <f t="shared" ref="J584:J647" ca="1" si="86">NORMINV(RAND(),$J$3,$J$4)</f>
        <v>9.5880376707440686E-3</v>
      </c>
      <c r="K584" s="19">
        <f t="shared" ref="K584:K647" ca="1" si="87">$H$1261*(1+J584)</f>
        <v>84.290503245954341</v>
      </c>
      <c r="L584" s="19">
        <f t="shared" ref="L584:L647" ca="1" si="88">$H$1261-K584</f>
        <v>-0.80050524595434069</v>
      </c>
      <c r="M584" s="19">
        <f t="shared" ref="M584:M647" ca="1" si="89">SUM(G584,L584)</f>
        <v>-0.52437375779122419</v>
      </c>
      <c r="AA584" s="37">
        <v>564</v>
      </c>
      <c r="AB584" s="37">
        <v>1.7925941447650451</v>
      </c>
      <c r="AC584" s="37">
        <v>2.9525416783790059</v>
      </c>
      <c r="AD584" s="37">
        <v>3.2977764716936773</v>
      </c>
    </row>
    <row r="585" spans="2:30" x14ac:dyDescent="0.3">
      <c r="B585" s="28">
        <v>43481</v>
      </c>
      <c r="C585" s="25">
        <v>38.889999000000003</v>
      </c>
      <c r="D585" s="18">
        <f t="shared" si="81"/>
        <v>5.4291365046537088E-3</v>
      </c>
      <c r="E585" s="32">
        <f t="shared" ca="1" si="82"/>
        <v>2.8393562373512437E-2</v>
      </c>
      <c r="F585" s="18">
        <f t="shared" ca="1" si="83"/>
        <v>59.965629650393076</v>
      </c>
      <c r="G585" s="19">
        <f t="shared" ca="1" si="84"/>
        <v>-1.6556286503930764</v>
      </c>
      <c r="H585" s="27">
        <v>44.93</v>
      </c>
      <c r="I585" s="19">
        <f t="shared" si="85"/>
        <v>1.6056060242965575E-2</v>
      </c>
      <c r="J585" s="19">
        <f t="shared" ca="1" si="86"/>
        <v>-8.0782713827062501E-3</v>
      </c>
      <c r="K585" s="19">
        <f t="shared" ca="1" si="87"/>
        <v>82.815543138414398</v>
      </c>
      <c r="L585" s="19">
        <f t="shared" ca="1" si="88"/>
        <v>0.67445486158560186</v>
      </c>
      <c r="M585" s="19">
        <f t="shared" ca="1" si="89"/>
        <v>-0.98117378880747452</v>
      </c>
      <c r="AA585" s="37">
        <v>565</v>
      </c>
      <c r="AB585" s="37">
        <v>1.7932140002046653</v>
      </c>
      <c r="AC585" s="37">
        <v>2.9923684690611791</v>
      </c>
      <c r="AD585" s="37">
        <v>3.2561115324080507</v>
      </c>
    </row>
    <row r="586" spans="2:30" x14ac:dyDescent="0.3">
      <c r="B586" s="28">
        <v>43482</v>
      </c>
      <c r="C586" s="25">
        <v>38.450001</v>
      </c>
      <c r="D586" s="18">
        <f t="shared" si="81"/>
        <v>-1.1313911322034298E-2</v>
      </c>
      <c r="E586" s="32">
        <f t="shared" ca="1" si="82"/>
        <v>1.2846148888385443E-2</v>
      </c>
      <c r="F586" s="18">
        <f t="shared" ca="1" si="83"/>
        <v>59.05905995452791</v>
      </c>
      <c r="G586" s="19">
        <f t="shared" ca="1" si="84"/>
        <v>-0.74905895452791071</v>
      </c>
      <c r="H586" s="27">
        <v>44.700001</v>
      </c>
      <c r="I586" s="19">
        <f t="shared" si="85"/>
        <v>-5.1190518584464106E-3</v>
      </c>
      <c r="J586" s="19">
        <f t="shared" ca="1" si="86"/>
        <v>-3.4027280382683649E-2</v>
      </c>
      <c r="K586" s="19">
        <f t="shared" ca="1" si="87"/>
        <v>80.649060428904306</v>
      </c>
      <c r="L586" s="19">
        <f t="shared" ca="1" si="88"/>
        <v>2.8409375710956937</v>
      </c>
      <c r="M586" s="19">
        <f t="shared" ca="1" si="89"/>
        <v>2.091878616567783</v>
      </c>
      <c r="AA586" s="37">
        <v>566</v>
      </c>
      <c r="AB586" s="37">
        <v>1.6941101064914439</v>
      </c>
      <c r="AC586" s="37">
        <v>2.7676536788335335</v>
      </c>
      <c r="AD586" s="37">
        <v>3.2038457164846341</v>
      </c>
    </row>
    <row r="587" spans="2:30" x14ac:dyDescent="0.3">
      <c r="B587" s="28">
        <v>43483</v>
      </c>
      <c r="C587" s="25">
        <v>38.299999</v>
      </c>
      <c r="D587" s="18">
        <f t="shared" si="81"/>
        <v>-3.9012222652478057E-3</v>
      </c>
      <c r="E587" s="32">
        <f t="shared" ca="1" si="82"/>
        <v>-3.8547500170294027E-2</v>
      </c>
      <c r="F587" s="18">
        <f t="shared" ca="1" si="83"/>
        <v>56.062296226522655</v>
      </c>
      <c r="G587" s="19">
        <f t="shared" ca="1" si="84"/>
        <v>2.247704773477345</v>
      </c>
      <c r="H587" s="27">
        <v>45.119999</v>
      </c>
      <c r="I587" s="19">
        <f t="shared" si="85"/>
        <v>9.3959282014333123E-3</v>
      </c>
      <c r="J587" s="19">
        <f t="shared" ca="1" si="86"/>
        <v>-7.8780432366990696E-3</v>
      </c>
      <c r="K587" s="19">
        <f t="shared" ca="1" si="87"/>
        <v>82.832260185924085</v>
      </c>
      <c r="L587" s="19">
        <f t="shared" ca="1" si="88"/>
        <v>0.65773781407591514</v>
      </c>
      <c r="M587" s="19">
        <f t="shared" ca="1" si="89"/>
        <v>2.9054425875532601</v>
      </c>
      <c r="AA587" s="37">
        <v>567</v>
      </c>
      <c r="AB587" s="37">
        <v>1.8129689878364812</v>
      </c>
      <c r="AC587" s="37">
        <v>2.7809867826178576</v>
      </c>
      <c r="AD587" s="37">
        <v>3.2951340764532544</v>
      </c>
    </row>
    <row r="588" spans="2:30" x14ac:dyDescent="0.3">
      <c r="B588" s="28">
        <v>43486</v>
      </c>
      <c r="C588" s="25">
        <v>38.720001000000003</v>
      </c>
      <c r="D588" s="18">
        <f t="shared" si="81"/>
        <v>1.0966109946895841E-2</v>
      </c>
      <c r="E588" s="32">
        <f t="shared" ca="1" si="82"/>
        <v>9.6631917447927203E-3</v>
      </c>
      <c r="F588" s="18">
        <f t="shared" ca="1" si="83"/>
        <v>58.873461720302053</v>
      </c>
      <c r="G588" s="19">
        <f t="shared" ca="1" si="84"/>
        <v>-0.56346072030205363</v>
      </c>
      <c r="H588" s="27">
        <v>44.380001</v>
      </c>
      <c r="I588" s="19">
        <f t="shared" si="85"/>
        <v>-1.6400665257106928E-2</v>
      </c>
      <c r="J588" s="19">
        <f t="shared" ca="1" si="86"/>
        <v>1.8874922243127912E-2</v>
      </c>
      <c r="K588" s="19">
        <f t="shared" ca="1" si="87"/>
        <v>85.065865220328902</v>
      </c>
      <c r="L588" s="19">
        <f t="shared" ca="1" si="88"/>
        <v>-1.5758672203289024</v>
      </c>
      <c r="M588" s="19">
        <f t="shared" ca="1" si="89"/>
        <v>-2.139327940630956</v>
      </c>
      <c r="AA588" s="37">
        <v>568</v>
      </c>
      <c r="AB588" s="37">
        <v>1.6686437862969496</v>
      </c>
      <c r="AC588" s="37">
        <v>2.964080482337756</v>
      </c>
      <c r="AD588" s="37">
        <v>3.3539712394962464</v>
      </c>
    </row>
    <row r="589" spans="2:30" x14ac:dyDescent="0.3">
      <c r="B589" s="28">
        <v>43487</v>
      </c>
      <c r="C589" s="25">
        <v>38.610000999999997</v>
      </c>
      <c r="D589" s="18">
        <f t="shared" si="81"/>
        <v>-2.8409090175386398E-3</v>
      </c>
      <c r="E589" s="32">
        <f t="shared" ca="1" si="82"/>
        <v>8.6966493484285767E-4</v>
      </c>
      <c r="F589" s="18">
        <f t="shared" ca="1" si="83"/>
        <v>58.360711163220344</v>
      </c>
      <c r="G589" s="19">
        <f t="shared" ca="1" si="84"/>
        <v>-5.0710163220344384E-2</v>
      </c>
      <c r="H589" s="27">
        <v>44.040000999999997</v>
      </c>
      <c r="I589" s="19">
        <f t="shared" si="85"/>
        <v>-7.6611084348556791E-3</v>
      </c>
      <c r="J589" s="19">
        <f t="shared" ca="1" si="86"/>
        <v>-2.8652790780739904E-2</v>
      </c>
      <c r="K589" s="19">
        <f t="shared" ca="1" si="87"/>
        <v>81.097776555021611</v>
      </c>
      <c r="L589" s="19">
        <f t="shared" ca="1" si="88"/>
        <v>2.3922214449783894</v>
      </c>
      <c r="M589" s="19">
        <f t="shared" ca="1" si="89"/>
        <v>2.341511281758045</v>
      </c>
      <c r="AA589" s="37">
        <v>569</v>
      </c>
      <c r="AB589" s="37">
        <v>1.7428789084822385</v>
      </c>
      <c r="AC589" s="37">
        <v>2.8729174650361782</v>
      </c>
      <c r="AD589" s="37">
        <v>3.3688513670745546</v>
      </c>
    </row>
    <row r="590" spans="2:30" x14ac:dyDescent="0.3">
      <c r="B590" s="28">
        <v>43488</v>
      </c>
      <c r="C590" s="25">
        <v>37.900002000000001</v>
      </c>
      <c r="D590" s="18">
        <f t="shared" si="81"/>
        <v>-1.8388992012717043E-2</v>
      </c>
      <c r="E590" s="32">
        <f t="shared" ca="1" si="82"/>
        <v>-1.2286281412390682E-2</v>
      </c>
      <c r="F590" s="18">
        <f t="shared" ca="1" si="83"/>
        <v>57.593587918557219</v>
      </c>
      <c r="G590" s="19">
        <f t="shared" ca="1" si="84"/>
        <v>0.71641308144278071</v>
      </c>
      <c r="H590" s="27">
        <v>44.41</v>
      </c>
      <c r="I590" s="19">
        <f t="shared" si="85"/>
        <v>8.4014303269430712E-3</v>
      </c>
      <c r="J590" s="19">
        <f t="shared" ca="1" si="86"/>
        <v>1.7940255795969584E-2</v>
      </c>
      <c r="K590" s="19">
        <f t="shared" ca="1" si="87"/>
        <v>84.987829920524987</v>
      </c>
      <c r="L590" s="19">
        <f t="shared" ca="1" si="88"/>
        <v>-1.4978319205249875</v>
      </c>
      <c r="M590" s="19">
        <f t="shared" ca="1" si="89"/>
        <v>-0.78141883908220677</v>
      </c>
      <c r="AA590" s="37">
        <v>570</v>
      </c>
      <c r="AB590" s="37">
        <v>1.7743359386839224</v>
      </c>
      <c r="AC590" s="37">
        <v>2.8362051172295488</v>
      </c>
      <c r="AD590" s="37">
        <v>3.4671624541111825</v>
      </c>
    </row>
    <row r="591" spans="2:30" x14ac:dyDescent="0.3">
      <c r="B591" s="28">
        <v>43489</v>
      </c>
      <c r="C591" s="25">
        <v>37.630001</v>
      </c>
      <c r="D591" s="18">
        <f t="shared" si="81"/>
        <v>-7.1240365633753466E-3</v>
      </c>
      <c r="E591" s="32">
        <f t="shared" ca="1" si="82"/>
        <v>-6.2498705142386432E-3</v>
      </c>
      <c r="F591" s="18">
        <f t="shared" ca="1" si="83"/>
        <v>57.945571044064877</v>
      </c>
      <c r="G591" s="19">
        <f t="shared" ca="1" si="84"/>
        <v>0.36442995593512251</v>
      </c>
      <c r="H591" s="27">
        <v>45.279998999999997</v>
      </c>
      <c r="I591" s="19">
        <f t="shared" si="85"/>
        <v>1.9590159873902335E-2</v>
      </c>
      <c r="J591" s="19">
        <f t="shared" ca="1" si="86"/>
        <v>-6.3076630923337455E-3</v>
      </c>
      <c r="K591" s="19">
        <f t="shared" ca="1" si="87"/>
        <v>82.963371221036383</v>
      </c>
      <c r="L591" s="19">
        <f t="shared" ca="1" si="88"/>
        <v>0.52662677896361743</v>
      </c>
      <c r="M591" s="19">
        <f t="shared" ca="1" si="89"/>
        <v>0.89105673489873993</v>
      </c>
      <c r="AA591" s="37">
        <v>571</v>
      </c>
      <c r="AB591" s="37">
        <v>1.7827708166272358</v>
      </c>
      <c r="AC591" s="37">
        <v>2.957839877209258</v>
      </c>
      <c r="AD591" s="37">
        <v>3.3311325188050103</v>
      </c>
    </row>
    <row r="592" spans="2:30" x14ac:dyDescent="0.3">
      <c r="B592" s="28">
        <v>43490</v>
      </c>
      <c r="C592" s="25">
        <v>37.900002000000001</v>
      </c>
      <c r="D592" s="18">
        <f t="shared" si="81"/>
        <v>7.1751526129377741E-3</v>
      </c>
      <c r="E592" s="32">
        <f t="shared" ca="1" si="82"/>
        <v>-3.1023910875460334E-2</v>
      </c>
      <c r="F592" s="18">
        <f t="shared" ca="1" si="83"/>
        <v>56.500996725827996</v>
      </c>
      <c r="G592" s="19">
        <f t="shared" ca="1" si="84"/>
        <v>1.809004274172004</v>
      </c>
      <c r="H592" s="27">
        <v>45.220001000000003</v>
      </c>
      <c r="I592" s="19">
        <f t="shared" si="85"/>
        <v>-1.3250441988744699E-3</v>
      </c>
      <c r="J592" s="19">
        <f t="shared" ca="1" si="86"/>
        <v>1.4171750701778988E-2</v>
      </c>
      <c r="K592" s="19">
        <f t="shared" ca="1" si="87"/>
        <v>84.673197437748016</v>
      </c>
      <c r="L592" s="19">
        <f t="shared" ca="1" si="88"/>
        <v>-1.1831994377480157</v>
      </c>
      <c r="M592" s="19">
        <f t="shared" ca="1" si="89"/>
        <v>0.62580483642398832</v>
      </c>
      <c r="AA592" s="37">
        <v>572</v>
      </c>
      <c r="AB592" s="37">
        <v>1.8566719122392885</v>
      </c>
      <c r="AC592" s="37">
        <v>2.9395414449401263</v>
      </c>
      <c r="AD592" s="37">
        <v>3.3851675435480026</v>
      </c>
    </row>
    <row r="593" spans="2:30" x14ac:dyDescent="0.3">
      <c r="B593" s="28">
        <v>43493</v>
      </c>
      <c r="C593" s="25">
        <v>37.389999000000003</v>
      </c>
      <c r="D593" s="18">
        <f t="shared" si="81"/>
        <v>-1.345654282551223E-2</v>
      </c>
      <c r="E593" s="32">
        <f t="shared" ca="1" si="82"/>
        <v>1.7295989650251978E-2</v>
      </c>
      <c r="F593" s="18">
        <f t="shared" ca="1" si="83"/>
        <v>59.318530173802188</v>
      </c>
      <c r="G593" s="19">
        <f t="shared" ca="1" si="84"/>
        <v>-1.008529173802188</v>
      </c>
      <c r="H593" s="27">
        <v>45.700001</v>
      </c>
      <c r="I593" s="19">
        <f t="shared" si="85"/>
        <v>1.0614771989942984E-2</v>
      </c>
      <c r="J593" s="19">
        <f t="shared" ca="1" si="86"/>
        <v>2.652368569291642E-2</v>
      </c>
      <c r="K593" s="19">
        <f t="shared" ca="1" si="87"/>
        <v>85.704460465454233</v>
      </c>
      <c r="L593" s="19">
        <f t="shared" ca="1" si="88"/>
        <v>-2.2144624654542326</v>
      </c>
      <c r="M593" s="19">
        <f t="shared" ca="1" si="89"/>
        <v>-3.2229916392564206</v>
      </c>
      <c r="AA593" s="37">
        <v>573</v>
      </c>
      <c r="AB593" s="37">
        <v>1.7359630781573612</v>
      </c>
      <c r="AC593" s="37">
        <v>2.7297780227947226</v>
      </c>
      <c r="AD593" s="37">
        <v>3.4325742311212935</v>
      </c>
    </row>
    <row r="594" spans="2:30" x14ac:dyDescent="0.3">
      <c r="B594" s="28">
        <v>43494</v>
      </c>
      <c r="C594" s="25">
        <v>37.349997999999999</v>
      </c>
      <c r="D594" s="18">
        <f t="shared" si="81"/>
        <v>-1.0698315343630194E-3</v>
      </c>
      <c r="E594" s="32">
        <f t="shared" ca="1" si="82"/>
        <v>-7.0862153377694859E-3</v>
      </c>
      <c r="F594" s="18">
        <f t="shared" ca="1" si="83"/>
        <v>57.89680377656844</v>
      </c>
      <c r="G594" s="19">
        <f t="shared" ca="1" si="84"/>
        <v>0.41319722343155973</v>
      </c>
      <c r="H594" s="27">
        <v>45.73</v>
      </c>
      <c r="I594" s="19">
        <f t="shared" si="85"/>
        <v>6.5643324602993047E-4</v>
      </c>
      <c r="J594" s="19">
        <f t="shared" ca="1" si="86"/>
        <v>-7.7283312514886847E-3</v>
      </c>
      <c r="K594" s="19">
        <f t="shared" ca="1" si="87"/>
        <v>82.844759639269881</v>
      </c>
      <c r="L594" s="19">
        <f t="shared" ca="1" si="88"/>
        <v>0.64523836073011864</v>
      </c>
      <c r="M594" s="19">
        <f t="shared" ca="1" si="89"/>
        <v>1.0584355841616784</v>
      </c>
      <c r="AA594" s="37">
        <v>574</v>
      </c>
      <c r="AB594" s="37">
        <v>1.6982918783524321</v>
      </c>
      <c r="AC594" s="37">
        <v>2.7014406811792453</v>
      </c>
      <c r="AD594" s="37">
        <v>3.5271814766932308</v>
      </c>
    </row>
    <row r="595" spans="2:30" x14ac:dyDescent="0.3">
      <c r="B595" s="28">
        <v>43495</v>
      </c>
      <c r="C595" s="25">
        <v>37.360000999999997</v>
      </c>
      <c r="D595" s="18">
        <f t="shared" si="81"/>
        <v>2.6781795276131781E-4</v>
      </c>
      <c r="E595" s="32">
        <f t="shared" ca="1" si="82"/>
        <v>-2.9819849686901174E-2</v>
      </c>
      <c r="F595" s="18">
        <f t="shared" ca="1" si="83"/>
        <v>56.571205534936944</v>
      </c>
      <c r="G595" s="19">
        <f t="shared" ca="1" si="84"/>
        <v>1.7387954650630562</v>
      </c>
      <c r="H595" s="27">
        <v>46.470001000000003</v>
      </c>
      <c r="I595" s="19">
        <f t="shared" si="85"/>
        <v>1.6181959326481588E-2</v>
      </c>
      <c r="J595" s="19">
        <f t="shared" ca="1" si="86"/>
        <v>-2.6564300941478262E-3</v>
      </c>
      <c r="K595" s="19">
        <f t="shared" ca="1" si="87"/>
        <v>83.268212656752453</v>
      </c>
      <c r="L595" s="19">
        <f t="shared" ca="1" si="88"/>
        <v>0.22178534324754651</v>
      </c>
      <c r="M595" s="19">
        <f t="shared" ca="1" si="89"/>
        <v>1.9605808083106027</v>
      </c>
      <c r="AA595" s="37">
        <v>575</v>
      </c>
      <c r="AB595" s="37">
        <v>1.8510119530348816</v>
      </c>
      <c r="AC595" s="37">
        <v>2.6625518088337734</v>
      </c>
      <c r="AD595" s="37">
        <v>3.2180951951551791</v>
      </c>
    </row>
    <row r="596" spans="2:30" x14ac:dyDescent="0.3">
      <c r="B596" s="28">
        <v>43496</v>
      </c>
      <c r="C596" s="25">
        <v>37.810001</v>
      </c>
      <c r="D596" s="18">
        <f t="shared" si="81"/>
        <v>1.2044967557683028E-2</v>
      </c>
      <c r="E596" s="32">
        <f t="shared" ca="1" si="82"/>
        <v>-2.5152459195846525E-3</v>
      </c>
      <c r="F596" s="18">
        <f t="shared" ca="1" si="83"/>
        <v>58.163337007913775</v>
      </c>
      <c r="G596" s="19">
        <f t="shared" ca="1" si="84"/>
        <v>0.14666399208622494</v>
      </c>
      <c r="H596" s="27">
        <v>45.790000999999997</v>
      </c>
      <c r="I596" s="19">
        <f t="shared" si="85"/>
        <v>-1.4633096306582938E-2</v>
      </c>
      <c r="J596" s="19">
        <f t="shared" ca="1" si="86"/>
        <v>-1.6385312064135363E-2</v>
      </c>
      <c r="K596" s="19">
        <f t="shared" ca="1" si="87"/>
        <v>82.121988328535963</v>
      </c>
      <c r="L596" s="19">
        <f t="shared" ca="1" si="88"/>
        <v>1.3680096714640371</v>
      </c>
      <c r="M596" s="19">
        <f t="shared" ca="1" si="89"/>
        <v>1.514673663550262</v>
      </c>
      <c r="AA596" s="37">
        <v>576</v>
      </c>
      <c r="AB596" s="37">
        <v>1.7701493677577806</v>
      </c>
      <c r="AC596" s="37">
        <v>2.6806306849143011</v>
      </c>
      <c r="AD596" s="37">
        <v>3.2620726345041047</v>
      </c>
    </row>
    <row r="597" spans="2:30" x14ac:dyDescent="0.3">
      <c r="B597" s="28">
        <v>43497</v>
      </c>
      <c r="C597" s="25">
        <v>36.849997999999999</v>
      </c>
      <c r="D597" s="18">
        <f t="shared" si="81"/>
        <v>-2.5390187109489926E-2</v>
      </c>
      <c r="E597" s="32">
        <f t="shared" ca="1" si="82"/>
        <v>2.5617748059269484E-2</v>
      </c>
      <c r="F597" s="18">
        <f t="shared" ca="1" si="83"/>
        <v>59.803771914953749</v>
      </c>
      <c r="G597" s="19">
        <f t="shared" ca="1" si="84"/>
        <v>-1.4937709149537497</v>
      </c>
      <c r="H597" s="27">
        <v>45.540000999999997</v>
      </c>
      <c r="I597" s="19">
        <f t="shared" si="85"/>
        <v>-5.459707240451861E-3</v>
      </c>
      <c r="J597" s="19">
        <f t="shared" ca="1" si="86"/>
        <v>3.1420220478136848E-2</v>
      </c>
      <c r="K597" s="19">
        <f t="shared" ca="1" si="87"/>
        <v>86.113272144879204</v>
      </c>
      <c r="L597" s="19">
        <f t="shared" ca="1" si="88"/>
        <v>-2.6232741448792041</v>
      </c>
      <c r="M597" s="19">
        <f t="shared" ca="1" si="89"/>
        <v>-4.1170450598329538</v>
      </c>
      <c r="AA597" s="37">
        <v>577</v>
      </c>
      <c r="AB597" s="37">
        <v>1.6838924634799464</v>
      </c>
      <c r="AC597" s="37">
        <v>2.8914113394547769</v>
      </c>
      <c r="AD597" s="37">
        <v>3.278962238005696</v>
      </c>
    </row>
    <row r="598" spans="2:30" x14ac:dyDescent="0.3">
      <c r="B598" s="28">
        <v>43501</v>
      </c>
      <c r="C598" s="25">
        <v>37.400002000000001</v>
      </c>
      <c r="D598" s="18">
        <f t="shared" si="81"/>
        <v>1.4925482492563535E-2</v>
      </c>
      <c r="E598" s="32">
        <f t="shared" ca="1" si="82"/>
        <v>-3.2403523065911162E-2</v>
      </c>
      <c r="F598" s="18">
        <f t="shared" ca="1" si="83"/>
        <v>56.420551537623197</v>
      </c>
      <c r="G598" s="19">
        <f t="shared" ca="1" si="84"/>
        <v>1.8894494623768026</v>
      </c>
      <c r="H598" s="27">
        <v>46.16</v>
      </c>
      <c r="I598" s="19">
        <f t="shared" si="85"/>
        <v>1.3614382661080837E-2</v>
      </c>
      <c r="J598" s="19">
        <f t="shared" ca="1" si="86"/>
        <v>-1.0001636460984713E-3</v>
      </c>
      <c r="K598" s="19">
        <f t="shared" ca="1" si="87"/>
        <v>83.406494339187574</v>
      </c>
      <c r="L598" s="19">
        <f t="shared" ca="1" si="88"/>
        <v>8.3503660812425551E-2</v>
      </c>
      <c r="M598" s="19">
        <f t="shared" ca="1" si="89"/>
        <v>1.9729531231892281</v>
      </c>
      <c r="AA598" s="37">
        <v>578</v>
      </c>
      <c r="AB598" s="37">
        <v>1.8188661651814986</v>
      </c>
      <c r="AC598" s="37">
        <v>3.1042475828118472</v>
      </c>
      <c r="AD598" s="37">
        <v>2.9835006728421685</v>
      </c>
    </row>
    <row r="599" spans="2:30" x14ac:dyDescent="0.3">
      <c r="B599" s="28">
        <v>43502</v>
      </c>
      <c r="C599" s="25">
        <v>36.919998</v>
      </c>
      <c r="D599" s="18">
        <f t="shared" si="81"/>
        <v>-1.2834330864474275E-2</v>
      </c>
      <c r="E599" s="32">
        <f t="shared" ca="1" si="82"/>
        <v>-1.9131415506611741E-2</v>
      </c>
      <c r="F599" s="18">
        <f t="shared" ca="1" si="83"/>
        <v>57.194448142678048</v>
      </c>
      <c r="G599" s="19">
        <f t="shared" ca="1" si="84"/>
        <v>1.1155528573219513</v>
      </c>
      <c r="H599" s="27">
        <v>45.369999</v>
      </c>
      <c r="I599" s="19">
        <f t="shared" si="85"/>
        <v>-1.71144064124783E-2</v>
      </c>
      <c r="J599" s="19">
        <f t="shared" ca="1" si="86"/>
        <v>-1.9878776277559244E-2</v>
      </c>
      <c r="K599" s="19">
        <f t="shared" ca="1" si="87"/>
        <v>81.830319008344134</v>
      </c>
      <c r="L599" s="19">
        <f t="shared" ca="1" si="88"/>
        <v>1.6596789916558663</v>
      </c>
      <c r="M599" s="19">
        <f t="shared" ca="1" si="89"/>
        <v>2.7752318489778176</v>
      </c>
      <c r="AA599" s="37">
        <v>579</v>
      </c>
      <c r="AB599" s="37">
        <v>1.8246274702604826</v>
      </c>
      <c r="AC599" s="37">
        <v>2.9945942264999261</v>
      </c>
      <c r="AD599" s="37">
        <v>3.4866700462280127</v>
      </c>
    </row>
    <row r="600" spans="2:30" x14ac:dyDescent="0.3">
      <c r="B600" s="28">
        <v>43503</v>
      </c>
      <c r="C600" s="25">
        <v>37.450001</v>
      </c>
      <c r="D600" s="18">
        <f t="shared" si="81"/>
        <v>1.4355444981335008E-2</v>
      </c>
      <c r="E600" s="32">
        <f t="shared" ca="1" si="82"/>
        <v>-3.2389001675295968E-3</v>
      </c>
      <c r="F600" s="18">
        <f t="shared" ca="1" si="83"/>
        <v>58.121140727992447</v>
      </c>
      <c r="G600" s="19">
        <f t="shared" ca="1" si="84"/>
        <v>0.18886027200755251</v>
      </c>
      <c r="H600" s="27">
        <v>45.540000999999997</v>
      </c>
      <c r="I600" s="19">
        <f t="shared" si="85"/>
        <v>3.7470135275956551E-3</v>
      </c>
      <c r="J600" s="19">
        <f t="shared" ca="1" si="86"/>
        <v>2.6125998264463061E-3</v>
      </c>
      <c r="K600" s="19">
        <f t="shared" ca="1" si="87"/>
        <v>83.708123954284801</v>
      </c>
      <c r="L600" s="19">
        <f t="shared" ca="1" si="88"/>
        <v>-0.21812595428480108</v>
      </c>
      <c r="M600" s="19">
        <f t="shared" ca="1" si="89"/>
        <v>-2.9265682277248573E-2</v>
      </c>
      <c r="AA600" s="37">
        <v>580</v>
      </c>
      <c r="AB600" s="37">
        <v>1.7879603134094233</v>
      </c>
      <c r="AC600" s="37">
        <v>2.9342712501267179</v>
      </c>
      <c r="AD600" s="37">
        <v>3.2475998316760659</v>
      </c>
    </row>
    <row r="601" spans="2:30" x14ac:dyDescent="0.3">
      <c r="B601" s="28">
        <v>43504</v>
      </c>
      <c r="C601" s="25">
        <v>36.840000000000003</v>
      </c>
      <c r="D601" s="18">
        <f t="shared" si="81"/>
        <v>-1.6288410780015639E-2</v>
      </c>
      <c r="E601" s="32">
        <f t="shared" ca="1" si="82"/>
        <v>-1.9878312331260039E-2</v>
      </c>
      <c r="F601" s="18">
        <f t="shared" ca="1" si="83"/>
        <v>57.150896588085914</v>
      </c>
      <c r="G601" s="19">
        <f t="shared" ca="1" si="84"/>
        <v>1.1591044119140861</v>
      </c>
      <c r="H601" s="27">
        <v>44.119999</v>
      </c>
      <c r="I601" s="19">
        <f t="shared" si="85"/>
        <v>-3.1181422240197043E-2</v>
      </c>
      <c r="J601" s="19">
        <f t="shared" ca="1" si="86"/>
        <v>1.1170972649433951E-2</v>
      </c>
      <c r="K601" s="19">
        <f t="shared" ca="1" si="87"/>
        <v>84.422662484159304</v>
      </c>
      <c r="L601" s="19">
        <f t="shared" ca="1" si="88"/>
        <v>-0.9326644841593037</v>
      </c>
      <c r="M601" s="19">
        <f t="shared" ca="1" si="89"/>
        <v>0.22643992775478239</v>
      </c>
      <c r="AA601" s="37">
        <v>581</v>
      </c>
      <c r="AB601" s="37">
        <v>1.8140017526313359</v>
      </c>
      <c r="AC601" s="37">
        <v>2.9910883057848574</v>
      </c>
      <c r="AD601" s="37">
        <v>3.4155799085100309</v>
      </c>
    </row>
    <row r="602" spans="2:30" x14ac:dyDescent="0.3">
      <c r="B602" s="28">
        <v>43507</v>
      </c>
      <c r="C602" s="25">
        <v>37.450001</v>
      </c>
      <c r="D602" s="18">
        <f t="shared" si="81"/>
        <v>1.6558116178067239E-2</v>
      </c>
      <c r="E602" s="32">
        <f t="shared" ca="1" si="82"/>
        <v>-1.0171344725334121E-2</v>
      </c>
      <c r="F602" s="18">
        <f t="shared" ca="1" si="83"/>
        <v>57.716909878894427</v>
      </c>
      <c r="G602" s="19">
        <f t="shared" ca="1" si="84"/>
        <v>0.59309112110557294</v>
      </c>
      <c r="H602" s="27">
        <v>43.5</v>
      </c>
      <c r="I602" s="19">
        <f t="shared" si="85"/>
        <v>-1.4052561515243922E-2</v>
      </c>
      <c r="J602" s="19">
        <f t="shared" ca="1" si="86"/>
        <v>-5.1406968735245983E-3</v>
      </c>
      <c r="K602" s="19">
        <f t="shared" ca="1" si="87"/>
        <v>83.060801228310822</v>
      </c>
      <c r="L602" s="19">
        <f t="shared" ca="1" si="88"/>
        <v>0.42919677168917758</v>
      </c>
      <c r="M602" s="19">
        <f t="shared" ca="1" si="89"/>
        <v>1.0222878927947505</v>
      </c>
      <c r="AA602" s="37">
        <v>582</v>
      </c>
      <c r="AB602" s="37">
        <v>1.7423524353231974</v>
      </c>
      <c r="AC602" s="37">
        <v>2.9988244931907486</v>
      </c>
      <c r="AD602" s="37">
        <v>3.3404641802529871</v>
      </c>
    </row>
    <row r="603" spans="2:30" x14ac:dyDescent="0.3">
      <c r="B603" s="28">
        <v>43508</v>
      </c>
      <c r="C603" s="25">
        <v>37.209999000000003</v>
      </c>
      <c r="D603" s="18">
        <f t="shared" si="81"/>
        <v>-6.4085979597169329E-3</v>
      </c>
      <c r="E603" s="32">
        <f t="shared" ca="1" si="82"/>
        <v>-3.463697946982431E-2</v>
      </c>
      <c r="F603" s="18">
        <f t="shared" ca="1" si="83"/>
        <v>56.290318692477562</v>
      </c>
      <c r="G603" s="19">
        <f t="shared" ca="1" si="84"/>
        <v>2.0196823075224373</v>
      </c>
      <c r="H603" s="27">
        <v>43.25</v>
      </c>
      <c r="I603" s="19">
        <f t="shared" si="85"/>
        <v>-5.7471264367816577E-3</v>
      </c>
      <c r="J603" s="19">
        <f t="shared" ca="1" si="86"/>
        <v>-1.8049869436477697E-2</v>
      </c>
      <c r="K603" s="19">
        <f t="shared" ca="1" si="87"/>
        <v>81.983014436848222</v>
      </c>
      <c r="L603" s="19">
        <f t="shared" ca="1" si="88"/>
        <v>1.5069835631517776</v>
      </c>
      <c r="M603" s="19">
        <f t="shared" ca="1" si="89"/>
        <v>3.5266658706742149</v>
      </c>
      <c r="AA603" s="37">
        <v>583</v>
      </c>
      <c r="AB603" s="37">
        <v>1.7418670821246283</v>
      </c>
      <c r="AC603" s="37">
        <v>2.9719089488161625</v>
      </c>
      <c r="AD603" s="37">
        <v>3.3978073076771156</v>
      </c>
    </row>
    <row r="604" spans="2:30" x14ac:dyDescent="0.3">
      <c r="B604" s="28">
        <v>43509</v>
      </c>
      <c r="C604" s="25">
        <v>36.479999999999997</v>
      </c>
      <c r="D604" s="18">
        <f t="shared" si="81"/>
        <v>-1.961835580807203E-2</v>
      </c>
      <c r="E604" s="32">
        <f t="shared" ca="1" si="82"/>
        <v>1.0577001905690216E-2</v>
      </c>
      <c r="F604" s="18">
        <f t="shared" ca="1" si="83"/>
        <v>58.926745991697793</v>
      </c>
      <c r="G604" s="19">
        <f t="shared" ca="1" si="84"/>
        <v>-0.61674499169779295</v>
      </c>
      <c r="H604" s="27">
        <v>43.639999000000003</v>
      </c>
      <c r="I604" s="19">
        <f t="shared" si="85"/>
        <v>9.0173179190751185E-3</v>
      </c>
      <c r="J604" s="19">
        <f t="shared" ca="1" si="86"/>
        <v>-1.4766149751110944E-2</v>
      </c>
      <c r="K604" s="19">
        <f t="shared" ca="1" si="87"/>
        <v>82.257172186812056</v>
      </c>
      <c r="L604" s="19">
        <f t="shared" ca="1" si="88"/>
        <v>1.2328258131879437</v>
      </c>
      <c r="M604" s="19">
        <f t="shared" ca="1" si="89"/>
        <v>0.61608082149015075</v>
      </c>
      <c r="AA604" s="37">
        <v>584</v>
      </c>
      <c r="AB604" s="37">
        <v>1.6992553324150084</v>
      </c>
      <c r="AC604" s="37">
        <v>2.7538304591911111</v>
      </c>
      <c r="AD604" s="37">
        <v>3.3720587420570043</v>
      </c>
    </row>
    <row r="605" spans="2:30" x14ac:dyDescent="0.3">
      <c r="B605" s="28">
        <v>43510</v>
      </c>
      <c r="C605" s="25">
        <v>36.349997999999999</v>
      </c>
      <c r="D605" s="18">
        <f t="shared" si="81"/>
        <v>-3.5636513157893956E-3</v>
      </c>
      <c r="E605" s="32">
        <f t="shared" ca="1" si="82"/>
        <v>7.3713178721409114E-4</v>
      </c>
      <c r="F605" s="18">
        <f t="shared" ca="1" si="83"/>
        <v>58.352983155249582</v>
      </c>
      <c r="G605" s="19">
        <f t="shared" ca="1" si="84"/>
        <v>-4.2982155249582377E-2</v>
      </c>
      <c r="H605" s="27">
        <v>45.450001</v>
      </c>
      <c r="I605" s="19">
        <f t="shared" si="85"/>
        <v>4.1475757137391156E-2</v>
      </c>
      <c r="J605" s="19">
        <f t="shared" ca="1" si="86"/>
        <v>2.1003069837360503E-2</v>
      </c>
      <c r="K605" s="19">
        <f t="shared" ca="1" si="87"/>
        <v>85.24354425871509</v>
      </c>
      <c r="L605" s="19">
        <f t="shared" ca="1" si="88"/>
        <v>-1.7535462587150903</v>
      </c>
      <c r="M605" s="19">
        <f t="shared" ca="1" si="89"/>
        <v>-1.7965284139646727</v>
      </c>
      <c r="AA605" s="37">
        <v>585</v>
      </c>
      <c r="AB605" s="37">
        <v>1.7582661152123957</v>
      </c>
      <c r="AC605" s="37">
        <v>2.8556439334933752</v>
      </c>
      <c r="AD605" s="37">
        <v>3.3998924838536402</v>
      </c>
    </row>
    <row r="606" spans="2:30" x14ac:dyDescent="0.3">
      <c r="B606" s="28">
        <v>43511</v>
      </c>
      <c r="C606" s="25">
        <v>36.639999000000003</v>
      </c>
      <c r="D606" s="18">
        <f t="shared" si="81"/>
        <v>7.9780196961771743E-3</v>
      </c>
      <c r="E606" s="32">
        <f t="shared" ca="1" si="82"/>
        <v>1.7605774038748342E-2</v>
      </c>
      <c r="F606" s="18">
        <f t="shared" ca="1" si="83"/>
        <v>59.336593701805185</v>
      </c>
      <c r="G606" s="19">
        <f t="shared" ca="1" si="84"/>
        <v>-1.0265927018051855</v>
      </c>
      <c r="H606" s="27">
        <v>45.240001999999997</v>
      </c>
      <c r="I606" s="19">
        <f t="shared" si="85"/>
        <v>-4.620439942344623E-3</v>
      </c>
      <c r="J606" s="19">
        <f t="shared" ca="1" si="86"/>
        <v>6.986951916658584E-3</v>
      </c>
      <c r="K606" s="19">
        <f t="shared" ca="1" si="87"/>
        <v>84.073338601547917</v>
      </c>
      <c r="L606" s="19">
        <f t="shared" ca="1" si="88"/>
        <v>-0.583340601547917</v>
      </c>
      <c r="M606" s="19">
        <f t="shared" ca="1" si="89"/>
        <v>-1.6099333033531025</v>
      </c>
      <c r="AA606" s="37">
        <v>586</v>
      </c>
      <c r="AB606" s="37">
        <v>1.8092962063200244</v>
      </c>
      <c r="AC606" s="37">
        <v>2.9533451320138542</v>
      </c>
      <c r="AD606" s="37">
        <v>3.3049617426151672</v>
      </c>
    </row>
    <row r="607" spans="2:30" x14ac:dyDescent="0.3">
      <c r="B607" s="28">
        <v>43514</v>
      </c>
      <c r="C607" s="25">
        <v>36.540000999999997</v>
      </c>
      <c r="D607" s="18">
        <f t="shared" si="81"/>
        <v>-2.7292031312556864E-3</v>
      </c>
      <c r="E607" s="32">
        <f t="shared" ca="1" si="82"/>
        <v>5.3655575747204578E-3</v>
      </c>
      <c r="F607" s="18">
        <f t="shared" ca="1" si="83"/>
        <v>58.622866667547505</v>
      </c>
      <c r="G607" s="19">
        <f t="shared" ca="1" si="84"/>
        <v>-0.31286566754750567</v>
      </c>
      <c r="H607" s="27">
        <v>44.73</v>
      </c>
      <c r="I607" s="19">
        <f t="shared" si="85"/>
        <v>-1.1273253259361016E-2</v>
      </c>
      <c r="J607" s="19">
        <f t="shared" ca="1" si="86"/>
        <v>4.7143947035382078E-2</v>
      </c>
      <c r="K607" s="19">
        <f t="shared" ca="1" si="87"/>
        <v>87.426046043696147</v>
      </c>
      <c r="L607" s="19">
        <f t="shared" ca="1" si="88"/>
        <v>-3.9360480436961467</v>
      </c>
      <c r="M607" s="19">
        <f t="shared" ca="1" si="89"/>
        <v>-4.2489137112436524</v>
      </c>
      <c r="AA607" s="37">
        <v>587</v>
      </c>
      <c r="AB607" s="37">
        <v>1.8023699827814004</v>
      </c>
      <c r="AC607" s="37">
        <v>2.8980940553786447</v>
      </c>
      <c r="AD607" s="37">
        <v>3.1466495300981352</v>
      </c>
    </row>
    <row r="608" spans="2:30" x14ac:dyDescent="0.3">
      <c r="B608" s="28">
        <v>43515</v>
      </c>
      <c r="C608" s="25">
        <v>36.279998999999997</v>
      </c>
      <c r="D608" s="18">
        <f t="shared" si="81"/>
        <v>-7.1155444139150426E-3</v>
      </c>
      <c r="E608" s="32">
        <f t="shared" ca="1" si="82"/>
        <v>-1.6758180051109645E-2</v>
      </c>
      <c r="F608" s="18">
        <f t="shared" ca="1" si="83"/>
        <v>57.332831504461616</v>
      </c>
      <c r="G608" s="19">
        <f t="shared" ca="1" si="84"/>
        <v>0.97716949553838361</v>
      </c>
      <c r="H608" s="27">
        <v>46.919998</v>
      </c>
      <c r="I608" s="19">
        <f t="shared" si="85"/>
        <v>4.8960384529398659E-2</v>
      </c>
      <c r="J608" s="19">
        <f t="shared" ca="1" si="86"/>
        <v>1.9281392196931511E-2</v>
      </c>
      <c r="K608" s="19">
        <f t="shared" ca="1" si="87"/>
        <v>85.09980139595902</v>
      </c>
      <c r="L608" s="19">
        <f t="shared" ca="1" si="88"/>
        <v>-1.6098033959590197</v>
      </c>
      <c r="M608" s="19">
        <f t="shared" ca="1" si="89"/>
        <v>-0.63263390042063605</v>
      </c>
      <c r="AA608" s="37">
        <v>588</v>
      </c>
      <c r="AB608" s="37">
        <v>1.7194077747702483</v>
      </c>
      <c r="AC608" s="37">
        <v>2.7078399517385043</v>
      </c>
      <c r="AD608" s="37">
        <v>3.3787726016209843</v>
      </c>
    </row>
    <row r="609" spans="2:30" x14ac:dyDescent="0.3">
      <c r="B609" s="28">
        <v>43516</v>
      </c>
      <c r="C609" s="25">
        <v>35.880001</v>
      </c>
      <c r="D609" s="18">
        <f t="shared" si="81"/>
        <v>-1.102530350124864E-2</v>
      </c>
      <c r="E609" s="32">
        <f t="shared" ca="1" si="82"/>
        <v>-4.1009948407126878E-2</v>
      </c>
      <c r="F609" s="18">
        <f t="shared" ca="1" si="83"/>
        <v>55.918710867370478</v>
      </c>
      <c r="G609" s="19">
        <f t="shared" ca="1" si="84"/>
        <v>2.3912901326295213</v>
      </c>
      <c r="H609" s="27">
        <v>48</v>
      </c>
      <c r="I609" s="19">
        <f t="shared" si="85"/>
        <v>2.3017946420202273E-2</v>
      </c>
      <c r="J609" s="19">
        <f t="shared" ca="1" si="86"/>
        <v>-4.4482630548665768E-2</v>
      </c>
      <c r="K609" s="19">
        <f t="shared" ca="1" si="87"/>
        <v>79.776143264457161</v>
      </c>
      <c r="L609" s="19">
        <f t="shared" ca="1" si="88"/>
        <v>3.7138547355428386</v>
      </c>
      <c r="M609" s="19">
        <f t="shared" ca="1" si="89"/>
        <v>6.1051448681723599</v>
      </c>
      <c r="AA609" s="37">
        <v>589</v>
      </c>
      <c r="AB609" s="37">
        <v>1.7611150247845655</v>
      </c>
      <c r="AC609" s="37">
        <v>2.743003960728323</v>
      </c>
      <c r="AD609" s="37">
        <v>3.2774780984695266</v>
      </c>
    </row>
    <row r="610" spans="2:30" x14ac:dyDescent="0.3">
      <c r="B610" s="28">
        <v>43517</v>
      </c>
      <c r="C610" s="25">
        <v>35.82</v>
      </c>
      <c r="D610" s="18">
        <f t="shared" si="81"/>
        <v>-1.6722686267484077E-3</v>
      </c>
      <c r="E610" s="32">
        <f t="shared" ca="1" si="82"/>
        <v>1.8608640678698395E-2</v>
      </c>
      <c r="F610" s="18">
        <f t="shared" ca="1" si="83"/>
        <v>59.395070856583551</v>
      </c>
      <c r="G610" s="19">
        <f t="shared" ca="1" si="84"/>
        <v>-1.0850698565835515</v>
      </c>
      <c r="H610" s="27">
        <v>48.200001</v>
      </c>
      <c r="I610" s="19">
        <f t="shared" si="85"/>
        <v>4.1666874999999326E-3</v>
      </c>
      <c r="J610" s="19">
        <f t="shared" ca="1" si="86"/>
        <v>3.5125682229149698E-2</v>
      </c>
      <c r="K610" s="19">
        <f t="shared" ca="1" si="87"/>
        <v>86.422641139060346</v>
      </c>
      <c r="L610" s="19">
        <f t="shared" ca="1" si="88"/>
        <v>-2.932643139060346</v>
      </c>
      <c r="M610" s="19">
        <f t="shared" ca="1" si="89"/>
        <v>-4.0177129956438975</v>
      </c>
      <c r="AA610" s="37">
        <v>590</v>
      </c>
      <c r="AB610" s="37">
        <v>1.7557513904238382</v>
      </c>
      <c r="AC610" s="37">
        <v>2.8901759374952265</v>
      </c>
      <c r="AD610" s="37">
        <v>3.358890269626456</v>
      </c>
    </row>
    <row r="611" spans="2:30" x14ac:dyDescent="0.3">
      <c r="B611" s="28">
        <v>43518</v>
      </c>
      <c r="C611" s="25">
        <v>37.669998</v>
      </c>
      <c r="D611" s="18">
        <f t="shared" si="81"/>
        <v>5.1647068676716978E-2</v>
      </c>
      <c r="E611" s="32">
        <f t="shared" ca="1" si="82"/>
        <v>-2.5767431727731712E-2</v>
      </c>
      <c r="F611" s="18">
        <f t="shared" ca="1" si="83"/>
        <v>56.807502030188537</v>
      </c>
      <c r="G611" s="19">
        <f t="shared" ca="1" si="84"/>
        <v>1.5024989698114624</v>
      </c>
      <c r="H611" s="27">
        <v>49.959999000000003</v>
      </c>
      <c r="I611" s="19">
        <f t="shared" si="85"/>
        <v>3.6514480570239094E-2</v>
      </c>
      <c r="J611" s="19">
        <f t="shared" ca="1" si="86"/>
        <v>-6.5281050538215975E-3</v>
      </c>
      <c r="K611" s="19">
        <f t="shared" ca="1" si="87"/>
        <v>82.944966522112637</v>
      </c>
      <c r="L611" s="19">
        <f t="shared" ca="1" si="88"/>
        <v>0.54503147788736328</v>
      </c>
      <c r="M611" s="19">
        <f t="shared" ca="1" si="89"/>
        <v>2.0475304476988256</v>
      </c>
      <c r="AA611" s="37">
        <v>591</v>
      </c>
      <c r="AB611" s="37">
        <v>1.7172158405180347</v>
      </c>
      <c r="AC611" s="37">
        <v>2.8793521901853936</v>
      </c>
      <c r="AD611" s="37">
        <v>3.2354232983472007</v>
      </c>
    </row>
    <row r="612" spans="2:30" x14ac:dyDescent="0.3">
      <c r="B612" s="28">
        <v>43521</v>
      </c>
      <c r="C612" s="25">
        <v>37.389999000000003</v>
      </c>
      <c r="D612" s="18">
        <f t="shared" si="81"/>
        <v>-7.432944381892348E-3</v>
      </c>
      <c r="E612" s="32">
        <f t="shared" ca="1" si="82"/>
        <v>2.1589231130442073E-3</v>
      </c>
      <c r="F612" s="18">
        <f t="shared" ca="1" si="83"/>
        <v>58.435887808880523</v>
      </c>
      <c r="G612" s="19">
        <f t="shared" ca="1" si="84"/>
        <v>-0.12588680888052295</v>
      </c>
      <c r="H612" s="27">
        <v>50.73</v>
      </c>
      <c r="I612" s="19">
        <f t="shared" si="85"/>
        <v>1.5412350188397594E-2</v>
      </c>
      <c r="J612" s="19">
        <f t="shared" ca="1" si="86"/>
        <v>-4.5757797807897911E-2</v>
      </c>
      <c r="K612" s="19">
        <f t="shared" ca="1" si="87"/>
        <v>79.669679552534205</v>
      </c>
      <c r="L612" s="19">
        <f t="shared" ca="1" si="88"/>
        <v>3.8203184474657945</v>
      </c>
      <c r="M612" s="19">
        <f t="shared" ca="1" si="89"/>
        <v>3.6944316385852716</v>
      </c>
      <c r="AA612" s="37">
        <v>592</v>
      </c>
      <c r="AB612" s="37">
        <v>1.8419325082825697</v>
      </c>
      <c r="AC612" s="37">
        <v>2.8994597566332998</v>
      </c>
      <c r="AD612" s="37">
        <v>3.2298306199236633</v>
      </c>
    </row>
    <row r="613" spans="2:30" x14ac:dyDescent="0.3">
      <c r="B613" s="28">
        <v>43522</v>
      </c>
      <c r="C613" s="25">
        <v>37.970001000000003</v>
      </c>
      <c r="D613" s="18">
        <f t="shared" si="81"/>
        <v>1.5512222934266573E-2</v>
      </c>
      <c r="E613" s="32">
        <f t="shared" ca="1" si="82"/>
        <v>-1.3537086922342035E-2</v>
      </c>
      <c r="F613" s="18">
        <f t="shared" ca="1" si="83"/>
        <v>57.52065344802115</v>
      </c>
      <c r="G613" s="19">
        <f t="shared" ca="1" si="84"/>
        <v>0.78934755197884954</v>
      </c>
      <c r="H613" s="27">
        <v>50.580002</v>
      </c>
      <c r="I613" s="19">
        <f t="shared" si="85"/>
        <v>-2.9567908535382825E-3</v>
      </c>
      <c r="J613" s="19">
        <f t="shared" ca="1" si="86"/>
        <v>2.5813426383128305E-3</v>
      </c>
      <c r="K613" s="19">
        <f t="shared" ca="1" si="87"/>
        <v>83.705514291710045</v>
      </c>
      <c r="L613" s="19">
        <f t="shared" ca="1" si="88"/>
        <v>-0.21551629171004549</v>
      </c>
      <c r="M613" s="19">
        <f t="shared" ca="1" si="89"/>
        <v>0.57383126026880404</v>
      </c>
      <c r="AA613" s="37">
        <v>593</v>
      </c>
      <c r="AB613" s="37">
        <v>1.6139060174519735</v>
      </c>
      <c r="AC613" s="37">
        <v>2.6959230427019816</v>
      </c>
      <c r="AD613" s="37">
        <v>3.2251997835822399</v>
      </c>
    </row>
    <row r="614" spans="2:30" x14ac:dyDescent="0.3">
      <c r="B614" s="28">
        <v>43523</v>
      </c>
      <c r="C614" s="25">
        <v>38.470001000000003</v>
      </c>
      <c r="D614" s="18">
        <f t="shared" si="81"/>
        <v>1.3168290409052208E-2</v>
      </c>
      <c r="E614" s="32">
        <f t="shared" ca="1" si="82"/>
        <v>2.1248755884028383E-2</v>
      </c>
      <c r="F614" s="18">
        <f t="shared" ca="1" si="83"/>
        <v>59.549015976846455</v>
      </c>
      <c r="G614" s="19">
        <f t="shared" ca="1" si="84"/>
        <v>-1.2390149768464553</v>
      </c>
      <c r="H614" s="27">
        <v>50.389999000000003</v>
      </c>
      <c r="I614" s="19">
        <f t="shared" si="85"/>
        <v>-3.7564846280551123E-3</v>
      </c>
      <c r="J614" s="19">
        <f t="shared" ca="1" si="86"/>
        <v>2.1342749479890344E-2</v>
      </c>
      <c r="K614" s="19">
        <f t="shared" ca="1" si="87"/>
        <v>85.27190411139054</v>
      </c>
      <c r="L614" s="19">
        <f t="shared" ca="1" si="88"/>
        <v>-1.7819061113905406</v>
      </c>
      <c r="M614" s="19">
        <f t="shared" ca="1" si="89"/>
        <v>-3.0209210882369959</v>
      </c>
      <c r="AA614" s="37">
        <v>594</v>
      </c>
      <c r="AB614" s="37">
        <v>1.7013881697217095</v>
      </c>
      <c r="AC614" s="37">
        <v>2.8112542199891308</v>
      </c>
      <c r="AD614" s="37">
        <v>3.3449423548240977</v>
      </c>
    </row>
    <row r="615" spans="2:30" x14ac:dyDescent="0.3">
      <c r="B615" s="28">
        <v>43524</v>
      </c>
      <c r="C615" s="25">
        <v>38.229999999999997</v>
      </c>
      <c r="D615" s="18">
        <f t="shared" si="81"/>
        <v>-6.2386533340617056E-3</v>
      </c>
      <c r="E615" s="32">
        <f t="shared" ca="1" si="82"/>
        <v>4.9516178863966446E-4</v>
      </c>
      <c r="F615" s="18">
        <f t="shared" ca="1" si="83"/>
        <v>58.338873884390743</v>
      </c>
      <c r="G615" s="19">
        <f t="shared" ca="1" si="84"/>
        <v>-2.8872884390743536E-2</v>
      </c>
      <c r="H615" s="27">
        <v>48.290000999999997</v>
      </c>
      <c r="I615" s="19">
        <f t="shared" si="85"/>
        <v>-4.1674896639708359E-2</v>
      </c>
      <c r="J615" s="19">
        <f t="shared" ca="1" si="86"/>
        <v>3.8436156339666287E-2</v>
      </c>
      <c r="K615" s="19">
        <f t="shared" ca="1" si="87"/>
        <v>86.699032615926427</v>
      </c>
      <c r="L615" s="19">
        <f t="shared" ca="1" si="88"/>
        <v>-3.2090346159264271</v>
      </c>
      <c r="M615" s="19">
        <f t="shared" ca="1" si="89"/>
        <v>-3.2379075003171707</v>
      </c>
      <c r="AA615" s="37">
        <v>595</v>
      </c>
      <c r="AB615" s="37">
        <v>1.7428096142117688</v>
      </c>
      <c r="AC615" s="37">
        <v>2.7189600074734908</v>
      </c>
      <c r="AD615" s="37">
        <v>3.2297683657004383</v>
      </c>
    </row>
    <row r="616" spans="2:30" x14ac:dyDescent="0.3">
      <c r="B616" s="28">
        <v>43525</v>
      </c>
      <c r="C616" s="25">
        <v>38.349997999999999</v>
      </c>
      <c r="D616" s="18">
        <f t="shared" si="81"/>
        <v>3.138843839916472E-3</v>
      </c>
      <c r="E616" s="32">
        <f t="shared" ca="1" si="82"/>
        <v>-3.0083385367470354E-3</v>
      </c>
      <c r="F616" s="18">
        <f t="shared" ca="1" si="83"/>
        <v>58.13458477691394</v>
      </c>
      <c r="G616" s="19">
        <f t="shared" ca="1" si="84"/>
        <v>0.17541622308606009</v>
      </c>
      <c r="H616" s="27">
        <v>48.02</v>
      </c>
      <c r="I616" s="19">
        <f t="shared" si="85"/>
        <v>-5.5912403066629146E-3</v>
      </c>
      <c r="J616" s="19">
        <f t="shared" ca="1" si="86"/>
        <v>-1.8549037368173565E-2</v>
      </c>
      <c r="K616" s="19">
        <f t="shared" ca="1" si="87"/>
        <v>81.941338907229266</v>
      </c>
      <c r="L616" s="19">
        <f t="shared" ca="1" si="88"/>
        <v>1.548659092770734</v>
      </c>
      <c r="M616" s="19">
        <f t="shared" ca="1" si="89"/>
        <v>1.7240753158567941</v>
      </c>
      <c r="AA616" s="37">
        <v>596</v>
      </c>
      <c r="AB616" s="37">
        <v>1.70465942465854</v>
      </c>
      <c r="AC616" s="37">
        <v>2.8664176868837346</v>
      </c>
      <c r="AD616" s="37">
        <v>3.4262788378593783</v>
      </c>
    </row>
    <row r="617" spans="2:30" x14ac:dyDescent="0.3">
      <c r="B617" s="28">
        <v>43528</v>
      </c>
      <c r="C617" s="25">
        <v>38.150002000000001</v>
      </c>
      <c r="D617" s="18">
        <f t="shared" si="81"/>
        <v>-5.2150198286842198E-3</v>
      </c>
      <c r="E617" s="32">
        <f t="shared" ca="1" si="82"/>
        <v>1.4407732837002432E-2</v>
      </c>
      <c r="F617" s="18">
        <f t="shared" ca="1" si="83"/>
        <v>59.150115916133345</v>
      </c>
      <c r="G617" s="19">
        <f t="shared" ca="1" si="84"/>
        <v>-0.84011491613334499</v>
      </c>
      <c r="H617" s="27">
        <v>47.439999</v>
      </c>
      <c r="I617" s="19">
        <f t="shared" si="85"/>
        <v>-1.2078321532694725E-2</v>
      </c>
      <c r="J617" s="19">
        <f t="shared" ca="1" si="86"/>
        <v>9.6728456694093294E-3</v>
      </c>
      <c r="K617" s="19">
        <f t="shared" ca="1" si="87"/>
        <v>84.297583865593296</v>
      </c>
      <c r="L617" s="19">
        <f t="shared" ca="1" si="88"/>
        <v>-0.80758586559329615</v>
      </c>
      <c r="M617" s="19">
        <f t="shared" ca="1" si="89"/>
        <v>-1.6477007817266411</v>
      </c>
      <c r="AA617" s="37">
        <v>597</v>
      </c>
      <c r="AB617" s="37">
        <v>1.796220413459912</v>
      </c>
      <c r="AC617" s="37">
        <v>2.8899196325460008</v>
      </c>
      <c r="AD617" s="37">
        <v>3.6693820747719545</v>
      </c>
    </row>
    <row r="618" spans="2:30" x14ac:dyDescent="0.3">
      <c r="B618" s="28">
        <v>43529</v>
      </c>
      <c r="C618" s="25">
        <v>38.240001999999997</v>
      </c>
      <c r="D618" s="18">
        <f t="shared" si="81"/>
        <v>2.3591086574517028E-3</v>
      </c>
      <c r="E618" s="32">
        <f t="shared" ca="1" si="82"/>
        <v>7.6199760829012619E-3</v>
      </c>
      <c r="F618" s="18">
        <f t="shared" ca="1" si="83"/>
        <v>58.754321813013945</v>
      </c>
      <c r="G618" s="19">
        <f t="shared" ca="1" si="84"/>
        <v>-0.44432081301394533</v>
      </c>
      <c r="H618" s="27">
        <v>47.470001000000003</v>
      </c>
      <c r="I618" s="19">
        <f t="shared" si="85"/>
        <v>6.3241991215057247E-4</v>
      </c>
      <c r="J618" s="19">
        <f t="shared" ca="1" si="86"/>
        <v>-3.0940794272573364E-2</v>
      </c>
      <c r="K618" s="19">
        <f t="shared" ca="1" si="87"/>
        <v>80.906751148064444</v>
      </c>
      <c r="L618" s="19">
        <f t="shared" ca="1" si="88"/>
        <v>2.5832468519355558</v>
      </c>
      <c r="M618" s="19">
        <f t="shared" ca="1" si="89"/>
        <v>2.1389260389216105</v>
      </c>
      <c r="AA618" s="37">
        <v>598</v>
      </c>
      <c r="AB618" s="37">
        <v>1.6451823311008953</v>
      </c>
      <c r="AC618" s="37">
        <v>2.8713437085275029</v>
      </c>
      <c r="AD618" s="37">
        <v>3.2452942251193195</v>
      </c>
    </row>
    <row r="619" spans="2:30" x14ac:dyDescent="0.3">
      <c r="B619" s="28">
        <v>43530</v>
      </c>
      <c r="C619" s="25">
        <v>38.389999000000003</v>
      </c>
      <c r="D619" s="18">
        <f t="shared" si="81"/>
        <v>3.922515485224265E-3</v>
      </c>
      <c r="E619" s="32">
        <f t="shared" ca="1" si="82"/>
        <v>4.1518179930300873E-2</v>
      </c>
      <c r="F619" s="18">
        <f t="shared" ca="1" si="83"/>
        <v>60.730926113254021</v>
      </c>
      <c r="G619" s="19">
        <f t="shared" ca="1" si="84"/>
        <v>-2.4209251132540217</v>
      </c>
      <c r="H619" s="27">
        <v>47.599997999999999</v>
      </c>
      <c r="I619" s="19">
        <f t="shared" si="85"/>
        <v>2.7385084740148002E-3</v>
      </c>
      <c r="J619" s="19">
        <f t="shared" ca="1" si="86"/>
        <v>-2.4632773144506394E-3</v>
      </c>
      <c r="K619" s="19">
        <f t="shared" ca="1" si="87"/>
        <v>83.284338981943066</v>
      </c>
      <c r="L619" s="19">
        <f t="shared" ca="1" si="88"/>
        <v>0.20565901805693443</v>
      </c>
      <c r="M619" s="19">
        <f t="shared" ca="1" si="89"/>
        <v>-2.2152660951970873</v>
      </c>
      <c r="AA619" s="37">
        <v>599</v>
      </c>
      <c r="AB619" s="37">
        <v>1.6966173706934882</v>
      </c>
      <c r="AC619" s="37">
        <v>2.6758201087381819</v>
      </c>
      <c r="AD619" s="37">
        <v>3.0783064646376701</v>
      </c>
    </row>
    <row r="620" spans="2:30" x14ac:dyDescent="0.3">
      <c r="B620" s="28">
        <v>43531</v>
      </c>
      <c r="C620" s="25">
        <v>37.720001000000003</v>
      </c>
      <c r="D620" s="18">
        <f t="shared" si="81"/>
        <v>-1.7452409936244084E-2</v>
      </c>
      <c r="E620" s="32">
        <f t="shared" ca="1" si="82"/>
        <v>1.1180435712203514E-2</v>
      </c>
      <c r="F620" s="18">
        <f t="shared" ca="1" si="83"/>
        <v>58.961932217559031</v>
      </c>
      <c r="G620" s="19">
        <f t="shared" ca="1" si="84"/>
        <v>-0.6519312175590315</v>
      </c>
      <c r="H620" s="27">
        <v>47.48</v>
      </c>
      <c r="I620" s="19">
        <f t="shared" si="85"/>
        <v>-2.5209664924776831E-3</v>
      </c>
      <c r="J620" s="19">
        <f t="shared" ca="1" si="86"/>
        <v>-3.8477884935247096E-4</v>
      </c>
      <c r="K620" s="19">
        <f t="shared" ca="1" si="87"/>
        <v>83.457872814637113</v>
      </c>
      <c r="L620" s="19">
        <f t="shared" ca="1" si="88"/>
        <v>3.2125185362886555E-2</v>
      </c>
      <c r="M620" s="19">
        <f t="shared" ca="1" si="89"/>
        <v>-0.61980603219614494</v>
      </c>
      <c r="AA620" s="37">
        <v>600</v>
      </c>
      <c r="AB620" s="37">
        <v>1.7720756534820281</v>
      </c>
      <c r="AC620" s="37">
        <v>2.7534879814632229</v>
      </c>
      <c r="AD620" s="37">
        <v>3.1438749468358291</v>
      </c>
    </row>
    <row r="621" spans="2:30" x14ac:dyDescent="0.3">
      <c r="B621" s="28">
        <v>43532</v>
      </c>
      <c r="C621" s="25">
        <v>37.959999000000003</v>
      </c>
      <c r="D621" s="18">
        <f t="shared" si="81"/>
        <v>6.362619131425884E-3</v>
      </c>
      <c r="E621" s="32">
        <f t="shared" ca="1" si="82"/>
        <v>4.6343244640066851E-3</v>
      </c>
      <c r="F621" s="18">
        <f t="shared" ca="1" si="83"/>
        <v>58.580228464130549</v>
      </c>
      <c r="G621" s="19">
        <f t="shared" ca="1" si="84"/>
        <v>-0.27022746413054932</v>
      </c>
      <c r="H621" s="27">
        <v>47.669998</v>
      </c>
      <c r="I621" s="19">
        <f t="shared" si="85"/>
        <v>4.0016427969671309E-3</v>
      </c>
      <c r="J621" s="19">
        <f t="shared" ca="1" si="86"/>
        <v>-9.3185885642616539E-3</v>
      </c>
      <c r="K621" s="19">
        <f t="shared" ca="1" si="87"/>
        <v>82.71198905940696</v>
      </c>
      <c r="L621" s="19">
        <f t="shared" ca="1" si="88"/>
        <v>0.77800894059303971</v>
      </c>
      <c r="M621" s="19">
        <f t="shared" ca="1" si="89"/>
        <v>0.50778147646249039</v>
      </c>
      <c r="AA621" s="37">
        <v>601</v>
      </c>
      <c r="AB621" s="37">
        <v>1.6983435338080162</v>
      </c>
      <c r="AC621" s="37">
        <v>2.7880653664327348</v>
      </c>
      <c r="AD621" s="37">
        <v>3.3865030392578226</v>
      </c>
    </row>
    <row r="622" spans="2:30" x14ac:dyDescent="0.3">
      <c r="B622" s="28">
        <v>43535</v>
      </c>
      <c r="C622" s="25">
        <v>38.529998999999997</v>
      </c>
      <c r="D622" s="18">
        <f t="shared" si="81"/>
        <v>1.5015806507265639E-2</v>
      </c>
      <c r="E622" s="32">
        <f t="shared" ca="1" si="82"/>
        <v>-6.9035909812646349E-3</v>
      </c>
      <c r="F622" s="18">
        <f t="shared" ca="1" si="83"/>
        <v>57.907452602978871</v>
      </c>
      <c r="G622" s="19">
        <f t="shared" ca="1" si="84"/>
        <v>0.40254839702112832</v>
      </c>
      <c r="H622" s="27">
        <v>47.970001000000003</v>
      </c>
      <c r="I622" s="19">
        <f t="shared" si="85"/>
        <v>6.2933294018598929E-3</v>
      </c>
      <c r="J622" s="19">
        <f t="shared" ca="1" si="86"/>
        <v>-1.7588643090327209E-2</v>
      </c>
      <c r="K622" s="19">
        <f t="shared" ca="1" si="87"/>
        <v>82.021522223565867</v>
      </c>
      <c r="L622" s="19">
        <f t="shared" ca="1" si="88"/>
        <v>1.4684757764341327</v>
      </c>
      <c r="M622" s="19">
        <f t="shared" ca="1" si="89"/>
        <v>1.8710241734552611</v>
      </c>
      <c r="AA622" s="37">
        <v>602</v>
      </c>
      <c r="AB622" s="37">
        <v>1.8295800887148344</v>
      </c>
      <c r="AC622" s="37">
        <v>2.9028461057027126</v>
      </c>
      <c r="AD622" s="37">
        <v>3.2885496464255497</v>
      </c>
    </row>
    <row r="623" spans="2:30" x14ac:dyDescent="0.3">
      <c r="B623" s="28">
        <v>43536</v>
      </c>
      <c r="C623" s="25">
        <v>38.029998999999997</v>
      </c>
      <c r="D623" s="18">
        <f t="shared" si="81"/>
        <v>-1.2976901452813383E-2</v>
      </c>
      <c r="E623" s="32">
        <f t="shared" ca="1" si="82"/>
        <v>5.9533565552594564E-3</v>
      </c>
      <c r="F623" s="18">
        <f t="shared" ca="1" si="83"/>
        <v>58.657141226690534</v>
      </c>
      <c r="G623" s="19">
        <f t="shared" ca="1" si="84"/>
        <v>-0.34714022669053435</v>
      </c>
      <c r="H623" s="27">
        <v>49.16</v>
      </c>
      <c r="I623" s="19">
        <f t="shared" si="85"/>
        <v>2.4807149785133209E-2</v>
      </c>
      <c r="J623" s="19">
        <f t="shared" ca="1" si="86"/>
        <v>-2.087634342534532E-2</v>
      </c>
      <c r="K623" s="19">
        <f t="shared" ca="1" si="87"/>
        <v>81.747032129170606</v>
      </c>
      <c r="L623" s="19">
        <f t="shared" ca="1" si="88"/>
        <v>1.7429658708293942</v>
      </c>
      <c r="M623" s="19">
        <f t="shared" ca="1" si="89"/>
        <v>1.3958256441388599</v>
      </c>
      <c r="AA623" s="37">
        <v>603</v>
      </c>
      <c r="AB623" s="37">
        <v>1.644962763665178</v>
      </c>
      <c r="AC623" s="37">
        <v>2.7937348529956942</v>
      </c>
      <c r="AD623" s="37">
        <v>3.0871066152871314</v>
      </c>
    </row>
    <row r="624" spans="2:30" x14ac:dyDescent="0.3">
      <c r="B624" s="28">
        <v>43537</v>
      </c>
      <c r="C624" s="25">
        <v>38.470001000000003</v>
      </c>
      <c r="D624" s="18">
        <f t="shared" si="81"/>
        <v>1.1569866199576007E-2</v>
      </c>
      <c r="E624" s="32">
        <f t="shared" ca="1" si="82"/>
        <v>-4.3753165679948497E-3</v>
      </c>
      <c r="F624" s="18">
        <f t="shared" ca="1" si="83"/>
        <v>58.054876286544904</v>
      </c>
      <c r="G624" s="19">
        <f t="shared" ca="1" si="84"/>
        <v>0.25512471345509624</v>
      </c>
      <c r="H624" s="27">
        <v>49.27</v>
      </c>
      <c r="I624" s="19">
        <f t="shared" si="85"/>
        <v>2.2375915378358702E-3</v>
      </c>
      <c r="J624" s="19">
        <f t="shared" ca="1" si="86"/>
        <v>-2.067152803336756E-2</v>
      </c>
      <c r="K624" s="19">
        <f t="shared" ca="1" si="87"/>
        <v>81.764132165837196</v>
      </c>
      <c r="L624" s="19">
        <f t="shared" ca="1" si="88"/>
        <v>1.7258658341628035</v>
      </c>
      <c r="M624" s="19">
        <f t="shared" ca="1" si="89"/>
        <v>1.9809905476178997</v>
      </c>
      <c r="AA624" s="37">
        <v>604</v>
      </c>
      <c r="AB624" s="37">
        <v>1.8210949393486158</v>
      </c>
      <c r="AC624" s="37">
        <v>2.7644154365837106</v>
      </c>
      <c r="AD624" s="37">
        <v>3.1895829624042951</v>
      </c>
    </row>
    <row r="625" spans="2:30" x14ac:dyDescent="0.3">
      <c r="B625" s="28">
        <v>43538</v>
      </c>
      <c r="C625" s="25">
        <v>38.479999999999997</v>
      </c>
      <c r="D625" s="18">
        <f t="shared" si="81"/>
        <v>2.5991681154335922E-4</v>
      </c>
      <c r="E625" s="32">
        <f t="shared" ca="1" si="82"/>
        <v>1.2268689180109536E-3</v>
      </c>
      <c r="F625" s="18">
        <f t="shared" ca="1" si="83"/>
        <v>58.381539727836092</v>
      </c>
      <c r="G625" s="19">
        <f t="shared" ca="1" si="84"/>
        <v>-7.1538727836092164E-2</v>
      </c>
      <c r="H625" s="27">
        <v>49.380001</v>
      </c>
      <c r="I625" s="19">
        <f t="shared" si="85"/>
        <v>2.2326161964683067E-3</v>
      </c>
      <c r="J625" s="19">
        <f t="shared" ca="1" si="86"/>
        <v>-3.0519029229164604E-2</v>
      </c>
      <c r="K625" s="19">
        <f t="shared" ca="1" si="87"/>
        <v>80.941964310695099</v>
      </c>
      <c r="L625" s="19">
        <f t="shared" ca="1" si="88"/>
        <v>2.5480336893049014</v>
      </c>
      <c r="M625" s="19">
        <f t="shared" ca="1" si="89"/>
        <v>2.4764949614688092</v>
      </c>
      <c r="AA625" s="37">
        <v>605</v>
      </c>
      <c r="AB625" s="37">
        <v>1.7452712241007935</v>
      </c>
      <c r="AC625" s="37">
        <v>2.7768614604599051</v>
      </c>
      <c r="AD625" s="37">
        <v>3.3891264902180387</v>
      </c>
    </row>
    <row r="626" spans="2:30" x14ac:dyDescent="0.3">
      <c r="B626" s="28">
        <v>43539</v>
      </c>
      <c r="C626" s="25">
        <v>38.790000999999997</v>
      </c>
      <c r="D626" s="18">
        <f t="shared" si="81"/>
        <v>8.0561590436589725E-3</v>
      </c>
      <c r="E626" s="32">
        <f t="shared" ca="1" si="82"/>
        <v>-2.2625434567211646E-2</v>
      </c>
      <c r="F626" s="18">
        <f t="shared" ca="1" si="83"/>
        <v>56.990711887760455</v>
      </c>
      <c r="G626" s="19">
        <f t="shared" ca="1" si="84"/>
        <v>1.3192891122395451</v>
      </c>
      <c r="H626" s="27">
        <v>50.650002000000001</v>
      </c>
      <c r="I626" s="19">
        <f t="shared" si="85"/>
        <v>2.5718934270576366E-2</v>
      </c>
      <c r="J626" s="19">
        <f t="shared" ca="1" si="86"/>
        <v>-5.1697993334248711E-3</v>
      </c>
      <c r="K626" s="19">
        <f t="shared" ca="1" si="87"/>
        <v>83.058371463991961</v>
      </c>
      <c r="L626" s="19">
        <f t="shared" ca="1" si="88"/>
        <v>0.43162653600803935</v>
      </c>
      <c r="M626" s="19">
        <f t="shared" ca="1" si="89"/>
        <v>1.7509156482475845</v>
      </c>
      <c r="AA626" s="37">
        <v>606</v>
      </c>
      <c r="AB626" s="37">
        <v>1.8685072037186259</v>
      </c>
      <c r="AC626" s="37">
        <v>2.8017068460396772</v>
      </c>
      <c r="AD626" s="37">
        <v>3.2538889104890654</v>
      </c>
    </row>
    <row r="627" spans="2:30" x14ac:dyDescent="0.3">
      <c r="B627" s="28">
        <v>43543</v>
      </c>
      <c r="C627" s="25">
        <v>38.729999999999997</v>
      </c>
      <c r="D627" s="18">
        <f t="shared" si="81"/>
        <v>-1.5468161498629618E-3</v>
      </c>
      <c r="E627" s="32">
        <f t="shared" ca="1" si="82"/>
        <v>1.1791784761237305E-2</v>
      </c>
      <c r="F627" s="18">
        <f t="shared" ca="1" si="83"/>
        <v>58.997579981219523</v>
      </c>
      <c r="G627" s="19">
        <f t="shared" ca="1" si="84"/>
        <v>-0.68757898121952365</v>
      </c>
      <c r="H627" s="27">
        <v>50.41</v>
      </c>
      <c r="I627" s="19">
        <f t="shared" si="85"/>
        <v>-4.7384400893015766E-3</v>
      </c>
      <c r="J627" s="19">
        <f t="shared" ca="1" si="86"/>
        <v>-2.9918298474228666E-2</v>
      </c>
      <c r="K627" s="19">
        <f t="shared" ca="1" si="87"/>
        <v>80.992119320223239</v>
      </c>
      <c r="L627" s="19">
        <f t="shared" ca="1" si="88"/>
        <v>2.4978786797767611</v>
      </c>
      <c r="M627" s="19">
        <f t="shared" ca="1" si="89"/>
        <v>1.8102996985572375</v>
      </c>
      <c r="AA627" s="37">
        <v>607</v>
      </c>
      <c r="AB627" s="37">
        <v>1.8098727683118163</v>
      </c>
      <c r="AC627" s="37">
        <v>2.7814398585764537</v>
      </c>
      <c r="AD627" s="37">
        <v>3.1424843896969636</v>
      </c>
    </row>
    <row r="628" spans="2:30" x14ac:dyDescent="0.3">
      <c r="B628" s="28">
        <v>43544</v>
      </c>
      <c r="C628" s="25">
        <v>39.450001</v>
      </c>
      <c r="D628" s="18">
        <f t="shared" si="81"/>
        <v>1.8590265943712936E-2</v>
      </c>
      <c r="E628" s="32">
        <f t="shared" ca="1" si="82"/>
        <v>3.3952300045030992E-3</v>
      </c>
      <c r="F628" s="18">
        <f t="shared" ca="1" si="83"/>
        <v>58.507976864957804</v>
      </c>
      <c r="G628" s="19">
        <f t="shared" ca="1" si="84"/>
        <v>-0.1979758649578045</v>
      </c>
      <c r="H628" s="27">
        <v>51.32</v>
      </c>
      <c r="I628" s="19">
        <f t="shared" si="85"/>
        <v>1.8051973814719346E-2</v>
      </c>
      <c r="J628" s="19">
        <f t="shared" ca="1" si="86"/>
        <v>1.1464497329405247E-2</v>
      </c>
      <c r="K628" s="19">
        <f t="shared" ca="1" si="87"/>
        <v>84.447168859103058</v>
      </c>
      <c r="L628" s="19">
        <f t="shared" ca="1" si="88"/>
        <v>-0.95717085910305855</v>
      </c>
      <c r="M628" s="19">
        <f t="shared" ca="1" si="89"/>
        <v>-1.1551467240608631</v>
      </c>
      <c r="AA628" s="37">
        <v>608</v>
      </c>
      <c r="AB628" s="37">
        <v>1.6814302326884953</v>
      </c>
      <c r="AC628" s="37">
        <v>3.0909459610477379</v>
      </c>
      <c r="AD628" s="37">
        <v>3.5788238419614773</v>
      </c>
    </row>
    <row r="629" spans="2:30" x14ac:dyDescent="0.3">
      <c r="B629" s="28">
        <v>43545</v>
      </c>
      <c r="C629" s="25">
        <v>39.720001000000003</v>
      </c>
      <c r="D629" s="18">
        <f t="shared" si="81"/>
        <v>6.8441062903903394E-3</v>
      </c>
      <c r="E629" s="32">
        <f t="shared" ca="1" si="82"/>
        <v>-2.7217810076676278E-2</v>
      </c>
      <c r="F629" s="18">
        <f t="shared" ca="1" si="83"/>
        <v>56.722930467211199</v>
      </c>
      <c r="G629" s="19">
        <f t="shared" ca="1" si="84"/>
        <v>1.5870705327888004</v>
      </c>
      <c r="H629" s="27">
        <v>52.130001</v>
      </c>
      <c r="I629" s="19">
        <f t="shared" si="85"/>
        <v>1.5783339828526977E-2</v>
      </c>
      <c r="J629" s="19">
        <f t="shared" ca="1" si="86"/>
        <v>1.6042882930860106E-2</v>
      </c>
      <c r="K629" s="19">
        <f t="shared" ca="1" si="87"/>
        <v>84.829418263811746</v>
      </c>
      <c r="L629" s="19">
        <f t="shared" ca="1" si="88"/>
        <v>-1.3394202638117463</v>
      </c>
      <c r="M629" s="19">
        <f t="shared" ca="1" si="89"/>
        <v>0.24765026897705411</v>
      </c>
      <c r="AA629" s="37">
        <v>609</v>
      </c>
      <c r="AB629" s="37">
        <v>1.8235434577498861</v>
      </c>
      <c r="AC629" s="37">
        <v>2.9541885062013811</v>
      </c>
      <c r="AD629" s="37">
        <v>3.1275561166785821</v>
      </c>
    </row>
    <row r="630" spans="2:30" x14ac:dyDescent="0.3">
      <c r="B630" s="28">
        <v>43546</v>
      </c>
      <c r="C630" s="25">
        <v>39.090000000000003</v>
      </c>
      <c r="D630" s="18">
        <f t="shared" si="81"/>
        <v>-1.5861051967244411E-2</v>
      </c>
      <c r="E630" s="32">
        <f t="shared" ca="1" si="82"/>
        <v>7.1476764873361978E-3</v>
      </c>
      <c r="F630" s="18">
        <f t="shared" ca="1" si="83"/>
        <v>58.726782023124251</v>
      </c>
      <c r="G630" s="19">
        <f t="shared" ca="1" si="84"/>
        <v>-0.41678102312425125</v>
      </c>
      <c r="H630" s="27">
        <v>50.799999</v>
      </c>
      <c r="I630" s="19">
        <f t="shared" si="85"/>
        <v>-2.5513178102567036E-2</v>
      </c>
      <c r="J630" s="19">
        <f t="shared" ca="1" si="86"/>
        <v>3.3693242575501679E-2</v>
      </c>
      <c r="K630" s="19">
        <f t="shared" ca="1" si="87"/>
        <v>86.30304675524215</v>
      </c>
      <c r="L630" s="19">
        <f t="shared" ca="1" si="88"/>
        <v>-2.8130487552421499</v>
      </c>
      <c r="M630" s="19">
        <f t="shared" ca="1" si="89"/>
        <v>-3.2298297783664012</v>
      </c>
      <c r="AA630" s="37">
        <v>610</v>
      </c>
      <c r="AB630" s="37">
        <v>1.7883129927161732</v>
      </c>
      <c r="AC630" s="37">
        <v>2.7624597131458462</v>
      </c>
      <c r="AD630" s="37">
        <v>3.3406003201843713</v>
      </c>
    </row>
    <row r="631" spans="2:30" x14ac:dyDescent="0.3">
      <c r="B631" s="28">
        <v>43549</v>
      </c>
      <c r="C631" s="25">
        <v>39.549999</v>
      </c>
      <c r="D631" s="18">
        <f t="shared" si="81"/>
        <v>1.1767689946277748E-2</v>
      </c>
      <c r="E631" s="32">
        <f t="shared" ca="1" si="82"/>
        <v>-2.6217880739988403E-2</v>
      </c>
      <c r="F631" s="18">
        <f t="shared" ca="1" si="83"/>
        <v>56.781236347833392</v>
      </c>
      <c r="G631" s="19">
        <f t="shared" ca="1" si="84"/>
        <v>1.5287646521666076</v>
      </c>
      <c r="H631" s="27">
        <v>50.93</v>
      </c>
      <c r="I631" s="19">
        <f t="shared" si="85"/>
        <v>2.559074853525134E-3</v>
      </c>
      <c r="J631" s="19">
        <f t="shared" ca="1" si="86"/>
        <v>5.3567936007192585E-3</v>
      </c>
      <c r="K631" s="19">
        <f t="shared" ca="1" si="87"/>
        <v>83.937236687010468</v>
      </c>
      <c r="L631" s="19">
        <f t="shared" ca="1" si="88"/>
        <v>-0.44723868701046854</v>
      </c>
      <c r="M631" s="19">
        <f t="shared" ca="1" si="89"/>
        <v>1.0815259651561391</v>
      </c>
      <c r="AA631" s="37">
        <v>611</v>
      </c>
      <c r="AB631" s="37">
        <v>1.6952139931075301</v>
      </c>
      <c r="AC631" s="37">
        <v>2.9109901140490844</v>
      </c>
      <c r="AD631" s="37">
        <v>3.3059852054733065</v>
      </c>
    </row>
    <row r="632" spans="2:30" x14ac:dyDescent="0.3">
      <c r="B632" s="28">
        <v>43550</v>
      </c>
      <c r="C632" s="25">
        <v>39.619999</v>
      </c>
      <c r="D632" s="18">
        <f t="shared" si="81"/>
        <v>1.7699115491760509E-3</v>
      </c>
      <c r="E632" s="32">
        <f t="shared" ca="1" si="82"/>
        <v>-3.2039479884304334E-3</v>
      </c>
      <c r="F632" s="18">
        <f t="shared" ca="1" si="83"/>
        <v>58.123178789590668</v>
      </c>
      <c r="G632" s="19">
        <f t="shared" ca="1" si="84"/>
        <v>0.186822210409332</v>
      </c>
      <c r="H632" s="27">
        <v>51.919998</v>
      </c>
      <c r="I632" s="19">
        <f t="shared" si="85"/>
        <v>1.9438405654820246E-2</v>
      </c>
      <c r="J632" s="19">
        <f t="shared" ca="1" si="86"/>
        <v>-1.9571873362374405E-2</v>
      </c>
      <c r="K632" s="19">
        <f t="shared" ca="1" si="87"/>
        <v>81.855942332119099</v>
      </c>
      <c r="L632" s="19">
        <f t="shared" ca="1" si="88"/>
        <v>1.6340556678809008</v>
      </c>
      <c r="M632" s="19">
        <f t="shared" ca="1" si="89"/>
        <v>1.8208778782902328</v>
      </c>
      <c r="AA632" s="37">
        <v>612</v>
      </c>
      <c r="AB632" s="37">
        <v>1.833450318157382</v>
      </c>
      <c r="AC632" s="37">
        <v>2.8139028371888739</v>
      </c>
      <c r="AD632" s="37">
        <v>3.3290480510619758</v>
      </c>
    </row>
    <row r="633" spans="2:30" x14ac:dyDescent="0.3">
      <c r="B633" s="28">
        <v>43551</v>
      </c>
      <c r="C633" s="25">
        <v>40.5</v>
      </c>
      <c r="D633" s="18">
        <f t="shared" si="81"/>
        <v>2.221103034353944E-2</v>
      </c>
      <c r="E633" s="32">
        <f t="shared" ca="1" si="82"/>
        <v>-1.6227473543671637E-4</v>
      </c>
      <c r="F633" s="18">
        <f t="shared" ca="1" si="83"/>
        <v>58.300538760014412</v>
      </c>
      <c r="G633" s="19">
        <f t="shared" ca="1" si="84"/>
        <v>9.462239985587928E-3</v>
      </c>
      <c r="H633" s="27">
        <v>52.169998</v>
      </c>
      <c r="I633" s="19">
        <f t="shared" si="85"/>
        <v>4.8151003395646708E-3</v>
      </c>
      <c r="J633" s="19">
        <f t="shared" ca="1" si="86"/>
        <v>-9.6621458335235456E-4</v>
      </c>
      <c r="K633" s="19">
        <f t="shared" ca="1" si="87"/>
        <v>83.409328746368345</v>
      </c>
      <c r="L633" s="19">
        <f t="shared" ca="1" si="88"/>
        <v>8.0669253631654669E-2</v>
      </c>
      <c r="M633" s="19">
        <f t="shared" ca="1" si="89"/>
        <v>9.0131493617242597E-2</v>
      </c>
      <c r="AA633" s="37">
        <v>613</v>
      </c>
      <c r="AB633" s="37">
        <v>1.836716798808657</v>
      </c>
      <c r="AC633" s="37">
        <v>2.7224788401984612</v>
      </c>
      <c r="AD633" s="37">
        <v>3.3609909586520419</v>
      </c>
    </row>
    <row r="634" spans="2:30" x14ac:dyDescent="0.3">
      <c r="B634" s="28">
        <v>43552</v>
      </c>
      <c r="C634" s="25">
        <v>40.439999</v>
      </c>
      <c r="D634" s="18">
        <f t="shared" si="81"/>
        <v>-1.4815061728394863E-3</v>
      </c>
      <c r="E634" s="32">
        <f t="shared" ca="1" si="82"/>
        <v>-9.3945141710201439E-3</v>
      </c>
      <c r="F634" s="18">
        <f t="shared" ca="1" si="83"/>
        <v>57.762206869293301</v>
      </c>
      <c r="G634" s="19">
        <f t="shared" ca="1" si="84"/>
        <v>0.54779413070669847</v>
      </c>
      <c r="H634" s="27">
        <v>52.5</v>
      </c>
      <c r="I634" s="19">
        <f t="shared" si="85"/>
        <v>6.325512989285631E-3</v>
      </c>
      <c r="J634" s="19">
        <f t="shared" ca="1" si="86"/>
        <v>-3.2308421369927232E-2</v>
      </c>
      <c r="K634" s="19">
        <f t="shared" ca="1" si="87"/>
        <v>80.792567964441616</v>
      </c>
      <c r="L634" s="19">
        <f t="shared" ca="1" si="88"/>
        <v>2.6974300355583836</v>
      </c>
      <c r="M634" s="19">
        <f t="shared" ca="1" si="89"/>
        <v>3.245224166265082</v>
      </c>
      <c r="AA634" s="37">
        <v>614</v>
      </c>
      <c r="AB634" s="37">
        <v>1.7683347498869739</v>
      </c>
      <c r="AC634" s="37">
        <v>2.9518537254551291</v>
      </c>
      <c r="AD634" s="37">
        <v>3.3576232150088776</v>
      </c>
    </row>
    <row r="635" spans="2:30" x14ac:dyDescent="0.3">
      <c r="B635" s="28">
        <v>43553</v>
      </c>
      <c r="C635" s="25">
        <v>40.580002</v>
      </c>
      <c r="D635" s="18">
        <f t="shared" si="81"/>
        <v>3.4619931617703159E-3</v>
      </c>
      <c r="E635" s="32">
        <f t="shared" ca="1" si="82"/>
        <v>8.1694836909120376E-3</v>
      </c>
      <c r="F635" s="18">
        <f t="shared" ca="1" si="83"/>
        <v>58.786363602186569</v>
      </c>
      <c r="G635" s="19">
        <f t="shared" ca="1" si="84"/>
        <v>-0.47636260218656901</v>
      </c>
      <c r="H635" s="27">
        <v>53.360000999999997</v>
      </c>
      <c r="I635" s="19">
        <f t="shared" si="85"/>
        <v>1.6380971428571423E-2</v>
      </c>
      <c r="J635" s="19">
        <f t="shared" ca="1" si="86"/>
        <v>-2.4139098513055238E-2</v>
      </c>
      <c r="K635" s="19">
        <f t="shared" ca="1" si="87"/>
        <v>81.474624713423211</v>
      </c>
      <c r="L635" s="19">
        <f t="shared" ca="1" si="88"/>
        <v>2.0153732865767893</v>
      </c>
      <c r="M635" s="19">
        <f t="shared" ca="1" si="89"/>
        <v>1.5390106843902203</v>
      </c>
      <c r="AA635" s="37">
        <v>615</v>
      </c>
      <c r="AB635" s="37">
        <v>1.7272288857215896</v>
      </c>
      <c r="AC635" s="37">
        <v>2.7313017034296587</v>
      </c>
      <c r="AD635" s="37">
        <v>3.5862932732094492</v>
      </c>
    </row>
    <row r="636" spans="2:30" x14ac:dyDescent="0.3">
      <c r="B636" s="28">
        <v>43556</v>
      </c>
      <c r="C636" s="25">
        <v>41.150002000000001</v>
      </c>
      <c r="D636" s="18">
        <f t="shared" si="81"/>
        <v>1.4046327548234316E-2</v>
      </c>
      <c r="E636" s="32">
        <f t="shared" ca="1" si="82"/>
        <v>-3.6355121340358502E-3</v>
      </c>
      <c r="F636" s="18">
        <f t="shared" ca="1" si="83"/>
        <v>58.098014283828853</v>
      </c>
      <c r="G636" s="19">
        <f t="shared" ca="1" si="84"/>
        <v>0.21198671617114684</v>
      </c>
      <c r="H636" s="27">
        <v>54.68</v>
      </c>
      <c r="I636" s="19">
        <f t="shared" si="85"/>
        <v>2.4737611980179652E-2</v>
      </c>
      <c r="J636" s="19">
        <f t="shared" ca="1" si="86"/>
        <v>8.5639608458989314E-3</v>
      </c>
      <c r="K636" s="19">
        <f t="shared" ca="1" si="87"/>
        <v>84.205003073896179</v>
      </c>
      <c r="L636" s="19">
        <f t="shared" ca="1" si="88"/>
        <v>-0.71500507389617951</v>
      </c>
      <c r="M636" s="19">
        <f t="shared" ca="1" si="89"/>
        <v>-0.50301835772503267</v>
      </c>
      <c r="AA636" s="37">
        <v>616</v>
      </c>
      <c r="AB636" s="37">
        <v>1.8374432992963041</v>
      </c>
      <c r="AC636" s="37">
        <v>2.9239517134610136</v>
      </c>
      <c r="AD636" s="37">
        <v>3.2956883048771224</v>
      </c>
    </row>
    <row r="637" spans="2:30" x14ac:dyDescent="0.3">
      <c r="B637" s="28">
        <v>43557</v>
      </c>
      <c r="C637" s="25">
        <v>40.729999999999997</v>
      </c>
      <c r="D637" s="18">
        <f t="shared" si="81"/>
        <v>-1.0206609467479533E-2</v>
      </c>
      <c r="E637" s="32">
        <f t="shared" ca="1" si="82"/>
        <v>-3.7623781736426651E-2</v>
      </c>
      <c r="F637" s="18">
        <f t="shared" ca="1" si="83"/>
        <v>56.116158249325181</v>
      </c>
      <c r="G637" s="19">
        <f t="shared" ca="1" si="84"/>
        <v>2.1938427506748184</v>
      </c>
      <c r="H637" s="27">
        <v>54.450001</v>
      </c>
      <c r="I637" s="19">
        <f t="shared" si="85"/>
        <v>-4.2062728602779709E-3</v>
      </c>
      <c r="J637" s="19">
        <f t="shared" ca="1" si="86"/>
        <v>5.9102466068538893E-3</v>
      </c>
      <c r="K637" s="19">
        <f t="shared" ca="1" si="87"/>
        <v>83.983444477385746</v>
      </c>
      <c r="L637" s="19">
        <f t="shared" ca="1" si="88"/>
        <v>-0.49344647738574565</v>
      </c>
      <c r="M637" s="19">
        <f t="shared" ca="1" si="89"/>
        <v>1.7003962732890727</v>
      </c>
      <c r="AA637" s="37">
        <v>617</v>
      </c>
      <c r="AB637" s="37">
        <v>1.8096044654589682</v>
      </c>
      <c r="AC637" s="37">
        <v>2.810781552315055</v>
      </c>
      <c r="AD637" s="37">
        <v>3.3646852441490891</v>
      </c>
    </row>
    <row r="638" spans="2:30" x14ac:dyDescent="0.3">
      <c r="B638" s="28">
        <v>43558</v>
      </c>
      <c r="C638" s="25">
        <v>40.610000999999997</v>
      </c>
      <c r="D638" s="18">
        <f t="shared" si="81"/>
        <v>-2.9462067272281178E-3</v>
      </c>
      <c r="E638" s="32">
        <f t="shared" ca="1" si="82"/>
        <v>2.2397867042568582E-2</v>
      </c>
      <c r="F638" s="18">
        <f t="shared" ca="1" si="83"/>
        <v>59.616020649650046</v>
      </c>
      <c r="G638" s="19">
        <f t="shared" ca="1" si="84"/>
        <v>-1.3060196496500467</v>
      </c>
      <c r="H638" s="27">
        <v>52.77</v>
      </c>
      <c r="I638" s="19">
        <f t="shared" si="85"/>
        <v>-3.0854012289182497E-2</v>
      </c>
      <c r="J638" s="19">
        <f t="shared" ca="1" si="86"/>
        <v>-1.539714330783987E-2</v>
      </c>
      <c r="K638" s="19">
        <f t="shared" ca="1" si="87"/>
        <v>82.204490536022732</v>
      </c>
      <c r="L638" s="19">
        <f t="shared" ca="1" si="88"/>
        <v>1.2855074639772681</v>
      </c>
      <c r="M638" s="19">
        <f t="shared" ca="1" si="89"/>
        <v>-2.0512185672778571E-2</v>
      </c>
      <c r="AA638" s="37">
        <v>618</v>
      </c>
      <c r="AB638" s="37">
        <v>1.8218903905432073</v>
      </c>
      <c r="AC638" s="37">
        <v>2.9069766645795814</v>
      </c>
      <c r="AD638" s="37">
        <v>3.5090481506528479</v>
      </c>
    </row>
    <row r="639" spans="2:30" x14ac:dyDescent="0.3">
      <c r="B639" s="28">
        <v>43559</v>
      </c>
      <c r="C639" s="25">
        <v>41.209999000000003</v>
      </c>
      <c r="D639" s="18">
        <f t="shared" si="81"/>
        <v>1.4774636425150645E-2</v>
      </c>
      <c r="E639" s="32">
        <f t="shared" ca="1" si="82"/>
        <v>-8.5538022726419777E-3</v>
      </c>
      <c r="F639" s="18">
        <f t="shared" ca="1" si="83"/>
        <v>57.811228780928438</v>
      </c>
      <c r="G639" s="19">
        <f t="shared" ca="1" si="84"/>
        <v>0.49877221907156155</v>
      </c>
      <c r="H639" s="27">
        <v>54.619999</v>
      </c>
      <c r="I639" s="19">
        <f t="shared" si="85"/>
        <v>3.5057779041121728E-2</v>
      </c>
      <c r="J639" s="19">
        <f t="shared" ca="1" si="86"/>
        <v>9.7661483806731324E-3</v>
      </c>
      <c r="K639" s="19">
        <f t="shared" ca="1" si="87"/>
        <v>84.305373708770091</v>
      </c>
      <c r="L639" s="19">
        <f t="shared" ca="1" si="88"/>
        <v>-0.81537570877009102</v>
      </c>
      <c r="M639" s="19">
        <f t="shared" ca="1" si="89"/>
        <v>-0.31660348969852947</v>
      </c>
      <c r="AA639" s="37">
        <v>619</v>
      </c>
      <c r="AB639" s="37">
        <v>1.7778754781712298</v>
      </c>
      <c r="AC639" s="37">
        <v>2.7763973840737632</v>
      </c>
      <c r="AD639" s="37">
        <v>3.2392208641471809</v>
      </c>
    </row>
    <row r="640" spans="2:30" x14ac:dyDescent="0.3">
      <c r="B640" s="28">
        <v>43560</v>
      </c>
      <c r="C640" s="25">
        <v>42.110000999999997</v>
      </c>
      <c r="D640" s="18">
        <f t="shared" si="81"/>
        <v>2.1839408440655239E-2</v>
      </c>
      <c r="E640" s="32">
        <f t="shared" ca="1" si="82"/>
        <v>1.6951940628847046E-2</v>
      </c>
      <c r="F640" s="18">
        <f t="shared" ca="1" si="83"/>
        <v>59.298468675020004</v>
      </c>
      <c r="G640" s="19">
        <f t="shared" ca="1" si="84"/>
        <v>-0.98846767502000432</v>
      </c>
      <c r="H640" s="27">
        <v>55.470001000000003</v>
      </c>
      <c r="I640" s="19">
        <f t="shared" si="85"/>
        <v>1.5562102079130558E-2</v>
      </c>
      <c r="J640" s="19">
        <f t="shared" ca="1" si="86"/>
        <v>-2.562833526022061E-3</v>
      </c>
      <c r="K640" s="19">
        <f t="shared" ca="1" si="87"/>
        <v>83.27602703403808</v>
      </c>
      <c r="L640" s="19">
        <f t="shared" ca="1" si="88"/>
        <v>0.21397096596192</v>
      </c>
      <c r="M640" s="19">
        <f t="shared" ca="1" si="89"/>
        <v>-0.77449670905808432</v>
      </c>
      <c r="AA640" s="37">
        <v>620</v>
      </c>
      <c r="AB640" s="37">
        <v>1.8294497669651797</v>
      </c>
      <c r="AC640" s="37">
        <v>2.7068333103274638</v>
      </c>
      <c r="AD640" s="37">
        <v>3.2160512103676324</v>
      </c>
    </row>
    <row r="641" spans="2:30" x14ac:dyDescent="0.3">
      <c r="B641" s="28">
        <v>43563</v>
      </c>
      <c r="C641" s="25">
        <v>41.970001000000003</v>
      </c>
      <c r="D641" s="18">
        <f t="shared" si="81"/>
        <v>-3.3246259006262102E-3</v>
      </c>
      <c r="E641" s="32">
        <f t="shared" ca="1" si="82"/>
        <v>7.0512598036700782E-3</v>
      </c>
      <c r="F641" s="18">
        <f t="shared" ca="1" si="83"/>
        <v>58.72115996620326</v>
      </c>
      <c r="G641" s="19">
        <f t="shared" ca="1" si="84"/>
        <v>-0.41115896620325998</v>
      </c>
      <c r="H641" s="27">
        <v>56.66</v>
      </c>
      <c r="I641" s="19">
        <f t="shared" si="85"/>
        <v>2.1453019263511397E-2</v>
      </c>
      <c r="J641" s="19">
        <f t="shared" ca="1" si="86"/>
        <v>-1.3028894099949789E-2</v>
      </c>
      <c r="K641" s="19">
        <f t="shared" ca="1" si="87"/>
        <v>82.402215657652974</v>
      </c>
      <c r="L641" s="19">
        <f t="shared" ca="1" si="88"/>
        <v>1.0877823423470261</v>
      </c>
      <c r="M641" s="19">
        <f t="shared" ca="1" si="89"/>
        <v>0.67662337614376611</v>
      </c>
      <c r="AA641" s="37">
        <v>621</v>
      </c>
      <c r="AB641" s="37">
        <v>1.794682888746967</v>
      </c>
      <c r="AC641" s="37">
        <v>2.8286777775231364</v>
      </c>
      <c r="AD641" s="37">
        <v>3.159473768833081</v>
      </c>
    </row>
    <row r="642" spans="2:30" x14ac:dyDescent="0.3">
      <c r="B642" s="28">
        <v>43564</v>
      </c>
      <c r="C642" s="25">
        <v>40.970001000000003</v>
      </c>
      <c r="D642" s="18">
        <f t="shared" si="81"/>
        <v>-2.382654220094016E-2</v>
      </c>
      <c r="E642" s="32">
        <f t="shared" ca="1" si="82"/>
        <v>-4.0717690498656686E-2</v>
      </c>
      <c r="F642" s="18">
        <f t="shared" ca="1" si="83"/>
        <v>55.93575242630564</v>
      </c>
      <c r="G642" s="19">
        <f t="shared" ca="1" si="84"/>
        <v>2.3742485736943593</v>
      </c>
      <c r="H642" s="27">
        <v>55.990001999999997</v>
      </c>
      <c r="I642" s="19">
        <f t="shared" si="85"/>
        <v>-1.18248852806212E-2</v>
      </c>
      <c r="J642" s="19">
        <f t="shared" ca="1" si="86"/>
        <v>4.779997695217264E-2</v>
      </c>
      <c r="K642" s="19">
        <f t="shared" ca="1" si="87"/>
        <v>87.480817980136933</v>
      </c>
      <c r="L642" s="19">
        <f t="shared" ca="1" si="88"/>
        <v>-3.9908199801369335</v>
      </c>
      <c r="M642" s="19">
        <f t="shared" ca="1" si="89"/>
        <v>-1.6165714064425742</v>
      </c>
      <c r="AA642" s="37">
        <v>622</v>
      </c>
      <c r="AB642" s="37">
        <v>1.7814696221177748</v>
      </c>
      <c r="AC642" s="37">
        <v>2.8413863199447276</v>
      </c>
      <c r="AD642" s="37">
        <v>3.3401415058812267</v>
      </c>
    </row>
    <row r="643" spans="2:30" x14ac:dyDescent="0.3">
      <c r="B643" s="28">
        <v>43565</v>
      </c>
      <c r="C643" s="25">
        <v>41.41</v>
      </c>
      <c r="D643" s="18">
        <f t="shared" si="81"/>
        <v>1.0739540865522423E-2</v>
      </c>
      <c r="E643" s="32">
        <f t="shared" ca="1" si="82"/>
        <v>-2.7549084045508463E-3</v>
      </c>
      <c r="F643" s="18">
        <f t="shared" ca="1" si="83"/>
        <v>58.14936228817573</v>
      </c>
      <c r="G643" s="19">
        <f t="shared" ca="1" si="84"/>
        <v>0.16063871182426936</v>
      </c>
      <c r="H643" s="27">
        <v>55.560001</v>
      </c>
      <c r="I643" s="19">
        <f t="shared" si="85"/>
        <v>-7.6799604329358395E-3</v>
      </c>
      <c r="J643" s="19">
        <f t="shared" ca="1" si="86"/>
        <v>-4.990270003178498E-3</v>
      </c>
      <c r="K643" s="19">
        <f t="shared" ca="1" si="87"/>
        <v>83.073360367415162</v>
      </c>
      <c r="L643" s="19">
        <f t="shared" ca="1" si="88"/>
        <v>0.41663763258483755</v>
      </c>
      <c r="M643" s="19">
        <f t="shared" ca="1" si="89"/>
        <v>0.57727634440910691</v>
      </c>
      <c r="AA643" s="37">
        <v>623</v>
      </c>
      <c r="AB643" s="37">
        <v>1.720819742825874</v>
      </c>
      <c r="AC643" s="37">
        <v>2.9159489391260833</v>
      </c>
      <c r="AD643" s="37">
        <v>3.5667991889598252</v>
      </c>
    </row>
    <row r="644" spans="2:30" x14ac:dyDescent="0.3">
      <c r="B644" s="28">
        <v>43566</v>
      </c>
      <c r="C644" s="25">
        <v>40.659999999999997</v>
      </c>
      <c r="D644" s="18">
        <f t="shared" si="81"/>
        <v>-1.811156725428642E-2</v>
      </c>
      <c r="E644" s="32">
        <f t="shared" ca="1" si="82"/>
        <v>-2.5424168317343164E-3</v>
      </c>
      <c r="F644" s="18">
        <f t="shared" ca="1" si="83"/>
        <v>58.16175267199916</v>
      </c>
      <c r="G644" s="19">
        <f t="shared" ca="1" si="84"/>
        <v>0.14824832800083954</v>
      </c>
      <c r="H644" s="27">
        <v>55.200001</v>
      </c>
      <c r="I644" s="19">
        <f t="shared" si="85"/>
        <v>-6.4794815248473414E-3</v>
      </c>
      <c r="J644" s="19">
        <f t="shared" ca="1" si="86"/>
        <v>2.3504311502584772E-2</v>
      </c>
      <c r="K644" s="19">
        <f t="shared" ca="1" si="87"/>
        <v>85.452372920342185</v>
      </c>
      <c r="L644" s="19">
        <f t="shared" ca="1" si="88"/>
        <v>-1.9623749203421852</v>
      </c>
      <c r="M644" s="19">
        <f t="shared" ca="1" si="89"/>
        <v>-1.8141265923413457</v>
      </c>
      <c r="AA644" s="37">
        <v>624</v>
      </c>
      <c r="AB644" s="37">
        <v>1.7832369425064309</v>
      </c>
      <c r="AC644" s="37">
        <v>2.7802209853679969</v>
      </c>
      <c r="AD644" s="37">
        <v>3.4316203624868802</v>
      </c>
    </row>
    <row r="645" spans="2:30" x14ac:dyDescent="0.3">
      <c r="B645" s="28">
        <v>43567</v>
      </c>
      <c r="C645" s="25">
        <v>40.279998999999997</v>
      </c>
      <c r="D645" s="18">
        <f t="shared" si="81"/>
        <v>-9.3458189867191566E-3</v>
      </c>
      <c r="E645" s="32">
        <f t="shared" ca="1" si="82"/>
        <v>2.3082831250082914E-2</v>
      </c>
      <c r="F645" s="18">
        <f t="shared" ca="1" si="83"/>
        <v>59.655960913275159</v>
      </c>
      <c r="G645" s="19">
        <f t="shared" ca="1" si="84"/>
        <v>-1.3459599132751592</v>
      </c>
      <c r="H645" s="27">
        <v>56.419998</v>
      </c>
      <c r="I645" s="19">
        <f t="shared" si="85"/>
        <v>2.2101394527148654E-2</v>
      </c>
      <c r="J645" s="19">
        <f t="shared" ca="1" si="86"/>
        <v>-3.6710395436313735E-2</v>
      </c>
      <c r="K645" s="19">
        <f t="shared" ca="1" si="87"/>
        <v>80.425047158442965</v>
      </c>
      <c r="L645" s="19">
        <f t="shared" ca="1" si="88"/>
        <v>3.0649508415570352</v>
      </c>
      <c r="M645" s="19">
        <f t="shared" ca="1" si="89"/>
        <v>1.7189909282818761</v>
      </c>
      <c r="AA645" s="37">
        <v>625</v>
      </c>
      <c r="AB645" s="37">
        <v>1.8329409825985428</v>
      </c>
      <c r="AC645" s="37">
        <v>2.6964630860784009</v>
      </c>
      <c r="AD645" s="37">
        <v>3.4870423441041978</v>
      </c>
    </row>
    <row r="646" spans="2:30" x14ac:dyDescent="0.3">
      <c r="B646" s="28">
        <v>43570</v>
      </c>
      <c r="C646" s="25">
        <v>40</v>
      </c>
      <c r="D646" s="18">
        <f t="shared" si="81"/>
        <v>-6.9513159620484544E-3</v>
      </c>
      <c r="E646" s="32">
        <f t="shared" ca="1" si="82"/>
        <v>-1.2741445252667231E-2</v>
      </c>
      <c r="F646" s="18">
        <f t="shared" ca="1" si="83"/>
        <v>57.567047314575532</v>
      </c>
      <c r="G646" s="19">
        <f t="shared" ca="1" si="84"/>
        <v>0.74295368542446738</v>
      </c>
      <c r="H646" s="27">
        <v>55.619999</v>
      </c>
      <c r="I646" s="19">
        <f t="shared" si="85"/>
        <v>-1.4179351796503092E-2</v>
      </c>
      <c r="J646" s="19">
        <f t="shared" ca="1" si="86"/>
        <v>1.4798837975512855E-2</v>
      </c>
      <c r="K646" s="19">
        <f t="shared" ca="1" si="87"/>
        <v>84.725552952977893</v>
      </c>
      <c r="L646" s="19">
        <f t="shared" ca="1" si="88"/>
        <v>-1.2355549529778926</v>
      </c>
      <c r="M646" s="19">
        <f t="shared" ca="1" si="89"/>
        <v>-0.49260126755342526</v>
      </c>
      <c r="AA646" s="37">
        <v>626</v>
      </c>
      <c r="AB646" s="37">
        <v>1.8263563982067028</v>
      </c>
      <c r="AC646" s="37">
        <v>2.8589209006003529</v>
      </c>
      <c r="AD646" s="37">
        <v>3.3427584452274228</v>
      </c>
    </row>
    <row r="647" spans="2:30" x14ac:dyDescent="0.3">
      <c r="B647" s="28">
        <v>43571</v>
      </c>
      <c r="C647" s="25">
        <v>40.459999000000003</v>
      </c>
      <c r="D647" s="18">
        <f t="shared" si="81"/>
        <v>1.1499974999999996E-2</v>
      </c>
      <c r="E647" s="32">
        <f t="shared" ca="1" si="82"/>
        <v>1.5430725481666772E-2</v>
      </c>
      <c r="F647" s="18">
        <f t="shared" ca="1" si="83"/>
        <v>59.209766618266713</v>
      </c>
      <c r="G647" s="19">
        <f t="shared" ca="1" si="84"/>
        <v>-0.89976561826671286</v>
      </c>
      <c r="H647" s="27">
        <v>56.509998000000003</v>
      </c>
      <c r="I647" s="19">
        <f t="shared" si="85"/>
        <v>1.6001420640083142E-2</v>
      </c>
      <c r="J647" s="19">
        <f t="shared" ca="1" si="86"/>
        <v>-6.1117476283288124E-3</v>
      </c>
      <c r="K647" s="19">
        <f t="shared" ca="1" si="87"/>
        <v>82.979728202734321</v>
      </c>
      <c r="L647" s="19">
        <f t="shared" ca="1" si="88"/>
        <v>0.51026979726567845</v>
      </c>
      <c r="M647" s="19">
        <f t="shared" ca="1" si="89"/>
        <v>-0.38949582100103441</v>
      </c>
      <c r="AA647" s="37">
        <v>627</v>
      </c>
      <c r="AB647" s="37">
        <v>1.8059443097987395</v>
      </c>
      <c r="AC647" s="37">
        <v>2.8061537795949647</v>
      </c>
      <c r="AD647" s="37">
        <v>3.2428436201657482</v>
      </c>
    </row>
    <row r="648" spans="2:30" x14ac:dyDescent="0.3">
      <c r="B648" s="28">
        <v>43572</v>
      </c>
      <c r="C648" s="25">
        <v>40.520000000000003</v>
      </c>
      <c r="D648" s="18">
        <f t="shared" ref="D648:D711" si="90">C648/C647-1</f>
        <v>1.4829708720456303E-3</v>
      </c>
      <c r="E648" s="32">
        <f t="shared" ref="E648:E711" ca="1" si="91">NORMINV(RAND(),$E$3,$E$4)</f>
        <v>1.716256822233226E-2</v>
      </c>
      <c r="F648" s="18">
        <f t="shared" ref="F648:F711" ca="1" si="92">$C$1261*(1+E648)</f>
        <v>59.310750370206762</v>
      </c>
      <c r="G648" s="19">
        <f t="shared" ref="G648:G711" ca="1" si="93">$C$1261-F648</f>
        <v>-1.000749370206762</v>
      </c>
      <c r="H648" s="27">
        <v>58.75</v>
      </c>
      <c r="I648" s="19">
        <f t="shared" ref="I648:I711" si="94">H648/H647-1</f>
        <v>3.9639038741427601E-2</v>
      </c>
      <c r="J648" s="19">
        <f t="shared" ref="J648:J711" ca="1" si="95">NORMINV(RAND(),$J$3,$J$4)</f>
        <v>-9.7886160514555551E-3</v>
      </c>
      <c r="K648" s="19">
        <f t="shared" ref="K648:K711" ca="1" si="96">$H$1261*(1+J648)</f>
        <v>82.672746465441207</v>
      </c>
      <c r="L648" s="19">
        <f t="shared" ref="L648:L711" ca="1" si="97">$H$1261-K648</f>
        <v>0.81725153455879251</v>
      </c>
      <c r="M648" s="19">
        <f t="shared" ref="M648:M711" ca="1" si="98">SUM(G648,L648)</f>
        <v>-0.18349783564796951</v>
      </c>
      <c r="AA648" s="37">
        <v>628</v>
      </c>
      <c r="AB648" s="37">
        <v>1.7833576323121496</v>
      </c>
      <c r="AC648" s="37">
        <v>2.7148156144724727</v>
      </c>
      <c r="AD648" s="37">
        <v>3.5597674862281092</v>
      </c>
    </row>
    <row r="649" spans="2:30" x14ac:dyDescent="0.3">
      <c r="B649" s="28">
        <v>43577</v>
      </c>
      <c r="C649" s="25">
        <v>40.520000000000003</v>
      </c>
      <c r="D649" s="18">
        <f t="shared" si="90"/>
        <v>0</v>
      </c>
      <c r="E649" s="32">
        <f t="shared" ca="1" si="91"/>
        <v>1.1021236225557325E-2</v>
      </c>
      <c r="F649" s="18">
        <f t="shared" ca="1" si="92"/>
        <v>58.95264929533348</v>
      </c>
      <c r="G649" s="19">
        <f t="shared" ca="1" si="93"/>
        <v>-0.64264829533347978</v>
      </c>
      <c r="H649" s="27">
        <v>58.650002000000001</v>
      </c>
      <c r="I649" s="19">
        <f t="shared" si="94"/>
        <v>-1.7020936170212275E-3</v>
      </c>
      <c r="J649" s="19">
        <f t="shared" ca="1" si="95"/>
        <v>2.8552389931577764E-2</v>
      </c>
      <c r="K649" s="19">
        <f t="shared" ca="1" si="96"/>
        <v>85.873836978282654</v>
      </c>
      <c r="L649" s="19">
        <f t="shared" ca="1" si="97"/>
        <v>-2.3838389782826539</v>
      </c>
      <c r="M649" s="19">
        <f t="shared" ca="1" si="98"/>
        <v>-3.0264872736161337</v>
      </c>
      <c r="AA649" s="37">
        <v>629</v>
      </c>
      <c r="AB649" s="37">
        <v>1.7997629297639941</v>
      </c>
      <c r="AC649" s="37">
        <v>2.9045427641414614</v>
      </c>
      <c r="AD649" s="37">
        <v>3.3246087604356678</v>
      </c>
    </row>
    <row r="650" spans="2:30" x14ac:dyDescent="0.3">
      <c r="B650" s="28">
        <v>43578</v>
      </c>
      <c r="C650" s="25">
        <v>40.669998</v>
      </c>
      <c r="D650" s="18">
        <f t="shared" si="90"/>
        <v>3.701826258637686E-3</v>
      </c>
      <c r="E650" s="32">
        <f t="shared" ca="1" si="91"/>
        <v>-9.0372009483761472E-3</v>
      </c>
      <c r="F650" s="18">
        <f t="shared" ca="1" si="92"/>
        <v>57.783041803662989</v>
      </c>
      <c r="G650" s="19">
        <f t="shared" ca="1" si="93"/>
        <v>0.52695919633701038</v>
      </c>
      <c r="H650" s="27">
        <v>58.52</v>
      </c>
      <c r="I650" s="19">
        <f t="shared" si="94"/>
        <v>-2.2165728144390995E-3</v>
      </c>
      <c r="J650" s="19">
        <f t="shared" ca="1" si="95"/>
        <v>-1.4773652558503153E-2</v>
      </c>
      <c r="K650" s="19">
        <f t="shared" ca="1" si="96"/>
        <v>82.256545777437879</v>
      </c>
      <c r="L650" s="19">
        <f t="shared" ca="1" si="97"/>
        <v>1.2334522225621214</v>
      </c>
      <c r="M650" s="19">
        <f t="shared" ca="1" si="98"/>
        <v>1.7604114188991318</v>
      </c>
      <c r="AA650" s="37">
        <v>630</v>
      </c>
      <c r="AB650" s="37">
        <v>1.7903213171319838</v>
      </c>
      <c r="AC650" s="37">
        <v>2.7052414993959188</v>
      </c>
      <c r="AD650" s="37">
        <v>3.1395577509058148</v>
      </c>
    </row>
    <row r="651" spans="2:30" x14ac:dyDescent="0.3">
      <c r="B651" s="28">
        <v>43579</v>
      </c>
      <c r="C651" s="25">
        <v>41.150002000000001</v>
      </c>
      <c r="D651" s="18">
        <f t="shared" si="90"/>
        <v>1.1802410218953119E-2</v>
      </c>
      <c r="E651" s="32">
        <f t="shared" ca="1" si="91"/>
        <v>4.8601897431400878E-2</v>
      </c>
      <c r="F651" s="18">
        <f t="shared" ca="1" si="92"/>
        <v>61.143977687826883</v>
      </c>
      <c r="G651" s="19">
        <f t="shared" ca="1" si="93"/>
        <v>-2.8339766878268833</v>
      </c>
      <c r="H651" s="27">
        <v>56.91</v>
      </c>
      <c r="I651" s="19">
        <f t="shared" si="94"/>
        <v>-2.7511961722488154E-2</v>
      </c>
      <c r="J651" s="19">
        <f t="shared" ca="1" si="95"/>
        <v>-3.7111633136487684E-3</v>
      </c>
      <c r="K651" s="19">
        <f t="shared" ca="1" si="96"/>
        <v>83.180152982365797</v>
      </c>
      <c r="L651" s="19">
        <f t="shared" ca="1" si="97"/>
        <v>0.30984501763420269</v>
      </c>
      <c r="M651" s="19">
        <f t="shared" ca="1" si="98"/>
        <v>-2.5241316701926806</v>
      </c>
      <c r="AA651" s="37">
        <v>631</v>
      </c>
      <c r="AB651" s="37">
        <v>1.8535689400223232</v>
      </c>
      <c r="AC651" s="37">
        <v>2.8940988914744308</v>
      </c>
      <c r="AD651" s="37">
        <v>3.1277585541611082</v>
      </c>
    </row>
    <row r="652" spans="2:30" x14ac:dyDescent="0.3">
      <c r="B652" s="28">
        <v>43580</v>
      </c>
      <c r="C652" s="25">
        <v>41.639999000000003</v>
      </c>
      <c r="D652" s="18">
        <f t="shared" si="90"/>
        <v>1.1907581438270753E-2</v>
      </c>
      <c r="E652" s="32">
        <f t="shared" ca="1" si="91"/>
        <v>-1.4875456909131909E-2</v>
      </c>
      <c r="F652" s="18">
        <f t="shared" ca="1" si="92"/>
        <v>57.442613092753056</v>
      </c>
      <c r="G652" s="19">
        <f t="shared" ca="1" si="93"/>
        <v>0.86738790724694326</v>
      </c>
      <c r="H652" s="27">
        <v>56.669998</v>
      </c>
      <c r="I652" s="19">
        <f t="shared" si="94"/>
        <v>-4.2172201722017189E-3</v>
      </c>
      <c r="J652" s="19">
        <f t="shared" ca="1" si="95"/>
        <v>3.9407049931779034E-3</v>
      </c>
      <c r="K652" s="19">
        <f t="shared" ca="1" si="96"/>
        <v>83.819007451999013</v>
      </c>
      <c r="L652" s="19">
        <f t="shared" ca="1" si="97"/>
        <v>-0.32900945199901344</v>
      </c>
      <c r="M652" s="19">
        <f t="shared" ca="1" si="98"/>
        <v>0.53837845524792982</v>
      </c>
      <c r="AA652" s="37">
        <v>632</v>
      </c>
      <c r="AB652" s="37">
        <v>1.7712101545097276</v>
      </c>
      <c r="AC652" s="37">
        <v>2.771303791026456</v>
      </c>
      <c r="AD652" s="37">
        <v>3.2705741064509373</v>
      </c>
    </row>
    <row r="653" spans="2:30" x14ac:dyDescent="0.3">
      <c r="B653" s="28">
        <v>43581</v>
      </c>
      <c r="C653" s="25">
        <v>42.09</v>
      </c>
      <c r="D653" s="18">
        <f t="shared" si="90"/>
        <v>1.0806940701415524E-2</v>
      </c>
      <c r="E653" s="32">
        <f t="shared" ca="1" si="91"/>
        <v>3.1983757092425222E-2</v>
      </c>
      <c r="F653" s="18">
        <f t="shared" ca="1" si="92"/>
        <v>60.174973908043079</v>
      </c>
      <c r="G653" s="19">
        <f t="shared" ca="1" si="93"/>
        <v>-1.8649729080430788</v>
      </c>
      <c r="H653" s="27">
        <v>56.66</v>
      </c>
      <c r="I653" s="19">
        <f t="shared" si="94"/>
        <v>-1.7642492240788066E-4</v>
      </c>
      <c r="J653" s="19">
        <f t="shared" ca="1" si="95"/>
        <v>-1.01664286642836E-2</v>
      </c>
      <c r="K653" s="19">
        <f t="shared" ca="1" si="96"/>
        <v>82.641202891151821</v>
      </c>
      <c r="L653" s="19">
        <f t="shared" ca="1" si="97"/>
        <v>0.84879510884817932</v>
      </c>
      <c r="M653" s="19">
        <f t="shared" ca="1" si="98"/>
        <v>-1.0161777991948995</v>
      </c>
      <c r="AA653" s="37">
        <v>633</v>
      </c>
      <c r="AB653" s="37">
        <v>1.771267761673101</v>
      </c>
      <c r="AC653" s="37">
        <v>2.7737503091516698</v>
      </c>
      <c r="AD653" s="37">
        <v>3.3363265658166932</v>
      </c>
    </row>
    <row r="654" spans="2:30" x14ac:dyDescent="0.3">
      <c r="B654" s="28">
        <v>43584</v>
      </c>
      <c r="C654" s="25">
        <v>41.799999</v>
      </c>
      <c r="D654" s="18">
        <f t="shared" si="90"/>
        <v>-6.8900213827512991E-3</v>
      </c>
      <c r="E654" s="32">
        <f t="shared" ca="1" si="91"/>
        <v>-4.0214718041357206E-2</v>
      </c>
      <c r="F654" s="18">
        <f t="shared" ca="1" si="92"/>
        <v>55.965080750793739</v>
      </c>
      <c r="G654" s="19">
        <f t="shared" ca="1" si="93"/>
        <v>2.3449202492062611</v>
      </c>
      <c r="H654" s="27">
        <v>55.529998999999997</v>
      </c>
      <c r="I654" s="19">
        <f t="shared" si="94"/>
        <v>-1.9943540416519578E-2</v>
      </c>
      <c r="J654" s="19">
        <f t="shared" ca="1" si="95"/>
        <v>-1.1988691180878863E-2</v>
      </c>
      <c r="K654" s="19">
        <f t="shared" ca="1" si="96"/>
        <v>82.489062197285804</v>
      </c>
      <c r="L654" s="19">
        <f t="shared" ca="1" si="97"/>
        <v>1.0009358027141957</v>
      </c>
      <c r="M654" s="19">
        <f t="shared" ca="1" si="98"/>
        <v>3.3458560519204568</v>
      </c>
      <c r="AA654" s="37">
        <v>634</v>
      </c>
      <c r="AB654" s="37">
        <v>1.7110759032657861</v>
      </c>
      <c r="AC654" s="37">
        <v>2.8244336037976439</v>
      </c>
      <c r="AD654" s="37">
        <v>3.3742561252979373</v>
      </c>
    </row>
    <row r="655" spans="2:30" x14ac:dyDescent="0.3">
      <c r="B655" s="28">
        <v>43585</v>
      </c>
      <c r="C655" s="25">
        <v>42.220001000000003</v>
      </c>
      <c r="D655" s="18">
        <f t="shared" si="90"/>
        <v>1.0047894977222471E-2</v>
      </c>
      <c r="E655" s="32">
        <f t="shared" ca="1" si="91"/>
        <v>-2.7232828954457226E-2</v>
      </c>
      <c r="F655" s="18">
        <f t="shared" ca="1" si="92"/>
        <v>56.722054716432773</v>
      </c>
      <c r="G655" s="19">
        <f t="shared" ca="1" si="93"/>
        <v>1.5879462835672271</v>
      </c>
      <c r="H655" s="27">
        <v>55.59</v>
      </c>
      <c r="I655" s="19">
        <f t="shared" si="94"/>
        <v>1.0805150563752974E-3</v>
      </c>
      <c r="J655" s="19">
        <f t="shared" ca="1" si="95"/>
        <v>-2.4258936278839616E-2</v>
      </c>
      <c r="K655" s="19">
        <f t="shared" ca="1" si="96"/>
        <v>81.464619458597554</v>
      </c>
      <c r="L655" s="19">
        <f t="shared" ca="1" si="97"/>
        <v>2.0253785414024463</v>
      </c>
      <c r="M655" s="19">
        <f t="shared" ca="1" si="98"/>
        <v>3.6133248249696734</v>
      </c>
      <c r="AA655" s="37">
        <v>635</v>
      </c>
      <c r="AB655" s="37">
        <v>1.8576093518686176</v>
      </c>
      <c r="AC655" s="37">
        <v>2.7010280100809902</v>
      </c>
      <c r="AD655" s="37">
        <v>3.3102312119302395</v>
      </c>
    </row>
    <row r="656" spans="2:30" x14ac:dyDescent="0.3">
      <c r="B656" s="28">
        <v>43587</v>
      </c>
      <c r="C656" s="25">
        <v>42.59</v>
      </c>
      <c r="D656" s="18">
        <f t="shared" si="90"/>
        <v>8.7635952448223975E-3</v>
      </c>
      <c r="E656" s="32">
        <f t="shared" ca="1" si="91"/>
        <v>2.1209792261567439E-2</v>
      </c>
      <c r="F656" s="18">
        <f t="shared" ca="1" si="92"/>
        <v>59.546744007981793</v>
      </c>
      <c r="G656" s="19">
        <f t="shared" ca="1" si="93"/>
        <v>-1.2367430079817936</v>
      </c>
      <c r="H656" s="27">
        <v>53.080002</v>
      </c>
      <c r="I656" s="19">
        <f t="shared" si="94"/>
        <v>-4.5151969778737255E-2</v>
      </c>
      <c r="J656" s="19">
        <f t="shared" ca="1" si="95"/>
        <v>2.4072269857543096E-2</v>
      </c>
      <c r="K656" s="19">
        <f t="shared" ca="1" si="96"/>
        <v>85.499791762261736</v>
      </c>
      <c r="L656" s="19">
        <f t="shared" ca="1" si="97"/>
        <v>-2.0097937622617366</v>
      </c>
      <c r="M656" s="19">
        <f t="shared" ca="1" si="98"/>
        <v>-3.2465367702435302</v>
      </c>
      <c r="AA656" s="37">
        <v>636</v>
      </c>
      <c r="AB656" s="37">
        <v>1.7857150557599792</v>
      </c>
      <c r="AC656" s="37">
        <v>2.8229762621774435</v>
      </c>
      <c r="AD656" s="37">
        <v>3.4258751413148478</v>
      </c>
    </row>
    <row r="657" spans="2:30" x14ac:dyDescent="0.3">
      <c r="B657" s="28">
        <v>43588</v>
      </c>
      <c r="C657" s="25">
        <v>42.889999000000003</v>
      </c>
      <c r="D657" s="18">
        <f t="shared" si="90"/>
        <v>7.0438835407371503E-3</v>
      </c>
      <c r="E657" s="32">
        <f t="shared" ca="1" si="91"/>
        <v>-8.7409766233794168E-3</v>
      </c>
      <c r="F657" s="18">
        <f t="shared" ca="1" si="92"/>
        <v>57.800314644349768</v>
      </c>
      <c r="G657" s="19">
        <f t="shared" ca="1" si="93"/>
        <v>0.50968635565023135</v>
      </c>
      <c r="H657" s="27">
        <v>52.82</v>
      </c>
      <c r="I657" s="19">
        <f t="shared" si="94"/>
        <v>-4.8983042615560191E-3</v>
      </c>
      <c r="J657" s="19">
        <f t="shared" ca="1" si="95"/>
        <v>4.450346045391386E-3</v>
      </c>
      <c r="K657" s="19">
        <f t="shared" ca="1" si="96"/>
        <v>83.861557382429027</v>
      </c>
      <c r="L657" s="19">
        <f t="shared" ca="1" si="97"/>
        <v>-0.37155938242902664</v>
      </c>
      <c r="M657" s="19">
        <f t="shared" ca="1" si="98"/>
        <v>0.13812697322120471</v>
      </c>
      <c r="AA657" s="37">
        <v>637</v>
      </c>
      <c r="AB657" s="37">
        <v>1.8052845272201528</v>
      </c>
      <c r="AC657" s="37">
        <v>2.7995358863511317</v>
      </c>
      <c r="AD657" s="37">
        <v>3.602152280309618</v>
      </c>
    </row>
    <row r="658" spans="2:30" x14ac:dyDescent="0.3">
      <c r="B658" s="28">
        <v>43591</v>
      </c>
      <c r="C658" s="25">
        <v>43.029998999999997</v>
      </c>
      <c r="D658" s="18">
        <f t="shared" si="90"/>
        <v>3.264164216930654E-3</v>
      </c>
      <c r="E658" s="32">
        <f t="shared" ca="1" si="91"/>
        <v>-8.7033179216059724E-3</v>
      </c>
      <c r="F658" s="18">
        <f t="shared" ca="1" si="92"/>
        <v>57.802510523287836</v>
      </c>
      <c r="G658" s="19">
        <f t="shared" ca="1" si="93"/>
        <v>0.50749047671216374</v>
      </c>
      <c r="H658" s="27">
        <v>53.080002</v>
      </c>
      <c r="I658" s="19">
        <f t="shared" si="94"/>
        <v>4.9224157516092326E-3</v>
      </c>
      <c r="J658" s="19">
        <f t="shared" ca="1" si="95"/>
        <v>-1.8664090119930581E-2</v>
      </c>
      <c r="K658" s="19">
        <f t="shared" ca="1" si="96"/>
        <v>81.931733153215177</v>
      </c>
      <c r="L658" s="19">
        <f t="shared" ca="1" si="97"/>
        <v>1.558264846784823</v>
      </c>
      <c r="M658" s="19">
        <f t="shared" ca="1" si="98"/>
        <v>2.0657553234969868</v>
      </c>
      <c r="AA658" s="37">
        <v>638</v>
      </c>
      <c r="AB658" s="37">
        <v>1.7922649487318449</v>
      </c>
      <c r="AC658" s="37">
        <v>2.8641176323077162</v>
      </c>
      <c r="AD658" s="37">
        <v>3.3569343909620906</v>
      </c>
    </row>
    <row r="659" spans="2:30" x14ac:dyDescent="0.3">
      <c r="B659" s="28">
        <v>43592</v>
      </c>
      <c r="C659" s="25">
        <v>42.43</v>
      </c>
      <c r="D659" s="18">
        <f t="shared" si="90"/>
        <v>-1.3943737251771671E-2</v>
      </c>
      <c r="E659" s="32">
        <f t="shared" ca="1" si="91"/>
        <v>-2.4846544121877957E-2</v>
      </c>
      <c r="F659" s="18">
        <f t="shared" ca="1" si="92"/>
        <v>56.861198987406752</v>
      </c>
      <c r="G659" s="19">
        <f t="shared" ca="1" si="93"/>
        <v>1.4488020125932479</v>
      </c>
      <c r="H659" s="27">
        <v>52.240001999999997</v>
      </c>
      <c r="I659" s="19">
        <f t="shared" si="94"/>
        <v>-1.5825168959112013E-2</v>
      </c>
      <c r="J659" s="19">
        <f t="shared" ca="1" si="95"/>
        <v>7.918075500100815E-3</v>
      </c>
      <c r="K659" s="19">
        <f t="shared" ca="1" si="96"/>
        <v>84.15107810766726</v>
      </c>
      <c r="L659" s="19">
        <f t="shared" ca="1" si="97"/>
        <v>-0.66108010766726011</v>
      </c>
      <c r="M659" s="19">
        <f t="shared" ca="1" si="98"/>
        <v>0.78772190492598781</v>
      </c>
      <c r="AA659" s="37">
        <v>639</v>
      </c>
      <c r="AB659" s="37">
        <v>1.770663386821238</v>
      </c>
      <c r="AC659" s="37">
        <v>2.8705581428931706</v>
      </c>
      <c r="AD659" s="37">
        <v>3.2410462886028775</v>
      </c>
    </row>
    <row r="660" spans="2:30" x14ac:dyDescent="0.3">
      <c r="B660" s="28">
        <v>43593</v>
      </c>
      <c r="C660" s="25">
        <v>43.040000999999997</v>
      </c>
      <c r="D660" s="18">
        <f t="shared" si="90"/>
        <v>1.4376643884044249E-2</v>
      </c>
      <c r="E660" s="32">
        <f t="shared" ca="1" si="91"/>
        <v>1.3125250226265116E-2</v>
      </c>
      <c r="F660" s="18">
        <f t="shared" ca="1" si="92"/>
        <v>59.075334353818768</v>
      </c>
      <c r="G660" s="19">
        <f t="shared" ca="1" si="93"/>
        <v>-0.7653333538187681</v>
      </c>
      <c r="H660" s="27">
        <v>51.110000999999997</v>
      </c>
      <c r="I660" s="19">
        <f t="shared" si="94"/>
        <v>-2.1630952464358644E-2</v>
      </c>
      <c r="J660" s="19">
        <f t="shared" ca="1" si="95"/>
        <v>-1.5620882013484775E-2</v>
      </c>
      <c r="K660" s="19">
        <f t="shared" ca="1" si="96"/>
        <v>82.185810591935919</v>
      </c>
      <c r="L660" s="19">
        <f t="shared" ca="1" si="97"/>
        <v>1.304187408064081</v>
      </c>
      <c r="M660" s="19">
        <f t="shared" ca="1" si="98"/>
        <v>0.53885405424531285</v>
      </c>
      <c r="AA660" s="37">
        <v>640</v>
      </c>
      <c r="AB660" s="37">
        <v>1.7772713798238362</v>
      </c>
      <c r="AC660" s="37">
        <v>2.6648933604569813</v>
      </c>
      <c r="AD660" s="37">
        <v>3.3367538199180671</v>
      </c>
    </row>
    <row r="661" spans="2:30" x14ac:dyDescent="0.3">
      <c r="B661" s="28">
        <v>43594</v>
      </c>
      <c r="C661" s="25">
        <v>41.610000999999997</v>
      </c>
      <c r="D661" s="18">
        <f t="shared" si="90"/>
        <v>-3.3224906291242862E-2</v>
      </c>
      <c r="E661" s="32">
        <f t="shared" ca="1" si="91"/>
        <v>2.070912222025395E-2</v>
      </c>
      <c r="F661" s="18">
        <f t="shared" ca="1" si="92"/>
        <v>59.517549937372131</v>
      </c>
      <c r="G661" s="19">
        <f t="shared" ca="1" si="93"/>
        <v>-1.2075489373721311</v>
      </c>
      <c r="H661" s="27">
        <v>51.23</v>
      </c>
      <c r="I661" s="19">
        <f t="shared" si="94"/>
        <v>2.3478575161834936E-3</v>
      </c>
      <c r="J661" s="19">
        <f t="shared" ca="1" si="95"/>
        <v>-1.5247122150658252E-2</v>
      </c>
      <c r="K661" s="19">
        <f t="shared" ca="1" si="96"/>
        <v>82.217015802135791</v>
      </c>
      <c r="L661" s="19">
        <f t="shared" ca="1" si="97"/>
        <v>1.2729821978642093</v>
      </c>
      <c r="M661" s="19">
        <f t="shared" ca="1" si="98"/>
        <v>6.5433260492078205E-2</v>
      </c>
      <c r="AA661" s="37">
        <v>641</v>
      </c>
      <c r="AB661" s="37">
        <v>1.7271421502590356</v>
      </c>
      <c r="AC661" s="37">
        <v>2.7375614739287353</v>
      </c>
      <c r="AD661" s="37">
        <v>3.3648082299800199</v>
      </c>
    </row>
    <row r="662" spans="2:30" x14ac:dyDescent="0.3">
      <c r="B662" s="28">
        <v>43595</v>
      </c>
      <c r="C662" s="25">
        <v>41.84</v>
      </c>
      <c r="D662" s="18">
        <f t="shared" si="90"/>
        <v>5.5274932581714786E-3</v>
      </c>
      <c r="E662" s="32">
        <f t="shared" ca="1" si="91"/>
        <v>-3.2572843657088277E-2</v>
      </c>
      <c r="F662" s="18">
        <f t="shared" ca="1" si="92"/>
        <v>56.410678453782339</v>
      </c>
      <c r="G662" s="19">
        <f t="shared" ca="1" si="93"/>
        <v>1.8993225462176611</v>
      </c>
      <c r="H662" s="27">
        <v>51.240001999999997</v>
      </c>
      <c r="I662" s="19">
        <f t="shared" si="94"/>
        <v>1.9523716572322769E-4</v>
      </c>
      <c r="J662" s="19">
        <f t="shared" ca="1" si="95"/>
        <v>3.2213226568324753E-2</v>
      </c>
      <c r="K662" s="19">
        <f t="shared" ca="1" si="96"/>
        <v>86.179480221762987</v>
      </c>
      <c r="L662" s="19">
        <f t="shared" ca="1" si="97"/>
        <v>-2.6894822217629866</v>
      </c>
      <c r="M662" s="19">
        <f t="shared" ca="1" si="98"/>
        <v>-0.79015967554532551</v>
      </c>
      <c r="AA662" s="37">
        <v>642</v>
      </c>
      <c r="AB662" s="37">
        <v>1.9229802798900519</v>
      </c>
      <c r="AC662" s="37">
        <v>2.9822492487072561</v>
      </c>
      <c r="AD662" s="37">
        <v>3.4591076864556287</v>
      </c>
    </row>
    <row r="663" spans="2:30" x14ac:dyDescent="0.3">
      <c r="B663" s="28">
        <v>43598</v>
      </c>
      <c r="C663" s="25">
        <v>41.939999</v>
      </c>
      <c r="D663" s="18">
        <f t="shared" si="90"/>
        <v>2.3900334608029095E-3</v>
      </c>
      <c r="E663" s="32">
        <f t="shared" ca="1" si="91"/>
        <v>1.0784825935750414E-2</v>
      </c>
      <c r="F663" s="18">
        <f t="shared" ca="1" si="92"/>
        <v>58.938864211098426</v>
      </c>
      <c r="G663" s="19">
        <f t="shared" ca="1" si="93"/>
        <v>-0.62886321109842669</v>
      </c>
      <c r="H663" s="27">
        <v>51.360000999999997</v>
      </c>
      <c r="I663" s="19">
        <f t="shared" si="94"/>
        <v>2.3419007672951242E-3</v>
      </c>
      <c r="J663" s="19">
        <f t="shared" ca="1" si="95"/>
        <v>-6.0639922151364866E-3</v>
      </c>
      <c r="K663" s="19">
        <f t="shared" ca="1" si="96"/>
        <v>82.983715302086239</v>
      </c>
      <c r="L663" s="19">
        <f t="shared" ca="1" si="97"/>
        <v>0.50628269791376113</v>
      </c>
      <c r="M663" s="19">
        <f t="shared" ca="1" si="98"/>
        <v>-0.12258051318466556</v>
      </c>
      <c r="AA663" s="37">
        <v>643</v>
      </c>
      <c r="AB663" s="37">
        <v>1.6707175922136168</v>
      </c>
      <c r="AC663" s="37">
        <v>2.762415596986322</v>
      </c>
      <c r="AD663" s="37">
        <v>3.2986923338422174</v>
      </c>
    </row>
    <row r="664" spans="2:30" x14ac:dyDescent="0.3">
      <c r="B664" s="28">
        <v>43599</v>
      </c>
      <c r="C664" s="25">
        <v>42.439999</v>
      </c>
      <c r="D664" s="18">
        <f t="shared" si="90"/>
        <v>1.1921793321931107E-2</v>
      </c>
      <c r="E664" s="32">
        <f t="shared" ca="1" si="91"/>
        <v>8.1769740720949238E-3</v>
      </c>
      <c r="F664" s="18">
        <f t="shared" ca="1" si="92"/>
        <v>58.786800366320833</v>
      </c>
      <c r="G664" s="19">
        <f t="shared" ca="1" si="93"/>
        <v>-0.47679936632083297</v>
      </c>
      <c r="H664" s="27">
        <v>50.68</v>
      </c>
      <c r="I664" s="19">
        <f t="shared" si="94"/>
        <v>-1.3239894602026903E-2</v>
      </c>
      <c r="J664" s="19">
        <f t="shared" ca="1" si="95"/>
        <v>1.5119131288257306E-2</v>
      </c>
      <c r="K664" s="19">
        <f t="shared" ca="1" si="96"/>
        <v>84.752294241018333</v>
      </c>
      <c r="L664" s="19">
        <f t="shared" ca="1" si="97"/>
        <v>-1.2622962410183334</v>
      </c>
      <c r="M664" s="19">
        <f t="shared" ca="1" si="98"/>
        <v>-1.7390956073391663</v>
      </c>
      <c r="AA664" s="37">
        <v>644</v>
      </c>
      <c r="AB664" s="37">
        <v>1.8272075807714963</v>
      </c>
      <c r="AC664" s="37">
        <v>2.7594118785320911</v>
      </c>
      <c r="AD664" s="37">
        <v>3.2210125160173853</v>
      </c>
    </row>
    <row r="665" spans="2:30" x14ac:dyDescent="0.3">
      <c r="B665" s="28">
        <v>43600</v>
      </c>
      <c r="C665" s="25">
        <v>42.09</v>
      </c>
      <c r="D665" s="18">
        <f t="shared" si="90"/>
        <v>-8.2469134836689051E-3</v>
      </c>
      <c r="E665" s="32">
        <f t="shared" ca="1" si="91"/>
        <v>1.8790352598738666E-2</v>
      </c>
      <c r="F665" s="18">
        <f t="shared" ca="1" si="92"/>
        <v>59.405666478822809</v>
      </c>
      <c r="G665" s="19">
        <f t="shared" ca="1" si="93"/>
        <v>-1.0956654788228093</v>
      </c>
      <c r="H665" s="27">
        <v>50.310001</v>
      </c>
      <c r="I665" s="19">
        <f t="shared" si="94"/>
        <v>-7.300690607734861E-3</v>
      </c>
      <c r="J665" s="19">
        <f t="shared" ca="1" si="95"/>
        <v>7.4002080054584997E-4</v>
      </c>
      <c r="K665" s="19">
        <f t="shared" ca="1" si="96"/>
        <v>83.55178233515754</v>
      </c>
      <c r="L665" s="19">
        <f t="shared" ca="1" si="97"/>
        <v>-6.1784335157540227E-2</v>
      </c>
      <c r="M665" s="19">
        <f t="shared" ca="1" si="98"/>
        <v>-1.1574498139803495</v>
      </c>
      <c r="AA665" s="37">
        <v>645</v>
      </c>
      <c r="AB665" s="37">
        <v>1.7755158840607994</v>
      </c>
      <c r="AC665" s="37">
        <v>2.7693495498458391</v>
      </c>
      <c r="AD665" s="37">
        <v>3.2955301613759298</v>
      </c>
    </row>
    <row r="666" spans="2:30" x14ac:dyDescent="0.3">
      <c r="B666" s="28">
        <v>43601</v>
      </c>
      <c r="C666" s="25">
        <v>41.439999</v>
      </c>
      <c r="D666" s="18">
        <f t="shared" si="90"/>
        <v>-1.5443121881682176E-2</v>
      </c>
      <c r="E666" s="32">
        <f t="shared" ca="1" si="91"/>
        <v>1.0060853570935153E-2</v>
      </c>
      <c r="F666" s="18">
        <f t="shared" ca="1" si="92"/>
        <v>58.896649381782083</v>
      </c>
      <c r="G666" s="19">
        <f t="shared" ca="1" si="93"/>
        <v>-0.58664838178208356</v>
      </c>
      <c r="H666" s="27">
        <v>50.490001999999997</v>
      </c>
      <c r="I666" s="19">
        <f t="shared" si="94"/>
        <v>3.5778373369541594E-3</v>
      </c>
      <c r="J666" s="19">
        <f t="shared" ca="1" si="95"/>
        <v>-1.2619644561604733E-2</v>
      </c>
      <c r="K666" s="19">
        <f t="shared" ca="1" si="96"/>
        <v>82.436383900790915</v>
      </c>
      <c r="L666" s="19">
        <f t="shared" ca="1" si="97"/>
        <v>1.053614099209085</v>
      </c>
      <c r="M666" s="19">
        <f t="shared" ca="1" si="98"/>
        <v>0.46696571742700144</v>
      </c>
      <c r="AA666" s="37">
        <v>646</v>
      </c>
      <c r="AB666" s="37">
        <v>1.8130108007488606</v>
      </c>
      <c r="AC666" s="37">
        <v>2.883337840983232</v>
      </c>
      <c r="AD666" s="37">
        <v>3.2429397425139004</v>
      </c>
    </row>
    <row r="667" spans="2:30" x14ac:dyDescent="0.3">
      <c r="B667" s="28">
        <v>43602</v>
      </c>
      <c r="C667" s="25">
        <v>41.369999</v>
      </c>
      <c r="D667" s="18">
        <f t="shared" si="90"/>
        <v>-1.6891892299515376E-3</v>
      </c>
      <c r="E667" s="32">
        <f t="shared" ca="1" si="91"/>
        <v>-1.9558753589300874E-2</v>
      </c>
      <c r="F667" s="18">
        <f t="shared" ca="1" si="92"/>
        <v>57.169530058649109</v>
      </c>
      <c r="G667" s="19">
        <f t="shared" ca="1" si="93"/>
        <v>1.1404709413508911</v>
      </c>
      <c r="H667" s="27">
        <v>50.369999</v>
      </c>
      <c r="I667" s="19">
        <f t="shared" si="94"/>
        <v>-2.37676758261951E-3</v>
      </c>
      <c r="J667" s="19">
        <f t="shared" ca="1" si="95"/>
        <v>-2.4087600359398387E-2</v>
      </c>
      <c r="K667" s="19">
        <f t="shared" ca="1" si="96"/>
        <v>81.478924294169033</v>
      </c>
      <c r="L667" s="19">
        <f t="shared" ca="1" si="97"/>
        <v>2.0110737058309667</v>
      </c>
      <c r="M667" s="19">
        <f t="shared" ca="1" si="98"/>
        <v>3.1515446471818578</v>
      </c>
      <c r="AA667" s="37">
        <v>647</v>
      </c>
      <c r="AB667" s="37">
        <v>1.9100090883146847</v>
      </c>
      <c r="AC667" s="37">
        <v>2.7985192557068315</v>
      </c>
      <c r="AD667" s="37">
        <v>3.576670772545111</v>
      </c>
    </row>
    <row r="668" spans="2:30" x14ac:dyDescent="0.3">
      <c r="B668" s="28">
        <v>43605</v>
      </c>
      <c r="C668" s="25">
        <v>41.299999</v>
      </c>
      <c r="D668" s="18">
        <f t="shared" si="90"/>
        <v>-1.6920474182269274E-3</v>
      </c>
      <c r="E668" s="32">
        <f t="shared" ca="1" si="91"/>
        <v>1.9344116849770155E-2</v>
      </c>
      <c r="F668" s="18">
        <f t="shared" ca="1" si="92"/>
        <v>59.437956472854211</v>
      </c>
      <c r="G668" s="19">
        <f t="shared" ca="1" si="93"/>
        <v>-1.1279554728542109</v>
      </c>
      <c r="H668" s="27">
        <v>49.419998</v>
      </c>
      <c r="I668" s="19">
        <f t="shared" si="94"/>
        <v>-1.8860453024825308E-2</v>
      </c>
      <c r="J668" s="19">
        <f t="shared" ca="1" si="95"/>
        <v>1.011865833614811E-2</v>
      </c>
      <c r="K668" s="19">
        <f t="shared" ca="1" si="96"/>
        <v>84.334804764247693</v>
      </c>
      <c r="L668" s="19">
        <f t="shared" ca="1" si="97"/>
        <v>-0.84480676424769285</v>
      </c>
      <c r="M668" s="19">
        <f t="shared" ca="1" si="98"/>
        <v>-1.9727622371019038</v>
      </c>
      <c r="AA668" s="37">
        <v>648</v>
      </c>
      <c r="AB668" s="37">
        <v>1.8322866717987003</v>
      </c>
      <c r="AC668" s="37">
        <v>2.8881901844777005</v>
      </c>
      <c r="AD668" s="37">
        <v>3.2911209405862993</v>
      </c>
    </row>
    <row r="669" spans="2:30" x14ac:dyDescent="0.3">
      <c r="B669" s="28">
        <v>43606</v>
      </c>
      <c r="C669" s="25">
        <v>40.479999999999997</v>
      </c>
      <c r="D669" s="18">
        <f t="shared" si="90"/>
        <v>-1.9854697817305089E-2</v>
      </c>
      <c r="E669" s="32">
        <f t="shared" ca="1" si="91"/>
        <v>-2.8527814248249447E-3</v>
      </c>
      <c r="F669" s="18">
        <f t="shared" ca="1" si="92"/>
        <v>58.143655312265679</v>
      </c>
      <c r="G669" s="19">
        <f t="shared" ca="1" si="93"/>
        <v>0.16634568773432079</v>
      </c>
      <c r="H669" s="27">
        <v>48.740001999999997</v>
      </c>
      <c r="I669" s="19">
        <f t="shared" si="94"/>
        <v>-1.3759531111272039E-2</v>
      </c>
      <c r="J669" s="19">
        <f t="shared" ca="1" si="95"/>
        <v>2.9280827889792017E-2</v>
      </c>
      <c r="K669" s="19">
        <f t="shared" ca="1" si="96"/>
        <v>85.934654261957078</v>
      </c>
      <c r="L669" s="19">
        <f t="shared" ca="1" si="97"/>
        <v>-2.4446562619570784</v>
      </c>
      <c r="M669" s="19">
        <f t="shared" ca="1" si="98"/>
        <v>-2.2783105742227576</v>
      </c>
      <c r="AA669" s="37">
        <v>649</v>
      </c>
      <c r="AB669" s="37">
        <v>1.8432393741196507</v>
      </c>
      <c r="AC669" s="37">
        <v>2.921849866153698</v>
      </c>
      <c r="AD669" s="37">
        <v>3.2855798422596743</v>
      </c>
    </row>
    <row r="670" spans="2:30" x14ac:dyDescent="0.3">
      <c r="B670" s="28">
        <v>43607</v>
      </c>
      <c r="C670" s="25">
        <v>40.139999000000003</v>
      </c>
      <c r="D670" s="18">
        <f t="shared" si="90"/>
        <v>-8.3992341897232148E-3</v>
      </c>
      <c r="E670" s="32">
        <f t="shared" ca="1" si="91"/>
        <v>-2.9278166394292864E-2</v>
      </c>
      <c r="F670" s="18">
        <f t="shared" ca="1" si="92"/>
        <v>56.602791088270621</v>
      </c>
      <c r="G670" s="19">
        <f t="shared" ca="1" si="93"/>
        <v>1.7072099117293789</v>
      </c>
      <c r="H670" s="27">
        <v>47.650002000000001</v>
      </c>
      <c r="I670" s="19">
        <f t="shared" si="94"/>
        <v>-2.2363560838589924E-2</v>
      </c>
      <c r="J670" s="19">
        <f t="shared" ca="1" si="95"/>
        <v>1.5137270828241709E-2</v>
      </c>
      <c r="K670" s="19">
        <f t="shared" ca="1" si="96"/>
        <v>84.753808711175367</v>
      </c>
      <c r="L670" s="19">
        <f t="shared" ca="1" si="97"/>
        <v>-1.2638107111753669</v>
      </c>
      <c r="M670" s="19">
        <f t="shared" ca="1" si="98"/>
        <v>0.44339920055401194</v>
      </c>
      <c r="AA670" s="37">
        <v>650</v>
      </c>
      <c r="AB670" s="37">
        <v>1.7636726301945547</v>
      </c>
      <c r="AC670" s="37">
        <v>2.7071891101250554</v>
      </c>
      <c r="AD670" s="37">
        <v>3.1817660456432018</v>
      </c>
    </row>
    <row r="671" spans="2:30" x14ac:dyDescent="0.3">
      <c r="B671" s="28">
        <v>43608</v>
      </c>
      <c r="C671" s="25">
        <v>39.700001</v>
      </c>
      <c r="D671" s="18">
        <f t="shared" si="90"/>
        <v>-1.0961584727493423E-2</v>
      </c>
      <c r="E671" s="32">
        <f t="shared" ca="1" si="91"/>
        <v>-2.1219911391282688E-2</v>
      </c>
      <c r="F671" s="18">
        <f t="shared" ca="1" si="92"/>
        <v>57.0726679455544</v>
      </c>
      <c r="G671" s="19">
        <f t="shared" ca="1" si="93"/>
        <v>1.2373330544455996</v>
      </c>
      <c r="H671" s="27">
        <v>46.990001999999997</v>
      </c>
      <c r="I671" s="19">
        <f t="shared" si="94"/>
        <v>-1.3850996270682314E-2</v>
      </c>
      <c r="J671" s="19">
        <f t="shared" ca="1" si="95"/>
        <v>1.8223056728827521E-2</v>
      </c>
      <c r="K671" s="19">
        <f t="shared" ca="1" si="96"/>
        <v>85.01144096984369</v>
      </c>
      <c r="L671" s="19">
        <f t="shared" ca="1" si="97"/>
        <v>-1.5214429698436902</v>
      </c>
      <c r="M671" s="19">
        <f t="shared" ca="1" si="98"/>
        <v>-0.28410991539809061</v>
      </c>
      <c r="AA671" s="37">
        <v>651</v>
      </c>
      <c r="AB671" s="37">
        <v>1.7682052698398609</v>
      </c>
      <c r="AC671" s="37">
        <v>2.9831222597318652</v>
      </c>
      <c r="AD671" s="37">
        <v>3.7075523509510271</v>
      </c>
    </row>
    <row r="672" spans="2:30" x14ac:dyDescent="0.3">
      <c r="B672" s="28">
        <v>43609</v>
      </c>
      <c r="C672" s="25">
        <v>39.639999000000003</v>
      </c>
      <c r="D672" s="18">
        <f t="shared" si="90"/>
        <v>-1.5113853523579523E-3</v>
      </c>
      <c r="E672" s="32">
        <f t="shared" ca="1" si="91"/>
        <v>7.2027471660654346E-3</v>
      </c>
      <c r="F672" s="18">
        <f t="shared" ca="1" si="92"/>
        <v>58.729993194456021</v>
      </c>
      <c r="G672" s="19">
        <f t="shared" ca="1" si="93"/>
        <v>-0.41999219445602165</v>
      </c>
      <c r="H672" s="27">
        <v>47.439999</v>
      </c>
      <c r="I672" s="19">
        <f t="shared" si="94"/>
        <v>9.5764413885319755E-3</v>
      </c>
      <c r="J672" s="19">
        <f t="shared" ca="1" si="95"/>
        <v>-2.2379124560262385E-2</v>
      </c>
      <c r="K672" s="19">
        <f t="shared" ca="1" si="96"/>
        <v>81.62156493522194</v>
      </c>
      <c r="L672" s="19">
        <f t="shared" ca="1" si="97"/>
        <v>1.8684330647780598</v>
      </c>
      <c r="M672" s="19">
        <f t="shared" ca="1" si="98"/>
        <v>1.4484408703220382</v>
      </c>
      <c r="AA672" s="37">
        <v>652</v>
      </c>
      <c r="AB672" s="37">
        <v>1.7379753357548815</v>
      </c>
      <c r="AC672" s="37">
        <v>2.682539198068743</v>
      </c>
      <c r="AD672" s="37">
        <v>3.2872959844090217</v>
      </c>
    </row>
    <row r="673" spans="2:30" x14ac:dyDescent="0.3">
      <c r="B673" s="28">
        <v>43612</v>
      </c>
      <c r="C673" s="25">
        <v>39.82</v>
      </c>
      <c r="D673" s="18">
        <f t="shared" si="90"/>
        <v>4.5408931518893247E-3</v>
      </c>
      <c r="E673" s="32">
        <f t="shared" ca="1" si="91"/>
        <v>-2.4091970662916705E-2</v>
      </c>
      <c r="F673" s="18">
        <f t="shared" ca="1" si="92"/>
        <v>56.905198166553355</v>
      </c>
      <c r="G673" s="19">
        <f t="shared" ca="1" si="93"/>
        <v>1.4048028334466451</v>
      </c>
      <c r="H673" s="27">
        <v>47.09</v>
      </c>
      <c r="I673" s="19">
        <f t="shared" si="94"/>
        <v>-7.3777193798001406E-3</v>
      </c>
      <c r="J673" s="19">
        <f t="shared" ca="1" si="95"/>
        <v>2.3370385255134518E-2</v>
      </c>
      <c r="K673" s="19">
        <f t="shared" ca="1" si="96"/>
        <v>85.441191418210408</v>
      </c>
      <c r="L673" s="19">
        <f t="shared" ca="1" si="97"/>
        <v>-1.9511934182104085</v>
      </c>
      <c r="M673" s="19">
        <f t="shared" ca="1" si="98"/>
        <v>-0.54639058476376334</v>
      </c>
      <c r="AA673" s="37">
        <v>653</v>
      </c>
      <c r="AB673" s="37">
        <v>1.7085991711581028</v>
      </c>
      <c r="AC673" s="37">
        <v>2.6034695188016013</v>
      </c>
      <c r="AD673" s="37">
        <v>3.2961260892704263</v>
      </c>
    </row>
    <row r="674" spans="2:30" x14ac:dyDescent="0.3">
      <c r="B674" s="28">
        <v>43613</v>
      </c>
      <c r="C674" s="25">
        <v>39.060001</v>
      </c>
      <c r="D674" s="18">
        <f t="shared" si="90"/>
        <v>-1.9085861376192836E-2</v>
      </c>
      <c r="E674" s="32">
        <f t="shared" ca="1" si="91"/>
        <v>-7.1941144100409844E-3</v>
      </c>
      <c r="F674" s="18">
        <f t="shared" ca="1" si="92"/>
        <v>57.890512181556396</v>
      </c>
      <c r="G674" s="19">
        <f t="shared" ca="1" si="93"/>
        <v>0.41948881844360386</v>
      </c>
      <c r="H674" s="27">
        <v>46.130001</v>
      </c>
      <c r="I674" s="19">
        <f t="shared" si="94"/>
        <v>-2.0386472711828474E-2</v>
      </c>
      <c r="J674" s="19">
        <f t="shared" ca="1" si="95"/>
        <v>-3.1804733270201301E-2</v>
      </c>
      <c r="K674" s="19">
        <f t="shared" ca="1" si="96"/>
        <v>80.834620882880358</v>
      </c>
      <c r="L674" s="19">
        <f t="shared" ca="1" si="97"/>
        <v>2.6553771171196416</v>
      </c>
      <c r="M674" s="19">
        <f t="shared" ca="1" si="98"/>
        <v>3.0748659355632455</v>
      </c>
      <c r="AA674" s="37">
        <v>654</v>
      </c>
      <c r="AB674" s="37">
        <v>1.8489088148549646</v>
      </c>
      <c r="AC674" s="37">
        <v>2.8940061055658766</v>
      </c>
      <c r="AD674" s="37">
        <v>3.2822175953097683</v>
      </c>
    </row>
    <row r="675" spans="2:30" x14ac:dyDescent="0.3">
      <c r="B675" s="28">
        <v>43614</v>
      </c>
      <c r="C675" s="25">
        <v>39.439999</v>
      </c>
      <c r="D675" s="18">
        <f t="shared" si="90"/>
        <v>9.7285711795040974E-3</v>
      </c>
      <c r="E675" s="32">
        <f t="shared" ca="1" si="91"/>
        <v>1.0628960362530148E-2</v>
      </c>
      <c r="F675" s="18">
        <f t="shared" ca="1" si="92"/>
        <v>58.9297756893681</v>
      </c>
      <c r="G675" s="19">
        <f t="shared" ca="1" si="93"/>
        <v>-0.61977468936809998</v>
      </c>
      <c r="H675" s="27">
        <v>47.290000999999997</v>
      </c>
      <c r="I675" s="19">
        <f t="shared" si="94"/>
        <v>2.5146325056442098E-2</v>
      </c>
      <c r="J675" s="19">
        <f t="shared" ca="1" si="95"/>
        <v>1.3684631136574348E-2</v>
      </c>
      <c r="K675" s="19">
        <f t="shared" ca="1" si="96"/>
        <v>84.632527826223338</v>
      </c>
      <c r="L675" s="19">
        <f t="shared" ca="1" si="97"/>
        <v>-1.1425298262233383</v>
      </c>
      <c r="M675" s="19">
        <f t="shared" ca="1" si="98"/>
        <v>-1.7623045155914383</v>
      </c>
      <c r="AA675" s="37">
        <v>655</v>
      </c>
      <c r="AB675" s="37">
        <v>1.7377151049319446</v>
      </c>
      <c r="AC675" s="37">
        <v>2.8482306647944471</v>
      </c>
      <c r="AD675" s="37">
        <v>3.4244064380188317</v>
      </c>
    </row>
    <row r="676" spans="2:30" x14ac:dyDescent="0.3">
      <c r="B676" s="28">
        <v>43615</v>
      </c>
      <c r="C676" s="25">
        <v>39.689999</v>
      </c>
      <c r="D676" s="18">
        <f t="shared" si="90"/>
        <v>6.3387425542278386E-3</v>
      </c>
      <c r="E676" s="32">
        <f t="shared" ca="1" si="91"/>
        <v>2.5078762154650082E-2</v>
      </c>
      <c r="F676" s="18">
        <f t="shared" ca="1" si="92"/>
        <v>59.772343646316401</v>
      </c>
      <c r="G676" s="19">
        <f t="shared" ca="1" si="93"/>
        <v>-1.4623426463164009</v>
      </c>
      <c r="H676" s="27">
        <v>48.689999</v>
      </c>
      <c r="I676" s="19">
        <f t="shared" si="94"/>
        <v>2.9604524643592312E-2</v>
      </c>
      <c r="J676" s="19">
        <f t="shared" ca="1" si="95"/>
        <v>4.9015704526468706E-3</v>
      </c>
      <c r="K676" s="19">
        <f t="shared" ca="1" si="96"/>
        <v>83.899230107288346</v>
      </c>
      <c r="L676" s="19">
        <f t="shared" ca="1" si="97"/>
        <v>-0.40923210728834647</v>
      </c>
      <c r="M676" s="19">
        <f t="shared" ca="1" si="98"/>
        <v>-1.8715747536047473</v>
      </c>
      <c r="AA676" s="37">
        <v>656</v>
      </c>
      <c r="AB676" s="37">
        <v>1.8065560584085982</v>
      </c>
      <c r="AC676" s="37">
        <v>2.7685562079754464</v>
      </c>
      <c r="AD676" s="37">
        <v>3.3776007418399097</v>
      </c>
    </row>
    <row r="677" spans="2:30" x14ac:dyDescent="0.3">
      <c r="B677" s="28">
        <v>43616</v>
      </c>
      <c r="C677" s="25">
        <v>39.549999</v>
      </c>
      <c r="D677" s="18">
        <f t="shared" si="90"/>
        <v>-3.5273369495424367E-3</v>
      </c>
      <c r="E677" s="32">
        <f t="shared" ca="1" si="91"/>
        <v>-4.0802600085109053E-2</v>
      </c>
      <c r="F677" s="18">
        <f t="shared" ca="1" si="92"/>
        <v>55.930801348234688</v>
      </c>
      <c r="G677" s="19">
        <f t="shared" ca="1" si="93"/>
        <v>2.3791996517653118</v>
      </c>
      <c r="H677" s="27">
        <v>48.91</v>
      </c>
      <c r="I677" s="19">
        <f t="shared" si="94"/>
        <v>4.5184022287614312E-3</v>
      </c>
      <c r="J677" s="19">
        <f t="shared" ca="1" si="95"/>
        <v>-1.367302672234073E-3</v>
      </c>
      <c r="K677" s="19">
        <f t="shared" ca="1" si="96"/>
        <v>83.375841902629787</v>
      </c>
      <c r="L677" s="19">
        <f t="shared" ca="1" si="97"/>
        <v>0.11415609737021271</v>
      </c>
      <c r="M677" s="19">
        <f t="shared" ca="1" si="98"/>
        <v>2.4933557491355245</v>
      </c>
      <c r="AA677" s="37">
        <v>657</v>
      </c>
      <c r="AB677" s="37">
        <v>1.6960092525738952</v>
      </c>
      <c r="AC677" s="37">
        <v>2.899899983649648</v>
      </c>
      <c r="AD677" s="37">
        <v>3.2788218022697451</v>
      </c>
    </row>
    <row r="678" spans="2:30" x14ac:dyDescent="0.3">
      <c r="B678" s="28">
        <v>43619</v>
      </c>
      <c r="C678" s="25">
        <v>39.810001</v>
      </c>
      <c r="D678" s="18">
        <f t="shared" si="90"/>
        <v>6.5740077515552553E-3</v>
      </c>
      <c r="E678" s="32">
        <f t="shared" ca="1" si="91"/>
        <v>-1.4938082202495004E-3</v>
      </c>
      <c r="F678" s="18">
        <f t="shared" ca="1" si="92"/>
        <v>58.222897041183444</v>
      </c>
      <c r="G678" s="19">
        <f t="shared" ca="1" si="93"/>
        <v>8.710395881655586E-2</v>
      </c>
      <c r="H678" s="27">
        <v>49.029998999999997</v>
      </c>
      <c r="I678" s="19">
        <f t="shared" si="94"/>
        <v>2.4534655489674151E-3</v>
      </c>
      <c r="J678" s="19">
        <f t="shared" ca="1" si="95"/>
        <v>4.6211165986999722E-3</v>
      </c>
      <c r="K678" s="19">
        <f t="shared" ca="1" si="96"/>
        <v>83.875815015583228</v>
      </c>
      <c r="L678" s="19">
        <f t="shared" ca="1" si="97"/>
        <v>-0.38581701558322834</v>
      </c>
      <c r="M678" s="19">
        <f t="shared" ca="1" si="98"/>
        <v>-0.29871305676667248</v>
      </c>
      <c r="AA678" s="37">
        <v>658</v>
      </c>
      <c r="AB678" s="37">
        <v>1.7776776336054614</v>
      </c>
      <c r="AC678" s="37">
        <v>2.8241345689014761</v>
      </c>
      <c r="AD678" s="37">
        <v>3.0977550890254286</v>
      </c>
    </row>
    <row r="679" spans="2:30" x14ac:dyDescent="0.3">
      <c r="B679" s="28">
        <v>43620</v>
      </c>
      <c r="C679" s="25">
        <v>40.020000000000003</v>
      </c>
      <c r="D679" s="18">
        <f t="shared" si="90"/>
        <v>5.2750312666407506E-3</v>
      </c>
      <c r="E679" s="32">
        <f t="shared" ca="1" si="91"/>
        <v>1.5284719647598253E-2</v>
      </c>
      <c r="F679" s="18">
        <f t="shared" ca="1" si="92"/>
        <v>59.201253017936175</v>
      </c>
      <c r="G679" s="19">
        <f t="shared" ca="1" si="93"/>
        <v>-0.89125201793617492</v>
      </c>
      <c r="H679" s="27">
        <v>49.040000999999997</v>
      </c>
      <c r="I679" s="19">
        <f t="shared" si="94"/>
        <v>2.0399755667943609E-4</v>
      </c>
      <c r="J679" s="19">
        <f t="shared" ca="1" si="95"/>
        <v>8.4935415320098913E-3</v>
      </c>
      <c r="K679" s="19">
        <f t="shared" ca="1" si="96"/>
        <v>84.199123765520426</v>
      </c>
      <c r="L679" s="19">
        <f t="shared" ca="1" si="97"/>
        <v>-0.70912576552042594</v>
      </c>
      <c r="M679" s="19">
        <f t="shared" ca="1" si="98"/>
        <v>-1.6003777834566009</v>
      </c>
      <c r="AA679" s="37">
        <v>659</v>
      </c>
      <c r="AB679" s="37">
        <v>1.684031901306402</v>
      </c>
      <c r="AC679" s="37">
        <v>2.8610375148934351</v>
      </c>
      <c r="AD679" s="37">
        <v>3.2161623638891412</v>
      </c>
    </row>
    <row r="680" spans="2:30" x14ac:dyDescent="0.3">
      <c r="B680" s="28">
        <v>43621</v>
      </c>
      <c r="C680" s="25">
        <v>40.009998000000003</v>
      </c>
      <c r="D680" s="18">
        <f t="shared" si="90"/>
        <v>-2.4992503748122452E-4</v>
      </c>
      <c r="E680" s="32">
        <f t="shared" ca="1" si="91"/>
        <v>-2.1762713604331625E-3</v>
      </c>
      <c r="F680" s="18">
        <f t="shared" ca="1" si="92"/>
        <v>58.183102614796866</v>
      </c>
      <c r="G680" s="19">
        <f t="shared" ca="1" si="93"/>
        <v>0.12689838520313401</v>
      </c>
      <c r="H680" s="27">
        <v>49.740001999999997</v>
      </c>
      <c r="I680" s="19">
        <f t="shared" si="94"/>
        <v>1.4274082090659057E-2</v>
      </c>
      <c r="J680" s="19">
        <f t="shared" ca="1" si="95"/>
        <v>-3.3475941345997025E-2</v>
      </c>
      <c r="K680" s="19">
        <f t="shared" ca="1" si="96"/>
        <v>80.695091723974585</v>
      </c>
      <c r="L680" s="19">
        <f t="shared" ca="1" si="97"/>
        <v>2.7949062760254151</v>
      </c>
      <c r="M680" s="19">
        <f t="shared" ca="1" si="98"/>
        <v>2.9218046612285491</v>
      </c>
      <c r="AA680" s="37">
        <v>660</v>
      </c>
      <c r="AB680" s="37">
        <v>1.6380093191793597</v>
      </c>
      <c r="AC680" s="37">
        <v>2.9780618198222992</v>
      </c>
      <c r="AD680" s="37">
        <v>3.5053035015542764</v>
      </c>
    </row>
    <row r="681" spans="2:30" x14ac:dyDescent="0.3">
      <c r="B681" s="28">
        <v>43622</v>
      </c>
      <c r="C681" s="25">
        <v>40.139999000000003</v>
      </c>
      <c r="D681" s="18">
        <f t="shared" si="90"/>
        <v>3.2492128592458425E-3</v>
      </c>
      <c r="E681" s="32">
        <f t="shared" ca="1" si="91"/>
        <v>1.6355442037971355E-3</v>
      </c>
      <c r="F681" s="18">
        <f t="shared" ca="1" si="92"/>
        <v>58.405369584158962</v>
      </c>
      <c r="G681" s="19">
        <f t="shared" ca="1" si="93"/>
        <v>-9.5368584158961767E-2</v>
      </c>
      <c r="H681" s="27">
        <v>50.32</v>
      </c>
      <c r="I681" s="19">
        <f t="shared" si="94"/>
        <v>1.1660594625629628E-2</v>
      </c>
      <c r="J681" s="19">
        <f t="shared" ca="1" si="95"/>
        <v>8.3906656268288825E-3</v>
      </c>
      <c r="K681" s="19">
        <f t="shared" ca="1" si="96"/>
        <v>84.190534656402619</v>
      </c>
      <c r="L681" s="19">
        <f t="shared" ca="1" si="97"/>
        <v>-0.70053665640261897</v>
      </c>
      <c r="M681" s="19">
        <f t="shared" ca="1" si="98"/>
        <v>-0.79590524056158074</v>
      </c>
      <c r="AA681" s="37">
        <v>661</v>
      </c>
      <c r="AB681" s="37">
        <v>1.6864107306234741</v>
      </c>
      <c r="AC681" s="37">
        <v>2.8884027147750522</v>
      </c>
      <c r="AD681" s="37">
        <v>3.2875646022076004</v>
      </c>
    </row>
    <row r="682" spans="2:30" x14ac:dyDescent="0.3">
      <c r="B682" s="28">
        <v>43623</v>
      </c>
      <c r="C682" s="25">
        <v>41.32</v>
      </c>
      <c r="D682" s="18">
        <f t="shared" si="90"/>
        <v>2.93971357597691E-2</v>
      </c>
      <c r="E682" s="32">
        <f t="shared" ca="1" si="91"/>
        <v>1.3337372424935781E-2</v>
      </c>
      <c r="F682" s="18">
        <f t="shared" ca="1" si="92"/>
        <v>59.087703199435374</v>
      </c>
      <c r="G682" s="19">
        <f t="shared" ca="1" si="93"/>
        <v>-0.77770219943537455</v>
      </c>
      <c r="H682" s="27">
        <v>50.599997999999999</v>
      </c>
      <c r="I682" s="19">
        <f t="shared" si="94"/>
        <v>5.56434817170115E-3</v>
      </c>
      <c r="J682" s="19">
        <f t="shared" ca="1" si="95"/>
        <v>-3.0618105459530125E-2</v>
      </c>
      <c r="K682" s="19">
        <f t="shared" ca="1" si="96"/>
        <v>80.933692436420046</v>
      </c>
      <c r="L682" s="19">
        <f t="shared" ca="1" si="97"/>
        <v>2.5563055635799543</v>
      </c>
      <c r="M682" s="19">
        <f t="shared" ca="1" si="98"/>
        <v>1.7786033641445798</v>
      </c>
      <c r="AA682" s="37">
        <v>662</v>
      </c>
      <c r="AB682" s="37">
        <v>1.8084174892922744</v>
      </c>
      <c r="AC682" s="37">
        <v>3.0585354790283881</v>
      </c>
      <c r="AD682" s="37">
        <v>3.3790735477830691</v>
      </c>
    </row>
    <row r="683" spans="2:30" x14ac:dyDescent="0.3">
      <c r="B683" s="28">
        <v>43626</v>
      </c>
      <c r="C683" s="25">
        <v>40.380001</v>
      </c>
      <c r="D683" s="18">
        <f t="shared" si="90"/>
        <v>-2.2749249757986423E-2</v>
      </c>
      <c r="E683" s="32">
        <f t="shared" ca="1" si="91"/>
        <v>-2.107597158671342E-2</v>
      </c>
      <c r="F683" s="18">
        <f t="shared" ca="1" si="92"/>
        <v>57.08106107570277</v>
      </c>
      <c r="G683" s="19">
        <f t="shared" ca="1" si="93"/>
        <v>1.2289399242972294</v>
      </c>
      <c r="H683" s="27">
        <v>50.439999</v>
      </c>
      <c r="I683" s="19">
        <f t="shared" si="94"/>
        <v>-3.1620356981041375E-3</v>
      </c>
      <c r="J683" s="19">
        <f t="shared" ca="1" si="95"/>
        <v>1.5270701353004812E-2</v>
      </c>
      <c r="K683" s="19">
        <f t="shared" ca="1" si="96"/>
        <v>84.764948825420973</v>
      </c>
      <c r="L683" s="19">
        <f t="shared" ca="1" si="97"/>
        <v>-1.2749508254209729</v>
      </c>
      <c r="M683" s="19">
        <f t="shared" ca="1" si="98"/>
        <v>-4.6010901123743508E-2</v>
      </c>
      <c r="AA683" s="37">
        <v>663</v>
      </c>
      <c r="AB683" s="37">
        <v>1.7578871985903726</v>
      </c>
      <c r="AC683" s="37">
        <v>2.763753470659879</v>
      </c>
      <c r="AD683" s="37">
        <v>3.4165381125662164</v>
      </c>
    </row>
    <row r="684" spans="2:30" x14ac:dyDescent="0.3">
      <c r="B684" s="28">
        <v>43627</v>
      </c>
      <c r="C684" s="25">
        <v>40.560001</v>
      </c>
      <c r="D684" s="18">
        <f t="shared" si="90"/>
        <v>4.4576521927277568E-3</v>
      </c>
      <c r="E684" s="32">
        <f t="shared" ca="1" si="91"/>
        <v>-3.5823177845984315E-2</v>
      </c>
      <c r="F684" s="18">
        <f t="shared" ca="1" si="92"/>
        <v>56.221151463977478</v>
      </c>
      <c r="G684" s="19">
        <f t="shared" ca="1" si="93"/>
        <v>2.0888495360225221</v>
      </c>
      <c r="H684" s="27">
        <v>51.349997999999999</v>
      </c>
      <c r="I684" s="19">
        <f t="shared" si="94"/>
        <v>1.8041217645543561E-2</v>
      </c>
      <c r="J684" s="19">
        <f t="shared" ca="1" si="95"/>
        <v>-3.4747346317998192E-3</v>
      </c>
      <c r="K684" s="19">
        <f t="shared" ca="1" si="96"/>
        <v>83.199892412540507</v>
      </c>
      <c r="L684" s="19">
        <f t="shared" ca="1" si="97"/>
        <v>0.29010558745949311</v>
      </c>
      <c r="M684" s="19">
        <f t="shared" ca="1" si="98"/>
        <v>2.3789551234820152</v>
      </c>
      <c r="AA684" s="37">
        <v>664</v>
      </c>
      <c r="AB684" s="37">
        <v>1.9006341606377828</v>
      </c>
      <c r="AC684" s="37">
        <v>2.7757511582638408</v>
      </c>
      <c r="AD684" s="37">
        <v>3.1325636495547262</v>
      </c>
    </row>
    <row r="685" spans="2:30" x14ac:dyDescent="0.3">
      <c r="B685" s="28">
        <v>43628</v>
      </c>
      <c r="C685" s="25">
        <v>40.189999</v>
      </c>
      <c r="D685" s="18">
        <f t="shared" si="90"/>
        <v>-9.1223370531967607E-3</v>
      </c>
      <c r="E685" s="32">
        <f t="shared" ca="1" si="91"/>
        <v>1.8753756180505933E-2</v>
      </c>
      <c r="F685" s="18">
        <f t="shared" ca="1" si="92"/>
        <v>59.403532541639059</v>
      </c>
      <c r="G685" s="19">
        <f t="shared" ca="1" si="93"/>
        <v>-1.0935315416390594</v>
      </c>
      <c r="H685" s="27">
        <v>52.73</v>
      </c>
      <c r="I685" s="19">
        <f t="shared" si="94"/>
        <v>2.6874431426462619E-2</v>
      </c>
      <c r="J685" s="19">
        <f t="shared" ca="1" si="95"/>
        <v>3.0109518836712635E-2</v>
      </c>
      <c r="K685" s="19">
        <f t="shared" ca="1" si="96"/>
        <v>86.003841667458104</v>
      </c>
      <c r="L685" s="19">
        <f t="shared" ca="1" si="97"/>
        <v>-2.5138436674581044</v>
      </c>
      <c r="M685" s="19">
        <f t="shared" ca="1" si="98"/>
        <v>-3.6073752090971638</v>
      </c>
      <c r="AA685" s="37">
        <v>665</v>
      </c>
      <c r="AB685" s="37">
        <v>1.8205401672162265</v>
      </c>
      <c r="AC685" s="37">
        <v>2.9160164418613643</v>
      </c>
      <c r="AD685" s="37">
        <v>3.2783163439058867</v>
      </c>
    </row>
    <row r="686" spans="2:30" x14ac:dyDescent="0.3">
      <c r="B686" s="28">
        <v>43629</v>
      </c>
      <c r="C686" s="25">
        <v>39.099997999999999</v>
      </c>
      <c r="D686" s="18">
        <f t="shared" si="90"/>
        <v>-2.7121199978133892E-2</v>
      </c>
      <c r="E686" s="32">
        <f t="shared" ca="1" si="91"/>
        <v>-4.3289691644642853E-3</v>
      </c>
      <c r="F686" s="18">
        <f t="shared" ca="1" si="92"/>
        <v>58.057578803691122</v>
      </c>
      <c r="G686" s="19">
        <f t="shared" ca="1" si="93"/>
        <v>0.25242219630887774</v>
      </c>
      <c r="H686" s="27">
        <v>52.490001999999997</v>
      </c>
      <c r="I686" s="19">
        <f t="shared" si="94"/>
        <v>-4.5514507870282328E-3</v>
      </c>
      <c r="J686" s="19">
        <f t="shared" ca="1" si="95"/>
        <v>-1.0265348739560785E-3</v>
      </c>
      <c r="K686" s="19">
        <f t="shared" ca="1" si="96"/>
        <v>83.404292605426477</v>
      </c>
      <c r="L686" s="19">
        <f t="shared" ca="1" si="97"/>
        <v>8.5705394573523108E-2</v>
      </c>
      <c r="M686" s="19">
        <f t="shared" ca="1" si="98"/>
        <v>0.33812759088240085</v>
      </c>
      <c r="AA686" s="37">
        <v>666</v>
      </c>
      <c r="AB686" s="37">
        <v>1.7447608749980423</v>
      </c>
      <c r="AC686" s="37">
        <v>2.8712173621049062</v>
      </c>
      <c r="AD686" s="37">
        <v>3.3516286443033376</v>
      </c>
    </row>
    <row r="687" spans="2:30" x14ac:dyDescent="0.3">
      <c r="B687" s="28">
        <v>43630</v>
      </c>
      <c r="C687" s="25">
        <v>39.599997999999999</v>
      </c>
      <c r="D687" s="18">
        <f t="shared" si="90"/>
        <v>1.2787724439269788E-2</v>
      </c>
      <c r="E687" s="32">
        <f t="shared" ca="1" si="91"/>
        <v>-2.6546268849012202E-2</v>
      </c>
      <c r="F687" s="18">
        <f t="shared" ca="1" si="92"/>
        <v>56.76208803686783</v>
      </c>
      <c r="G687" s="19">
        <f t="shared" ca="1" si="93"/>
        <v>1.5479129631321698</v>
      </c>
      <c r="H687" s="27">
        <v>50.919998</v>
      </c>
      <c r="I687" s="19">
        <f t="shared" si="94"/>
        <v>-2.9910534200398686E-2</v>
      </c>
      <c r="J687" s="19">
        <f t="shared" ca="1" si="95"/>
        <v>-1.5036443217474424E-2</v>
      </c>
      <c r="K687" s="19">
        <f t="shared" ca="1" si="96"/>
        <v>82.234605385845938</v>
      </c>
      <c r="L687" s="19">
        <f t="shared" ca="1" si="97"/>
        <v>1.2553926141540614</v>
      </c>
      <c r="M687" s="19">
        <f t="shared" ca="1" si="98"/>
        <v>2.8033055772862312</v>
      </c>
      <c r="AA687" s="37">
        <v>667</v>
      </c>
      <c r="AB687" s="37">
        <v>1.8418875864935638</v>
      </c>
      <c r="AC687" s="37">
        <v>2.7357656380425066</v>
      </c>
      <c r="AD687" s="37">
        <v>3.3829530515696624</v>
      </c>
    </row>
    <row r="688" spans="2:30" x14ac:dyDescent="0.3">
      <c r="B688" s="28">
        <v>43633</v>
      </c>
      <c r="C688" s="25">
        <v>39.939999</v>
      </c>
      <c r="D688" s="18">
        <f t="shared" si="90"/>
        <v>8.5858842720143436E-3</v>
      </c>
      <c r="E688" s="32">
        <f t="shared" ca="1" si="91"/>
        <v>-2.9453772795736157E-2</v>
      </c>
      <c r="F688" s="18">
        <f t="shared" ca="1" si="92"/>
        <v>56.592551478826856</v>
      </c>
      <c r="G688" s="19">
        <f t="shared" ca="1" si="93"/>
        <v>1.717449521173144</v>
      </c>
      <c r="H688" s="27">
        <v>50.459999000000003</v>
      </c>
      <c r="I688" s="19">
        <f t="shared" si="94"/>
        <v>-9.0337591922136085E-3</v>
      </c>
      <c r="J688" s="19">
        <f t="shared" ca="1" si="95"/>
        <v>1.8674089460014736E-2</v>
      </c>
      <c r="K688" s="19">
        <f t="shared" ca="1" si="96"/>
        <v>85.049097691668464</v>
      </c>
      <c r="L688" s="19">
        <f t="shared" ca="1" si="97"/>
        <v>-1.5590996916684645</v>
      </c>
      <c r="M688" s="19">
        <f t="shared" ca="1" si="98"/>
        <v>0.15834982950467946</v>
      </c>
      <c r="AA688" s="37">
        <v>668</v>
      </c>
      <c r="AB688" s="37">
        <v>1.9285479777977339</v>
      </c>
      <c r="AC688" s="37">
        <v>2.8972854484911004</v>
      </c>
      <c r="AD688" s="37">
        <v>3.3695145283717101</v>
      </c>
    </row>
    <row r="689" spans="2:30" x14ac:dyDescent="0.3">
      <c r="B689" s="28">
        <v>43634</v>
      </c>
      <c r="C689" s="25">
        <v>40.090000000000003</v>
      </c>
      <c r="D689" s="18">
        <f t="shared" si="90"/>
        <v>3.7556585817641874E-3</v>
      </c>
      <c r="E689" s="32">
        <f t="shared" ca="1" si="91"/>
        <v>-2.6391338900956227E-2</v>
      </c>
      <c r="F689" s="18">
        <f t="shared" ca="1" si="92"/>
        <v>56.7711220022939</v>
      </c>
      <c r="G689" s="19">
        <f t="shared" ca="1" si="93"/>
        <v>1.5388789977060995</v>
      </c>
      <c r="H689" s="27">
        <v>51.32</v>
      </c>
      <c r="I689" s="19">
        <f t="shared" si="94"/>
        <v>1.7043222692097126E-2</v>
      </c>
      <c r="J689" s="19">
        <f t="shared" ca="1" si="95"/>
        <v>1.1359128876989645E-3</v>
      </c>
      <c r="K689" s="19">
        <f t="shared" ca="1" si="96"/>
        <v>83.584835364722153</v>
      </c>
      <c r="L689" s="19">
        <f t="shared" ca="1" si="97"/>
        <v>-9.4837364722152984E-2</v>
      </c>
      <c r="M689" s="19">
        <f t="shared" ca="1" si="98"/>
        <v>1.4440416329839465</v>
      </c>
      <c r="AA689" s="37">
        <v>669</v>
      </c>
      <c r="AB689" s="37">
        <v>1.8026191573936554</v>
      </c>
      <c r="AC689" s="37">
        <v>2.8646199651849131</v>
      </c>
      <c r="AD689" s="37">
        <v>3.2982668171704539</v>
      </c>
    </row>
    <row r="690" spans="2:30" x14ac:dyDescent="0.3">
      <c r="B690" s="28">
        <v>43635</v>
      </c>
      <c r="C690" s="25">
        <v>40.75</v>
      </c>
      <c r="D690" s="18">
        <f t="shared" si="90"/>
        <v>1.6462958343726575E-2</v>
      </c>
      <c r="E690" s="32">
        <f t="shared" ca="1" si="91"/>
        <v>2.7068671696467633E-2</v>
      </c>
      <c r="F690" s="18">
        <f t="shared" ca="1" si="92"/>
        <v>59.888375273689697</v>
      </c>
      <c r="G690" s="19">
        <f t="shared" ca="1" si="93"/>
        <v>-1.5783742736896968</v>
      </c>
      <c r="H690" s="27">
        <v>50.919998</v>
      </c>
      <c r="I690" s="19">
        <f t="shared" si="94"/>
        <v>-7.7942712392828906E-3</v>
      </c>
      <c r="J690" s="19">
        <f t="shared" ca="1" si="95"/>
        <v>-4.851422012920803E-2</v>
      </c>
      <c r="K690" s="19">
        <f t="shared" ca="1" si="96"/>
        <v>79.439545858440866</v>
      </c>
      <c r="L690" s="19">
        <f t="shared" ca="1" si="97"/>
        <v>4.0504521415591341</v>
      </c>
      <c r="M690" s="19">
        <f t="shared" ca="1" si="98"/>
        <v>2.4720778678694373</v>
      </c>
      <c r="AA690" s="37">
        <v>670</v>
      </c>
      <c r="AB690" s="37">
        <v>1.823858580388825</v>
      </c>
      <c r="AC690" s="37">
        <v>2.9236857840969455</v>
      </c>
      <c r="AD690" s="37">
        <v>3.4034389312585418</v>
      </c>
    </row>
    <row r="691" spans="2:30" x14ac:dyDescent="0.3">
      <c r="B691" s="28">
        <v>43636</v>
      </c>
      <c r="C691" s="25">
        <v>40.479999999999997</v>
      </c>
      <c r="D691" s="18">
        <f t="shared" si="90"/>
        <v>-6.6257668711656725E-3</v>
      </c>
      <c r="E691" s="32">
        <f t="shared" ca="1" si="91"/>
        <v>1.6595781491831135E-2</v>
      </c>
      <c r="F691" s="18">
        <f t="shared" ca="1" si="92"/>
        <v>59.277701035384453</v>
      </c>
      <c r="G691" s="19">
        <f t="shared" ca="1" si="93"/>
        <v>-0.96770003538445337</v>
      </c>
      <c r="H691" s="27">
        <v>51.360000999999997</v>
      </c>
      <c r="I691" s="19">
        <f t="shared" si="94"/>
        <v>8.641064754165928E-3</v>
      </c>
      <c r="J691" s="19">
        <f t="shared" ca="1" si="95"/>
        <v>-1.4466654345570442E-3</v>
      </c>
      <c r="K691" s="19">
        <f t="shared" ca="1" si="96"/>
        <v>83.369215905762161</v>
      </c>
      <c r="L691" s="19">
        <f t="shared" ca="1" si="97"/>
        <v>0.12078209423783903</v>
      </c>
      <c r="M691" s="19">
        <f t="shared" ca="1" si="98"/>
        <v>-0.84691794114661434</v>
      </c>
      <c r="AA691" s="37">
        <v>671</v>
      </c>
      <c r="AB691" s="37">
        <v>1.9241560124819765</v>
      </c>
      <c r="AC691" s="37">
        <v>2.8769366701650108</v>
      </c>
      <c r="AD691" s="37">
        <v>3.227192451757483</v>
      </c>
    </row>
    <row r="692" spans="2:30" x14ac:dyDescent="0.3">
      <c r="B692" s="28">
        <v>43637</v>
      </c>
      <c r="C692" s="25">
        <v>40.020000000000003</v>
      </c>
      <c r="D692" s="18">
        <f t="shared" si="90"/>
        <v>-1.1363636363636243E-2</v>
      </c>
      <c r="E692" s="32">
        <f t="shared" ca="1" si="91"/>
        <v>1.599593307952114E-2</v>
      </c>
      <c r="F692" s="18">
        <f t="shared" ca="1" si="92"/>
        <v>59.242723873862815</v>
      </c>
      <c r="G692" s="19">
        <f t="shared" ca="1" si="93"/>
        <v>-0.93272287386281505</v>
      </c>
      <c r="H692" s="27">
        <v>50.73</v>
      </c>
      <c r="I692" s="19">
        <f t="shared" si="94"/>
        <v>-1.2266374371760591E-2</v>
      </c>
      <c r="J692" s="19">
        <f t="shared" ca="1" si="95"/>
        <v>-6.0687885545786047E-3</v>
      </c>
      <c r="K692" s="19">
        <f t="shared" ca="1" si="96"/>
        <v>82.983314855715804</v>
      </c>
      <c r="L692" s="19">
        <f t="shared" ca="1" si="97"/>
        <v>0.50668314428419592</v>
      </c>
      <c r="M692" s="19">
        <f t="shared" ca="1" si="98"/>
        <v>-0.42603972957861913</v>
      </c>
      <c r="AA692" s="37">
        <v>672</v>
      </c>
      <c r="AB692" s="37">
        <v>1.831713439629169</v>
      </c>
      <c r="AC692" s="37">
        <v>2.8517383240600451</v>
      </c>
      <c r="AD692" s="37">
        <v>3.4861303971351436</v>
      </c>
    </row>
    <row r="693" spans="2:30" x14ac:dyDescent="0.3">
      <c r="B693" s="28">
        <v>43640</v>
      </c>
      <c r="C693" s="25">
        <v>40.970001000000003</v>
      </c>
      <c r="D693" s="18">
        <f t="shared" si="90"/>
        <v>2.3738155922039095E-2</v>
      </c>
      <c r="E693" s="32">
        <f t="shared" ca="1" si="91"/>
        <v>7.4884756634756673E-3</v>
      </c>
      <c r="F693" s="18">
        <f t="shared" ca="1" si="92"/>
        <v>58.746654023425741</v>
      </c>
      <c r="G693" s="19">
        <f t="shared" ca="1" si="93"/>
        <v>-0.43665302342574108</v>
      </c>
      <c r="H693" s="27">
        <v>51.240001999999997</v>
      </c>
      <c r="I693" s="19">
        <f t="shared" si="94"/>
        <v>1.0053262369406735E-2</v>
      </c>
      <c r="J693" s="19">
        <f t="shared" ca="1" si="95"/>
        <v>1.0624999705678038E-3</v>
      </c>
      <c r="K693" s="19">
        <f t="shared" ca="1" si="96"/>
        <v>83.578706120417706</v>
      </c>
      <c r="L693" s="19">
        <f t="shared" ca="1" si="97"/>
        <v>-8.8708120417706482E-2</v>
      </c>
      <c r="M693" s="19">
        <f t="shared" ca="1" si="98"/>
        <v>-0.52536114384344756</v>
      </c>
      <c r="AA693" s="37">
        <v>673</v>
      </c>
      <c r="AB693" s="37">
        <v>1.7972581145238891</v>
      </c>
      <c r="AC693" s="37">
        <v>3.0070007616768648</v>
      </c>
      <c r="AD693" s="37">
        <v>3.2074349897052294</v>
      </c>
    </row>
    <row r="694" spans="2:30" x14ac:dyDescent="0.3">
      <c r="B694" s="28">
        <v>43641</v>
      </c>
      <c r="C694" s="25">
        <v>41.07</v>
      </c>
      <c r="D694" s="18">
        <f t="shared" si="90"/>
        <v>2.4407858813573213E-3</v>
      </c>
      <c r="E694" s="32">
        <f t="shared" ca="1" si="91"/>
        <v>1.7077229609948601E-2</v>
      </c>
      <c r="F694" s="18">
        <f t="shared" ca="1" si="92"/>
        <v>59.305774275633333</v>
      </c>
      <c r="G694" s="19">
        <f t="shared" ca="1" si="93"/>
        <v>-0.99577327563333284</v>
      </c>
      <c r="H694" s="27">
        <v>51.689999</v>
      </c>
      <c r="I694" s="19">
        <f t="shared" si="94"/>
        <v>8.782142514358382E-3</v>
      </c>
      <c r="J694" s="19">
        <f t="shared" ca="1" si="95"/>
        <v>2.2913834629589964E-2</v>
      </c>
      <c r="K694" s="19">
        <f t="shared" ca="1" si="96"/>
        <v>85.40307400739681</v>
      </c>
      <c r="L694" s="19">
        <f t="shared" ca="1" si="97"/>
        <v>-1.9130760073968105</v>
      </c>
      <c r="M694" s="19">
        <f t="shared" ca="1" si="98"/>
        <v>-2.9088492830301433</v>
      </c>
      <c r="AA694" s="37">
        <v>674</v>
      </c>
      <c r="AB694" s="37">
        <v>1.8215052123411408</v>
      </c>
      <c r="AC694" s="37">
        <v>2.934801296320845</v>
      </c>
      <c r="AD694" s="37">
        <v>3.2304097600498136</v>
      </c>
    </row>
    <row r="695" spans="2:30" x14ac:dyDescent="0.3">
      <c r="B695" s="28">
        <v>43642</v>
      </c>
      <c r="C695" s="25">
        <v>41.099997999999999</v>
      </c>
      <c r="D695" s="18">
        <f t="shared" si="90"/>
        <v>7.3041149257369042E-4</v>
      </c>
      <c r="E695" s="32">
        <f t="shared" ca="1" si="91"/>
        <v>-8.2105731095385107E-3</v>
      </c>
      <c r="F695" s="18">
        <f t="shared" ca="1" si="92"/>
        <v>57.831242473772235</v>
      </c>
      <c r="G695" s="19">
        <f t="shared" ca="1" si="93"/>
        <v>0.47875852622776449</v>
      </c>
      <c r="H695" s="27">
        <v>51.66</v>
      </c>
      <c r="I695" s="19">
        <f t="shared" si="94"/>
        <v>-5.8036371794090158E-4</v>
      </c>
      <c r="J695" s="19">
        <f t="shared" ca="1" si="95"/>
        <v>-1.5826525611958614E-3</v>
      </c>
      <c r="K695" s="19">
        <f t="shared" ca="1" si="96"/>
        <v>83.357862340831062</v>
      </c>
      <c r="L695" s="19">
        <f t="shared" ca="1" si="97"/>
        <v>0.13213565916893799</v>
      </c>
      <c r="M695" s="19">
        <f t="shared" ca="1" si="98"/>
        <v>0.61089418539670248</v>
      </c>
      <c r="AA695" s="37">
        <v>675</v>
      </c>
      <c r="AB695" s="37">
        <v>1.7050011834033538</v>
      </c>
      <c r="AC695" s="37">
        <v>2.923182198956368</v>
      </c>
      <c r="AD695" s="37">
        <v>3.1592148039650887</v>
      </c>
    </row>
    <row r="696" spans="2:30" x14ac:dyDescent="0.3">
      <c r="B696" s="28">
        <v>43643</v>
      </c>
      <c r="C696" s="25">
        <v>40.970001000000003</v>
      </c>
      <c r="D696" s="18">
        <f t="shared" si="90"/>
        <v>-3.1629441928439084E-3</v>
      </c>
      <c r="E696" s="32">
        <f t="shared" ca="1" si="91"/>
        <v>-7.2142205812319336E-3</v>
      </c>
      <c r="F696" s="18">
        <f t="shared" ca="1" si="92"/>
        <v>57.889339790694144</v>
      </c>
      <c r="G696" s="19">
        <f t="shared" ca="1" si="93"/>
        <v>0.42066120930585527</v>
      </c>
      <c r="H696" s="27">
        <v>50.290000999999997</v>
      </c>
      <c r="I696" s="19">
        <f t="shared" si="94"/>
        <v>-2.6519531552458342E-2</v>
      </c>
      <c r="J696" s="19">
        <f t="shared" ca="1" si="95"/>
        <v>3.8807156159382496E-2</v>
      </c>
      <c r="K696" s="19">
        <f t="shared" ca="1" si="96"/>
        <v>86.730007390132542</v>
      </c>
      <c r="L696" s="19">
        <f t="shared" ca="1" si="97"/>
        <v>-3.240009390132542</v>
      </c>
      <c r="M696" s="19">
        <f t="shared" ca="1" si="98"/>
        <v>-2.8193481808266867</v>
      </c>
      <c r="AA696" s="37">
        <v>676</v>
      </c>
      <c r="AB696" s="37">
        <v>1.7206372835208945</v>
      </c>
      <c r="AC696" s="37">
        <v>2.7263811154448074</v>
      </c>
      <c r="AD696" s="37">
        <v>3.3330830805838501</v>
      </c>
    </row>
    <row r="697" spans="2:30" x14ac:dyDescent="0.3">
      <c r="B697" s="28">
        <v>43644</v>
      </c>
      <c r="C697" s="25">
        <v>40.029998999999997</v>
      </c>
      <c r="D697" s="18">
        <f t="shared" si="90"/>
        <v>-2.2943665537133007E-2</v>
      </c>
      <c r="E697" s="32">
        <f t="shared" ca="1" si="91"/>
        <v>-1.1549347433409343E-2</v>
      </c>
      <c r="F697" s="18">
        <f t="shared" ca="1" si="92"/>
        <v>57.636558539608558</v>
      </c>
      <c r="G697" s="19">
        <f t="shared" ca="1" si="93"/>
        <v>0.67344246039144195</v>
      </c>
      <c r="H697" s="27">
        <v>50.970001000000003</v>
      </c>
      <c r="I697" s="19">
        <f t="shared" si="94"/>
        <v>1.3521574596906616E-2</v>
      </c>
      <c r="J697" s="19">
        <f t="shared" ca="1" si="95"/>
        <v>2.4554891794904617E-2</v>
      </c>
      <c r="K697" s="19">
        <f t="shared" ca="1" si="96"/>
        <v>85.540085866846795</v>
      </c>
      <c r="L697" s="19">
        <f t="shared" ca="1" si="97"/>
        <v>-2.0500878668467948</v>
      </c>
      <c r="M697" s="19">
        <f t="shared" ca="1" si="98"/>
        <v>-1.3766454064553528</v>
      </c>
      <c r="AA697" s="37">
        <v>677</v>
      </c>
      <c r="AB697" s="37">
        <v>1.8068583451393423</v>
      </c>
      <c r="AC697" s="37">
        <v>2.7830845030029132</v>
      </c>
      <c r="AD697" s="37">
        <v>3.4028703098720969</v>
      </c>
    </row>
    <row r="698" spans="2:30" x14ac:dyDescent="0.3">
      <c r="B698" s="28">
        <v>43647</v>
      </c>
      <c r="C698" s="25">
        <v>40.110000999999997</v>
      </c>
      <c r="D698" s="18">
        <f t="shared" si="90"/>
        <v>1.9985511366114039E-3</v>
      </c>
      <c r="E698" s="32">
        <f t="shared" ca="1" si="91"/>
        <v>-2.5664290493639261E-2</v>
      </c>
      <c r="F698" s="18">
        <f t="shared" ca="1" si="92"/>
        <v>56.813516195651601</v>
      </c>
      <c r="G698" s="19">
        <f t="shared" ca="1" si="93"/>
        <v>1.4964848043483983</v>
      </c>
      <c r="H698" s="27">
        <v>51.240001999999997</v>
      </c>
      <c r="I698" s="19">
        <f t="shared" si="94"/>
        <v>5.2972531823178848E-3</v>
      </c>
      <c r="J698" s="19">
        <f t="shared" ca="1" si="95"/>
        <v>1.5106789371394036E-2</v>
      </c>
      <c r="K698" s="19">
        <f t="shared" ca="1" si="96"/>
        <v>84.751263814404112</v>
      </c>
      <c r="L698" s="19">
        <f t="shared" ca="1" si="97"/>
        <v>-1.261265814404112</v>
      </c>
      <c r="M698" s="19">
        <f t="shared" ca="1" si="98"/>
        <v>0.23521898994428625</v>
      </c>
      <c r="AA698" s="37">
        <v>678</v>
      </c>
      <c r="AB698" s="37">
        <v>1.7939451987366315</v>
      </c>
      <c r="AC698" s="37">
        <v>2.7729269177159632</v>
      </c>
      <c r="AD698" s="37">
        <v>3.4031591736382878</v>
      </c>
    </row>
    <row r="699" spans="2:30" x14ac:dyDescent="0.3">
      <c r="B699" s="28">
        <v>43648</v>
      </c>
      <c r="C699" s="25">
        <v>40.43</v>
      </c>
      <c r="D699" s="18">
        <f t="shared" si="90"/>
        <v>7.9780352037388536E-3</v>
      </c>
      <c r="E699" s="32">
        <f t="shared" ca="1" si="91"/>
        <v>-3.2733891619649701E-2</v>
      </c>
      <c r="F699" s="18">
        <f t="shared" ca="1" si="92"/>
        <v>56.401287746924332</v>
      </c>
      <c r="G699" s="19">
        <f t="shared" ca="1" si="93"/>
        <v>1.9087132530756676</v>
      </c>
      <c r="H699" s="27">
        <v>51.32</v>
      </c>
      <c r="I699" s="19">
        <f t="shared" si="94"/>
        <v>1.5612411568601825E-3</v>
      </c>
      <c r="J699" s="19">
        <f t="shared" ca="1" si="95"/>
        <v>7.5809979909573907E-3</v>
      </c>
      <c r="K699" s="19">
        <f t="shared" ca="1" si="96"/>
        <v>84.122935507103037</v>
      </c>
      <c r="L699" s="19">
        <f t="shared" ca="1" si="97"/>
        <v>-0.63293750710303698</v>
      </c>
      <c r="M699" s="19">
        <f t="shared" ca="1" si="98"/>
        <v>1.2757757459726307</v>
      </c>
      <c r="AA699" s="37">
        <v>679</v>
      </c>
      <c r="AB699" s="37">
        <v>1.8118412457559385</v>
      </c>
      <c r="AC699" s="37">
        <v>2.9715477986716294</v>
      </c>
      <c r="AD699" s="37">
        <v>3.3399323642619225</v>
      </c>
    </row>
    <row r="700" spans="2:30" x14ac:dyDescent="0.3">
      <c r="B700" s="28">
        <v>43649</v>
      </c>
      <c r="C700" s="25">
        <v>40.5</v>
      </c>
      <c r="D700" s="18">
        <f t="shared" si="90"/>
        <v>1.7313875834776837E-3</v>
      </c>
      <c r="E700" s="32">
        <f t="shared" ca="1" si="91"/>
        <v>-1.1243702544560594E-2</v>
      </c>
      <c r="F700" s="18">
        <f t="shared" ca="1" si="92"/>
        <v>57.654380693382969</v>
      </c>
      <c r="G700" s="19">
        <f t="shared" ca="1" si="93"/>
        <v>0.65562030661703119</v>
      </c>
      <c r="H700" s="27">
        <v>51.07</v>
      </c>
      <c r="I700" s="19">
        <f t="shared" si="94"/>
        <v>-4.8713951675759537E-3</v>
      </c>
      <c r="J700" s="19">
        <f t="shared" ca="1" si="95"/>
        <v>1.6808407062252461E-2</v>
      </c>
      <c r="K700" s="19">
        <f t="shared" ca="1" si="96"/>
        <v>84.893331872010648</v>
      </c>
      <c r="L700" s="19">
        <f t="shared" ca="1" si="97"/>
        <v>-1.4033338720106485</v>
      </c>
      <c r="M700" s="19">
        <f t="shared" ca="1" si="98"/>
        <v>-0.74771356539361733</v>
      </c>
      <c r="AA700" s="37">
        <v>680</v>
      </c>
      <c r="AB700" s="37">
        <v>1.8577130978670509</v>
      </c>
      <c r="AC700" s="37">
        <v>2.8794172743852235</v>
      </c>
      <c r="AD700" s="37">
        <v>3.365576506287419</v>
      </c>
    </row>
    <row r="701" spans="2:30" x14ac:dyDescent="0.3">
      <c r="B701" s="28">
        <v>43650</v>
      </c>
      <c r="C701" s="25">
        <v>40.330002</v>
      </c>
      <c r="D701" s="18">
        <f t="shared" si="90"/>
        <v>-4.1974814814814687E-3</v>
      </c>
      <c r="E701" s="32">
        <f t="shared" ca="1" si="91"/>
        <v>-2.5954406610213393E-2</v>
      </c>
      <c r="F701" s="18">
        <f t="shared" ca="1" si="92"/>
        <v>56.796599524604048</v>
      </c>
      <c r="G701" s="19">
        <f t="shared" ca="1" si="93"/>
        <v>1.5134014753959519</v>
      </c>
      <c r="H701" s="27">
        <v>50.779998999999997</v>
      </c>
      <c r="I701" s="19">
        <f t="shared" si="94"/>
        <v>-5.6785000979049371E-3</v>
      </c>
      <c r="J701" s="19">
        <f t="shared" ca="1" si="95"/>
        <v>1.5945029431385992E-2</v>
      </c>
      <c r="K701" s="19">
        <f t="shared" ca="1" si="96"/>
        <v>84.821248475336361</v>
      </c>
      <c r="L701" s="19">
        <f t="shared" ca="1" si="97"/>
        <v>-1.3312504753363612</v>
      </c>
      <c r="M701" s="19">
        <f t="shared" ca="1" si="98"/>
        <v>0.18215100005959073</v>
      </c>
      <c r="AA701" s="37">
        <v>681</v>
      </c>
      <c r="AB701" s="37">
        <v>1.7669071952068618</v>
      </c>
      <c r="AC701" s="37">
        <v>2.9079486550384663</v>
      </c>
      <c r="AD701" s="37">
        <v>3.0338755868638128</v>
      </c>
    </row>
    <row r="702" spans="2:30" x14ac:dyDescent="0.3">
      <c r="B702" s="28">
        <v>43651</v>
      </c>
      <c r="C702" s="25">
        <v>40.25</v>
      </c>
      <c r="D702" s="18">
        <f t="shared" si="90"/>
        <v>-1.9836845036605988E-3</v>
      </c>
      <c r="E702" s="32">
        <f t="shared" ca="1" si="91"/>
        <v>-1.8982070115386857E-2</v>
      </c>
      <c r="F702" s="18">
        <f t="shared" ca="1" si="92"/>
        <v>57.203156472589718</v>
      </c>
      <c r="G702" s="19">
        <f t="shared" ca="1" si="93"/>
        <v>1.1068445274102814</v>
      </c>
      <c r="H702" s="27">
        <v>49.52</v>
      </c>
      <c r="I702" s="19">
        <f t="shared" si="94"/>
        <v>-2.4812899267682043E-2</v>
      </c>
      <c r="J702" s="19">
        <f t="shared" ca="1" si="95"/>
        <v>-1.0224605922092997E-2</v>
      </c>
      <c r="K702" s="19">
        <f t="shared" ca="1" si="96"/>
        <v>82.636345672013675</v>
      </c>
      <c r="L702" s="19">
        <f t="shared" ca="1" si="97"/>
        <v>0.85365232798632462</v>
      </c>
      <c r="M702" s="19">
        <f t="shared" ca="1" si="98"/>
        <v>1.960496855396606</v>
      </c>
      <c r="AA702" s="37">
        <v>682</v>
      </c>
      <c r="AB702" s="37">
        <v>1.7523343315461024</v>
      </c>
      <c r="AC702" s="37">
        <v>2.8992636350112218</v>
      </c>
      <c r="AD702" s="37">
        <v>3.3472410043019742</v>
      </c>
    </row>
    <row r="703" spans="2:30" x14ac:dyDescent="0.3">
      <c r="B703" s="28">
        <v>43654</v>
      </c>
      <c r="C703" s="25">
        <v>40.060001</v>
      </c>
      <c r="D703" s="18">
        <f t="shared" si="90"/>
        <v>-4.7204720496893948E-3</v>
      </c>
      <c r="E703" s="32">
        <f t="shared" ca="1" si="91"/>
        <v>1.5836082177876437E-2</v>
      </c>
      <c r="F703" s="18">
        <f t="shared" ca="1" si="92"/>
        <v>59.233402967628059</v>
      </c>
      <c r="G703" s="19">
        <f t="shared" ca="1" si="93"/>
        <v>-0.92340196762805959</v>
      </c>
      <c r="H703" s="27">
        <v>51.110000999999997</v>
      </c>
      <c r="I703" s="19">
        <f t="shared" si="94"/>
        <v>3.2108259289175933E-2</v>
      </c>
      <c r="J703" s="19">
        <f t="shared" ca="1" si="95"/>
        <v>-2.7261570920820669E-2</v>
      </c>
      <c r="K703" s="19">
        <f t="shared" ca="1" si="96"/>
        <v>81.213929498343816</v>
      </c>
      <c r="L703" s="19">
        <f t="shared" ca="1" si="97"/>
        <v>2.2760685016561837</v>
      </c>
      <c r="M703" s="19">
        <f t="shared" ca="1" si="98"/>
        <v>1.3526665340281241</v>
      </c>
      <c r="AA703" s="37">
        <v>683</v>
      </c>
      <c r="AB703" s="37">
        <v>1.8284713242248092</v>
      </c>
      <c r="AC703" s="37">
        <v>3.0081546449932142</v>
      </c>
      <c r="AD703" s="37">
        <v>3.4134245159612289</v>
      </c>
    </row>
    <row r="704" spans="2:30" x14ac:dyDescent="0.3">
      <c r="B704" s="28">
        <v>43655</v>
      </c>
      <c r="C704" s="25">
        <v>40.07</v>
      </c>
      <c r="D704" s="18">
        <f t="shared" si="90"/>
        <v>2.4960059287071346E-4</v>
      </c>
      <c r="E704" s="32">
        <f t="shared" ca="1" si="91"/>
        <v>-2.1162569317442228E-2</v>
      </c>
      <c r="F704" s="18">
        <f t="shared" ca="1" si="92"/>
        <v>57.076011561937378</v>
      </c>
      <c r="G704" s="19">
        <f t="shared" ca="1" si="93"/>
        <v>1.233989438062622</v>
      </c>
      <c r="H704" s="27">
        <v>49.310001</v>
      </c>
      <c r="I704" s="19">
        <f t="shared" si="94"/>
        <v>-3.5218156227388775E-2</v>
      </c>
      <c r="J704" s="19">
        <f t="shared" ca="1" si="95"/>
        <v>2.3444222329212554E-2</v>
      </c>
      <c r="K704" s="19">
        <f t="shared" ca="1" si="96"/>
        <v>85.447356075377513</v>
      </c>
      <c r="L704" s="19">
        <f t="shared" ca="1" si="97"/>
        <v>-1.9573580753775133</v>
      </c>
      <c r="M704" s="19">
        <f t="shared" ca="1" si="98"/>
        <v>-0.72336863731489132</v>
      </c>
      <c r="AA704" s="37">
        <v>684</v>
      </c>
      <c r="AB704" s="37">
        <v>1.8617929236528381</v>
      </c>
      <c r="AC704" s="37">
        <v>2.9440646369989039</v>
      </c>
      <c r="AD704" s="37">
        <v>3.0305218606254023</v>
      </c>
    </row>
    <row r="705" spans="2:30" x14ac:dyDescent="0.3">
      <c r="B705" s="28">
        <v>43656</v>
      </c>
      <c r="C705" s="25">
        <v>40.009998000000003</v>
      </c>
      <c r="D705" s="18">
        <f t="shared" si="90"/>
        <v>-1.4974294983777225E-3</v>
      </c>
      <c r="E705" s="32">
        <f t="shared" ca="1" si="91"/>
        <v>-6.1368332469108246E-3</v>
      </c>
      <c r="F705" s="18">
        <f t="shared" ca="1" si="92"/>
        <v>57.952162247235798</v>
      </c>
      <c r="G705" s="19">
        <f t="shared" ca="1" si="93"/>
        <v>0.35783875276420218</v>
      </c>
      <c r="H705" s="27">
        <v>49.240001999999997</v>
      </c>
      <c r="I705" s="19">
        <f t="shared" si="94"/>
        <v>-1.4195700381348653E-3</v>
      </c>
      <c r="J705" s="19">
        <f t="shared" ca="1" si="95"/>
        <v>-8.0731691701622244E-3</v>
      </c>
      <c r="K705" s="19">
        <f t="shared" ca="1" si="96"/>
        <v>82.815969122129502</v>
      </c>
      <c r="L705" s="19">
        <f t="shared" ca="1" si="97"/>
        <v>0.67402887787049792</v>
      </c>
      <c r="M705" s="19">
        <f t="shared" ca="1" si="98"/>
        <v>1.0318676306347001</v>
      </c>
      <c r="AA705" s="37">
        <v>685</v>
      </c>
      <c r="AB705" s="37">
        <v>1.854294663570806</v>
      </c>
      <c r="AC705" s="37">
        <v>2.9799793469179283</v>
      </c>
      <c r="AD705" s="37">
        <v>3.1571735670137921</v>
      </c>
    </row>
    <row r="706" spans="2:30" x14ac:dyDescent="0.3">
      <c r="B706" s="28">
        <v>43657</v>
      </c>
      <c r="C706" s="25">
        <v>40.369999</v>
      </c>
      <c r="D706" s="18">
        <f t="shared" si="90"/>
        <v>8.997776005887248E-3</v>
      </c>
      <c r="E706" s="32">
        <f t="shared" ca="1" si="91"/>
        <v>1.5620765689082368E-2</v>
      </c>
      <c r="F706" s="18">
        <f t="shared" ca="1" si="92"/>
        <v>59.220847862951153</v>
      </c>
      <c r="G706" s="19">
        <f t="shared" ca="1" si="93"/>
        <v>-0.91084686295115347</v>
      </c>
      <c r="H706" s="27">
        <v>48.220001000000003</v>
      </c>
      <c r="I706" s="19">
        <f t="shared" si="94"/>
        <v>-2.0714885429939489E-2</v>
      </c>
      <c r="J706" s="19">
        <f t="shared" ca="1" si="95"/>
        <v>1.342191363411515E-2</v>
      </c>
      <c r="K706" s="19">
        <f t="shared" ca="1" si="96"/>
        <v>84.61059354246845</v>
      </c>
      <c r="L706" s="19">
        <f t="shared" ca="1" si="97"/>
        <v>-1.1205955424684504</v>
      </c>
      <c r="M706" s="19">
        <f t="shared" ca="1" si="98"/>
        <v>-2.0314424054196039</v>
      </c>
      <c r="AA706" s="37">
        <v>686</v>
      </c>
      <c r="AB706" s="37">
        <v>1.7603700596877541</v>
      </c>
      <c r="AC706" s="37">
        <v>2.8309813873523377</v>
      </c>
      <c r="AD706" s="37">
        <v>3.4097315106296002</v>
      </c>
    </row>
    <row r="707" spans="2:30" x14ac:dyDescent="0.3">
      <c r="B707" s="28">
        <v>43658</v>
      </c>
      <c r="C707" s="25">
        <v>40.310001</v>
      </c>
      <c r="D707" s="18">
        <f t="shared" si="90"/>
        <v>-1.4862026625267477E-3</v>
      </c>
      <c r="E707" s="32">
        <f t="shared" ca="1" si="91"/>
        <v>-3.047611604890943E-2</v>
      </c>
      <c r="F707" s="18">
        <f t="shared" ca="1" si="92"/>
        <v>56.532938642711976</v>
      </c>
      <c r="G707" s="19">
        <f t="shared" ca="1" si="93"/>
        <v>1.777062357288024</v>
      </c>
      <c r="H707" s="27">
        <v>47.869999</v>
      </c>
      <c r="I707" s="19">
        <f t="shared" si="94"/>
        <v>-7.2584403306006351E-3</v>
      </c>
      <c r="J707" s="19">
        <f t="shared" ca="1" si="95"/>
        <v>3.2690485982988515E-2</v>
      </c>
      <c r="K707" s="19">
        <f t="shared" ca="1" si="96"/>
        <v>86.219326609338751</v>
      </c>
      <c r="L707" s="19">
        <f t="shared" ca="1" si="97"/>
        <v>-2.7293286093387508</v>
      </c>
      <c r="M707" s="19">
        <f t="shared" ca="1" si="98"/>
        <v>-0.95226625205072679</v>
      </c>
      <c r="AA707" s="37">
        <v>687</v>
      </c>
      <c r="AB707" s="37">
        <v>1.7091697561934871</v>
      </c>
      <c r="AC707" s="37">
        <v>2.8734977496473615</v>
      </c>
      <c r="AD707" s="37">
        <v>3.2679195596742163</v>
      </c>
    </row>
    <row r="708" spans="2:30" x14ac:dyDescent="0.3">
      <c r="B708" s="28">
        <v>43661</v>
      </c>
      <c r="C708" s="25">
        <v>40.509998000000003</v>
      </c>
      <c r="D708" s="18">
        <f t="shared" si="90"/>
        <v>4.9614734566740815E-3</v>
      </c>
      <c r="E708" s="32">
        <f t="shared" ca="1" si="91"/>
        <v>1.3222534592541326E-2</v>
      </c>
      <c r="F708" s="18">
        <f t="shared" ca="1" si="92"/>
        <v>59.081007005313623</v>
      </c>
      <c r="G708" s="19">
        <f t="shared" ca="1" si="93"/>
        <v>-0.77100600531362318</v>
      </c>
      <c r="H708" s="27">
        <v>47.07</v>
      </c>
      <c r="I708" s="19">
        <f t="shared" si="94"/>
        <v>-1.6711907597909081E-2</v>
      </c>
      <c r="J708" s="19">
        <f t="shared" ca="1" si="95"/>
        <v>2.1497439225415041E-2</v>
      </c>
      <c r="K708" s="19">
        <f t="shared" ca="1" si="96"/>
        <v>85.284819157935019</v>
      </c>
      <c r="L708" s="19">
        <f t="shared" ca="1" si="97"/>
        <v>-1.7948211579350186</v>
      </c>
      <c r="M708" s="19">
        <f t="shared" ca="1" si="98"/>
        <v>-2.5658271632486418</v>
      </c>
      <c r="AA708" s="37">
        <v>688</v>
      </c>
      <c r="AB708" s="37">
        <v>1.8247845352668206</v>
      </c>
      <c r="AC708" s="37">
        <v>2.7415946110241136</v>
      </c>
      <c r="AD708" s="37">
        <v>3.2345962724435871</v>
      </c>
    </row>
    <row r="709" spans="2:30" x14ac:dyDescent="0.3">
      <c r="B709" s="28">
        <v>43662</v>
      </c>
      <c r="C709" s="25">
        <v>40.470001000000003</v>
      </c>
      <c r="D709" s="18">
        <f t="shared" si="90"/>
        <v>-9.8733650887861124E-4</v>
      </c>
      <c r="E709" s="32">
        <f t="shared" ca="1" si="91"/>
        <v>-1.9424127179533689E-2</v>
      </c>
      <c r="F709" s="18">
        <f t="shared" ca="1" si="92"/>
        <v>57.177380124737262</v>
      </c>
      <c r="G709" s="19">
        <f t="shared" ca="1" si="93"/>
        <v>1.132620875262738</v>
      </c>
      <c r="H709" s="27">
        <v>47.040000999999997</v>
      </c>
      <c r="I709" s="19">
        <f t="shared" si="94"/>
        <v>-6.3732738474620021E-4</v>
      </c>
      <c r="J709" s="19">
        <f t="shared" ca="1" si="95"/>
        <v>-1.1477524010586703E-2</v>
      </c>
      <c r="K709" s="19">
        <f t="shared" ca="1" si="96"/>
        <v>82.531739543311161</v>
      </c>
      <c r="L709" s="19">
        <f t="shared" ca="1" si="97"/>
        <v>0.95825845668883858</v>
      </c>
      <c r="M709" s="19">
        <f t="shared" ca="1" si="98"/>
        <v>2.0908793319515766</v>
      </c>
      <c r="AA709" s="37">
        <v>689</v>
      </c>
      <c r="AB709" s="37">
        <v>1.6359044036246859</v>
      </c>
      <c r="AC709" s="37">
        <v>2.7347874696100618</v>
      </c>
      <c r="AD709" s="37">
        <v>3.2148474460293235</v>
      </c>
    </row>
    <row r="710" spans="2:30" x14ac:dyDescent="0.3">
      <c r="B710" s="28">
        <v>43663</v>
      </c>
      <c r="C710" s="25">
        <v>40.759998000000003</v>
      </c>
      <c r="D710" s="18">
        <f t="shared" si="90"/>
        <v>7.1657275224679129E-3</v>
      </c>
      <c r="E710" s="32">
        <f t="shared" ca="1" si="91"/>
        <v>1.6335413996479912E-2</v>
      </c>
      <c r="F710" s="18">
        <f t="shared" ca="1" si="92"/>
        <v>59.262519006470164</v>
      </c>
      <c r="G710" s="19">
        <f t="shared" ca="1" si="93"/>
        <v>-0.95251800647016438</v>
      </c>
      <c r="H710" s="27">
        <v>45.049999</v>
      </c>
      <c r="I710" s="19">
        <f t="shared" si="94"/>
        <v>-4.2304463386384605E-2</v>
      </c>
      <c r="J710" s="19">
        <f t="shared" ca="1" si="95"/>
        <v>1.3803531091418297E-2</v>
      </c>
      <c r="K710" s="19">
        <f t="shared" ca="1" si="96"/>
        <v>84.642454783215442</v>
      </c>
      <c r="L710" s="19">
        <f t="shared" ca="1" si="97"/>
        <v>-1.1524567832154418</v>
      </c>
      <c r="M710" s="19">
        <f t="shared" ca="1" si="98"/>
        <v>-2.1049747896856061</v>
      </c>
      <c r="AA710" s="37">
        <v>690</v>
      </c>
      <c r="AB710" s="37">
        <v>1.8636367387766508</v>
      </c>
      <c r="AC710" s="37">
        <v>2.7954990302437648</v>
      </c>
      <c r="AD710" s="37">
        <v>3.1662775216252199</v>
      </c>
    </row>
    <row r="711" spans="2:30" x14ac:dyDescent="0.3">
      <c r="B711" s="28">
        <v>43664</v>
      </c>
      <c r="C711" s="25">
        <v>40.900002000000001</v>
      </c>
      <c r="D711" s="18">
        <f t="shared" si="90"/>
        <v>3.434838245085281E-3</v>
      </c>
      <c r="E711" s="32">
        <f t="shared" ca="1" si="91"/>
        <v>-7.5395661214865389E-3</v>
      </c>
      <c r="F711" s="18">
        <f t="shared" ca="1" si="92"/>
        <v>57.870368891916556</v>
      </c>
      <c r="G711" s="19">
        <f t="shared" ca="1" si="93"/>
        <v>0.439632108083444</v>
      </c>
      <c r="H711" s="27">
        <v>43</v>
      </c>
      <c r="I711" s="19">
        <f t="shared" si="94"/>
        <v>-4.5504973263151505E-2</v>
      </c>
      <c r="J711" s="19">
        <f t="shared" ca="1" si="95"/>
        <v>1.549056401872476E-2</v>
      </c>
      <c r="K711" s="19">
        <f t="shared" ca="1" si="96"/>
        <v>84.783305158942213</v>
      </c>
      <c r="L711" s="19">
        <f t="shared" ca="1" si="97"/>
        <v>-1.2933071589422127</v>
      </c>
      <c r="M711" s="19">
        <f t="shared" ca="1" si="98"/>
        <v>-0.85367505085876871</v>
      </c>
      <c r="AA711" s="37">
        <v>691</v>
      </c>
      <c r="AB711" s="37">
        <v>1.8495610784058427</v>
      </c>
      <c r="AC711" s="37">
        <v>2.7871557225500507</v>
      </c>
      <c r="AD711" s="37">
        <v>3.2268365434569986</v>
      </c>
    </row>
    <row r="712" spans="2:30" x14ac:dyDescent="0.3">
      <c r="B712" s="28">
        <v>43665</v>
      </c>
      <c r="C712" s="25">
        <v>40.380001</v>
      </c>
      <c r="D712" s="18">
        <f t="shared" ref="D712:D775" si="99">C712/C711-1</f>
        <v>-1.2713960258486035E-2</v>
      </c>
      <c r="E712" s="32">
        <f t="shared" ref="E712:E775" ca="1" si="100">NORMINV(RAND(),$E$3,$E$4)</f>
        <v>2.4258602553159644E-2</v>
      </c>
      <c r="F712" s="18">
        <f t="shared" ref="F712:F775" ca="1" si="101">$C$1261*(1+E712)</f>
        <v>59.724520139133347</v>
      </c>
      <c r="G712" s="19">
        <f t="shared" ref="G712:G775" ca="1" si="102">$C$1261-F712</f>
        <v>-1.4145191391333469</v>
      </c>
      <c r="H712" s="27">
        <v>43.540000999999997</v>
      </c>
      <c r="I712" s="19">
        <f t="shared" ref="I712:I775" si="103">H712/H711-1</f>
        <v>1.2558162790697658E-2</v>
      </c>
      <c r="J712" s="19">
        <f t="shared" ref="J712:J775" ca="1" si="104">NORMINV(RAND(),$J$3,$J$4)</f>
        <v>-9.1514186178954047E-3</v>
      </c>
      <c r="K712" s="19">
        <f t="shared" ref="K712:K775" ca="1" si="105">$H$1261*(1+J712)</f>
        <v>82.725946077894747</v>
      </c>
      <c r="L712" s="19">
        <f t="shared" ref="L712:L775" ca="1" si="106">$H$1261-K712</f>
        <v>0.76405192210525286</v>
      </c>
      <c r="M712" s="19">
        <f t="shared" ref="M712:M775" ca="1" si="107">SUM(G712,L712)</f>
        <v>-0.65046721702809407</v>
      </c>
      <c r="AA712" s="37">
        <v>692</v>
      </c>
      <c r="AB712" s="37">
        <v>1.7698972603923755</v>
      </c>
      <c r="AC712" s="37">
        <v>3.0226291782353756</v>
      </c>
      <c r="AD712" s="37">
        <v>3.2799230109238655</v>
      </c>
    </row>
    <row r="713" spans="2:30" x14ac:dyDescent="0.3">
      <c r="B713" s="28">
        <v>43668</v>
      </c>
      <c r="C713" s="25">
        <v>39.740001999999997</v>
      </c>
      <c r="D713" s="18">
        <f t="shared" si="99"/>
        <v>-1.5849405253853366E-2</v>
      </c>
      <c r="E713" s="32">
        <f t="shared" ca="1" si="100"/>
        <v>-2.2030501832903469E-2</v>
      </c>
      <c r="F713" s="18">
        <f t="shared" ca="1" si="101"/>
        <v>57.025402416092895</v>
      </c>
      <c r="G713" s="19">
        <f t="shared" ca="1" si="102"/>
        <v>1.2845985839071048</v>
      </c>
      <c r="H713" s="27">
        <v>43.549999</v>
      </c>
      <c r="I713" s="19">
        <f t="shared" si="103"/>
        <v>2.2962792306779889E-4</v>
      </c>
      <c r="J713" s="19">
        <f t="shared" ca="1" si="104"/>
        <v>-3.8595345734446847E-2</v>
      </c>
      <c r="K713" s="19">
        <f t="shared" ca="1" si="105"/>
        <v>80.26767266182172</v>
      </c>
      <c r="L713" s="19">
        <f t="shared" ca="1" si="106"/>
        <v>3.2223253381782797</v>
      </c>
      <c r="M713" s="19">
        <f t="shared" ca="1" si="107"/>
        <v>4.5069239220853845</v>
      </c>
      <c r="AA713" s="37">
        <v>693</v>
      </c>
      <c r="AB713" s="37">
        <v>1.7624528229940675</v>
      </c>
      <c r="AC713" s="37">
        <v>2.7364144018951202</v>
      </c>
      <c r="AD713" s="37">
        <v>3.4312991532840575</v>
      </c>
    </row>
    <row r="714" spans="2:30" x14ac:dyDescent="0.3">
      <c r="B714" s="28">
        <v>43669</v>
      </c>
      <c r="C714" s="25">
        <v>36.25</v>
      </c>
      <c r="D714" s="18">
        <f t="shared" si="99"/>
        <v>-8.7820881337650647E-2</v>
      </c>
      <c r="E714" s="32">
        <f t="shared" ca="1" si="100"/>
        <v>1.825975375594423E-3</v>
      </c>
      <c r="F714" s="18">
        <f t="shared" ca="1" si="101"/>
        <v>58.416473625976892</v>
      </c>
      <c r="G714" s="19">
        <f t="shared" ca="1" si="102"/>
        <v>-0.10647262597689178</v>
      </c>
      <c r="H714" s="27">
        <v>44.049999</v>
      </c>
      <c r="I714" s="19">
        <f t="shared" si="103"/>
        <v>1.1481056520805E-2</v>
      </c>
      <c r="J714" s="19">
        <f t="shared" ca="1" si="104"/>
        <v>3.804002749974459E-2</v>
      </c>
      <c r="K714" s="19">
        <f t="shared" ca="1" si="105"/>
        <v>86.665959819873621</v>
      </c>
      <c r="L714" s="19">
        <f t="shared" ca="1" si="106"/>
        <v>-3.1759618198736206</v>
      </c>
      <c r="M714" s="19">
        <f t="shared" ca="1" si="107"/>
        <v>-3.2824344458505124</v>
      </c>
      <c r="AA714" s="37">
        <v>694</v>
      </c>
      <c r="AB714" s="37">
        <v>1.7841649789300773</v>
      </c>
      <c r="AC714" s="37">
        <v>2.801634019317925</v>
      </c>
      <c r="AD714" s="37">
        <v>3.3201496868425422</v>
      </c>
    </row>
    <row r="715" spans="2:30" x14ac:dyDescent="0.3">
      <c r="B715" s="28">
        <v>43670</v>
      </c>
      <c r="C715" s="25">
        <v>36.689999</v>
      </c>
      <c r="D715" s="18">
        <f t="shared" si="99"/>
        <v>1.2137903448275811E-2</v>
      </c>
      <c r="E715" s="32">
        <f t="shared" ca="1" si="100"/>
        <v>9.3254447314408025E-3</v>
      </c>
      <c r="F715" s="18">
        <f t="shared" ca="1" si="101"/>
        <v>58.853767691615758</v>
      </c>
      <c r="G715" s="19">
        <f t="shared" ca="1" si="102"/>
        <v>-0.54376669161575819</v>
      </c>
      <c r="H715" s="27">
        <v>45.299999</v>
      </c>
      <c r="I715" s="19">
        <f t="shared" si="103"/>
        <v>2.8376845139088447E-2</v>
      </c>
      <c r="J715" s="19">
        <f t="shared" ca="1" si="104"/>
        <v>-3.6354135353796779E-2</v>
      </c>
      <c r="K715" s="19">
        <f t="shared" ca="1" si="105"/>
        <v>80.454791312019779</v>
      </c>
      <c r="L715" s="19">
        <f t="shared" ca="1" si="106"/>
        <v>3.0352066879802209</v>
      </c>
      <c r="M715" s="19">
        <f t="shared" ca="1" si="107"/>
        <v>2.4914399963644627</v>
      </c>
      <c r="AA715" s="37">
        <v>695</v>
      </c>
      <c r="AB715" s="37">
        <v>1.794142173250816</v>
      </c>
      <c r="AC715" s="37">
        <v>2.7436981697807945</v>
      </c>
      <c r="AD715" s="37">
        <v>3.2064315851770253</v>
      </c>
    </row>
    <row r="716" spans="2:30" x14ac:dyDescent="0.3">
      <c r="B716" s="28">
        <v>43671</v>
      </c>
      <c r="C716" s="25">
        <v>36.279998999999997</v>
      </c>
      <c r="D716" s="18">
        <f t="shared" si="99"/>
        <v>-1.1174707309204446E-2</v>
      </c>
      <c r="E716" s="32">
        <f t="shared" ca="1" si="100"/>
        <v>1.9611181312157177E-2</v>
      </c>
      <c r="F716" s="18">
        <f t="shared" ca="1" si="101"/>
        <v>59.453529001923059</v>
      </c>
      <c r="G716" s="19">
        <f t="shared" ca="1" si="102"/>
        <v>-1.1435280019230589</v>
      </c>
      <c r="H716" s="27">
        <v>46.669998</v>
      </c>
      <c r="I716" s="19">
        <f t="shared" si="103"/>
        <v>3.0242804199620332E-2</v>
      </c>
      <c r="J716" s="19">
        <f t="shared" ca="1" si="104"/>
        <v>2.4571718753033812E-2</v>
      </c>
      <c r="K716" s="19">
        <f t="shared" ca="1" si="105"/>
        <v>85.541490749547364</v>
      </c>
      <c r="L716" s="19">
        <f t="shared" ca="1" si="106"/>
        <v>-2.0514927495473643</v>
      </c>
      <c r="M716" s="19">
        <f t="shared" ca="1" si="107"/>
        <v>-3.1950207514704232</v>
      </c>
      <c r="AA716" s="37">
        <v>696</v>
      </c>
      <c r="AB716" s="37">
        <v>1.8179068722887328</v>
      </c>
      <c r="AC716" s="37">
        <v>2.7977217610259228</v>
      </c>
      <c r="AD716" s="37">
        <v>3.3437028235307902</v>
      </c>
    </row>
    <row r="717" spans="2:30" x14ac:dyDescent="0.3">
      <c r="B717" s="28">
        <v>43672</v>
      </c>
      <c r="C717" s="25">
        <v>36.82</v>
      </c>
      <c r="D717" s="18">
        <f t="shared" si="99"/>
        <v>1.4884261711253233E-2</v>
      </c>
      <c r="E717" s="32">
        <f t="shared" ca="1" si="100"/>
        <v>1.0394071891137596E-3</v>
      </c>
      <c r="F717" s="18">
        <f t="shared" ca="1" si="101"/>
        <v>58.370608834236634</v>
      </c>
      <c r="G717" s="19">
        <f t="shared" ca="1" si="102"/>
        <v>-6.0607834236634517E-2</v>
      </c>
      <c r="H717" s="27">
        <v>46.52</v>
      </c>
      <c r="I717" s="19">
        <f t="shared" si="103"/>
        <v>-3.2140134224989403E-3</v>
      </c>
      <c r="J717" s="19">
        <f t="shared" ca="1" si="104"/>
        <v>-1.7745661800127096E-2</v>
      </c>
      <c r="K717" s="19">
        <f t="shared" ca="1" si="105"/>
        <v>82.008412731798714</v>
      </c>
      <c r="L717" s="19">
        <f t="shared" ca="1" si="106"/>
        <v>1.481585268201286</v>
      </c>
      <c r="M717" s="19">
        <f t="shared" ca="1" si="107"/>
        <v>1.4209774339646515</v>
      </c>
      <c r="AA717" s="37">
        <v>697</v>
      </c>
      <c r="AB717" s="37">
        <v>1.7720834590269421</v>
      </c>
      <c r="AC717" s="37">
        <v>2.8575959659868353</v>
      </c>
      <c r="AD717" s="37">
        <v>3.4715666963466698</v>
      </c>
    </row>
    <row r="718" spans="2:30" x14ac:dyDescent="0.3">
      <c r="B718" s="28">
        <v>43675</v>
      </c>
      <c r="C718" s="25">
        <v>36.380001</v>
      </c>
      <c r="D718" s="18">
        <f t="shared" si="99"/>
        <v>-1.1950000000000016E-2</v>
      </c>
      <c r="E718" s="32">
        <f t="shared" ca="1" si="100"/>
        <v>-7.9532723681967621E-3</v>
      </c>
      <c r="F718" s="18">
        <f t="shared" ca="1" si="101"/>
        <v>57.846245680257177</v>
      </c>
      <c r="G718" s="19">
        <f t="shared" ca="1" si="102"/>
        <v>0.46375531974282325</v>
      </c>
      <c r="H718" s="27">
        <v>46.919998</v>
      </c>
      <c r="I718" s="19">
        <f t="shared" si="103"/>
        <v>8.59840928632849E-3</v>
      </c>
      <c r="J718" s="19">
        <f t="shared" ca="1" si="104"/>
        <v>2.6470767247239433E-2</v>
      </c>
      <c r="K718" s="19">
        <f t="shared" ca="1" si="105"/>
        <v>85.700042304530498</v>
      </c>
      <c r="L718" s="19">
        <f t="shared" ca="1" si="106"/>
        <v>-2.2100443045304985</v>
      </c>
      <c r="M718" s="19">
        <f t="shared" ca="1" si="107"/>
        <v>-1.7462889847876752</v>
      </c>
      <c r="AA718" s="37">
        <v>698</v>
      </c>
      <c r="AB718" s="37">
        <v>1.8486482020678174</v>
      </c>
      <c r="AC718" s="37">
        <v>2.8369844623061704</v>
      </c>
      <c r="AD718" s="37">
        <v>3.3286334662344568</v>
      </c>
    </row>
    <row r="719" spans="2:30" x14ac:dyDescent="0.3">
      <c r="B719" s="28">
        <v>43676</v>
      </c>
      <c r="C719" s="25">
        <v>36.610000999999997</v>
      </c>
      <c r="D719" s="18">
        <f t="shared" si="99"/>
        <v>6.3221548564551533E-3</v>
      </c>
      <c r="E719" s="32">
        <f t="shared" ca="1" si="100"/>
        <v>-1.1379909506733954E-3</v>
      </c>
      <c r="F719" s="18">
        <f t="shared" ca="1" si="101"/>
        <v>58.243644746528247</v>
      </c>
      <c r="G719" s="19">
        <f t="shared" ca="1" si="102"/>
        <v>6.635625347175278E-2</v>
      </c>
      <c r="H719" s="27">
        <v>46.049999</v>
      </c>
      <c r="I719" s="19">
        <f t="shared" si="103"/>
        <v>-1.8542178965992306E-2</v>
      </c>
      <c r="J719" s="19">
        <f t="shared" ca="1" si="104"/>
        <v>2.3786701108407027E-2</v>
      </c>
      <c r="K719" s="19">
        <f t="shared" ca="1" si="105"/>
        <v>85.475949627967495</v>
      </c>
      <c r="L719" s="19">
        <f t="shared" ca="1" si="106"/>
        <v>-1.9859516279674949</v>
      </c>
      <c r="M719" s="19">
        <f t="shared" ca="1" si="107"/>
        <v>-1.9195953744957421</v>
      </c>
      <c r="AA719" s="37">
        <v>699</v>
      </c>
      <c r="AB719" s="37">
        <v>1.7638067800278343</v>
      </c>
      <c r="AC719" s="37">
        <v>2.8557829687557468</v>
      </c>
      <c r="AD719" s="37">
        <v>3.0768412314434914</v>
      </c>
    </row>
    <row r="720" spans="2:30" x14ac:dyDescent="0.3">
      <c r="B720" s="28">
        <v>43677</v>
      </c>
      <c r="C720" s="25">
        <v>36.5</v>
      </c>
      <c r="D720" s="18">
        <f t="shared" si="99"/>
        <v>-3.0046707728851318E-3</v>
      </c>
      <c r="E720" s="32">
        <f t="shared" ca="1" si="100"/>
        <v>2.775272476442138E-2</v>
      </c>
      <c r="F720" s="18">
        <f t="shared" ca="1" si="101"/>
        <v>59.928262408766138</v>
      </c>
      <c r="G720" s="19">
        <f t="shared" ca="1" si="102"/>
        <v>-1.6182614087661378</v>
      </c>
      <c r="H720" s="27">
        <v>46.889999000000003</v>
      </c>
      <c r="I720" s="19">
        <f t="shared" si="103"/>
        <v>1.8241042741390823E-2</v>
      </c>
      <c r="J720" s="19">
        <f t="shared" ca="1" si="104"/>
        <v>-1.3398995660064901E-2</v>
      </c>
      <c r="K720" s="19">
        <f t="shared" ca="1" si="105"/>
        <v>82.371315879139175</v>
      </c>
      <c r="L720" s="19">
        <f t="shared" ca="1" si="106"/>
        <v>1.1186821208608251</v>
      </c>
      <c r="M720" s="19">
        <f t="shared" ca="1" si="107"/>
        <v>-0.4995792879053127</v>
      </c>
      <c r="AA720" s="37">
        <v>700</v>
      </c>
      <c r="AB720" s="37">
        <v>1.8276458597271774</v>
      </c>
      <c r="AC720" s="37">
        <v>2.9478743897739017</v>
      </c>
      <c r="AD720" s="37">
        <v>3.3470866850284864</v>
      </c>
    </row>
    <row r="721" spans="2:30" x14ac:dyDescent="0.3">
      <c r="B721" s="28">
        <v>43678</v>
      </c>
      <c r="C721" s="25">
        <v>35.709999000000003</v>
      </c>
      <c r="D721" s="18">
        <f t="shared" si="99"/>
        <v>-2.1643863013698583E-2</v>
      </c>
      <c r="E721" s="32">
        <f t="shared" ca="1" si="100"/>
        <v>3.8173007779862433E-2</v>
      </c>
      <c r="F721" s="18">
        <f t="shared" ca="1" si="101"/>
        <v>60.535869121816795</v>
      </c>
      <c r="G721" s="19">
        <f t="shared" ca="1" si="102"/>
        <v>-2.2258681218167951</v>
      </c>
      <c r="H721" s="27">
        <v>45.310001</v>
      </c>
      <c r="I721" s="19">
        <f t="shared" si="103"/>
        <v>-3.3695842049388913E-2</v>
      </c>
      <c r="J721" s="19">
        <f t="shared" ca="1" si="104"/>
        <v>6.9680492559310069E-3</v>
      </c>
      <c r="K721" s="19">
        <f t="shared" ca="1" si="105"/>
        <v>84.071760418441585</v>
      </c>
      <c r="L721" s="19">
        <f t="shared" ca="1" si="106"/>
        <v>-0.58176241844158483</v>
      </c>
      <c r="M721" s="19">
        <f t="shared" ca="1" si="107"/>
        <v>-2.8076305402583799</v>
      </c>
      <c r="AA721" s="37">
        <v>701</v>
      </c>
      <c r="AB721" s="37">
        <v>1.7958758658974938</v>
      </c>
      <c r="AC721" s="37">
        <v>3.0218394405690852</v>
      </c>
      <c r="AD721" s="37">
        <v>3.1865111090303802</v>
      </c>
    </row>
    <row r="722" spans="2:30" x14ac:dyDescent="0.3">
      <c r="B722" s="28">
        <v>43679</v>
      </c>
      <c r="C722" s="25">
        <v>35.229999999999997</v>
      </c>
      <c r="D722" s="18">
        <f t="shared" si="99"/>
        <v>-1.3441585366608555E-2</v>
      </c>
      <c r="E722" s="32">
        <f t="shared" ca="1" si="100"/>
        <v>-9.4442637425488207E-3</v>
      </c>
      <c r="F722" s="18">
        <f t="shared" ca="1" si="101"/>
        <v>57.759305971727713</v>
      </c>
      <c r="G722" s="19">
        <f t="shared" ca="1" si="102"/>
        <v>0.55069502827228689</v>
      </c>
      <c r="H722" s="27">
        <v>44.029998999999997</v>
      </c>
      <c r="I722" s="19">
        <f t="shared" si="103"/>
        <v>-2.8249877990512595E-2</v>
      </c>
      <c r="J722" s="19">
        <f t="shared" ca="1" si="104"/>
        <v>-3.218557396997121E-2</v>
      </c>
      <c r="K722" s="19">
        <f t="shared" ca="1" si="105"/>
        <v>80.802824493618246</v>
      </c>
      <c r="L722" s="19">
        <f t="shared" ca="1" si="106"/>
        <v>2.6871735063817539</v>
      </c>
      <c r="M722" s="19">
        <f t="shared" ca="1" si="107"/>
        <v>3.2378685346540408</v>
      </c>
      <c r="AA722" s="37">
        <v>702</v>
      </c>
      <c r="AB722" s="37">
        <v>1.8096962731035138</v>
      </c>
      <c r="AC722" s="37">
        <v>2.8335290162195217</v>
      </c>
      <c r="AD722" s="37">
        <v>3.2601565192952244</v>
      </c>
    </row>
    <row r="723" spans="2:30" x14ac:dyDescent="0.3">
      <c r="B723" s="28">
        <v>43682</v>
      </c>
      <c r="C723" s="25">
        <v>35.650002000000001</v>
      </c>
      <c r="D723" s="18">
        <f t="shared" si="99"/>
        <v>1.1921714447913789E-2</v>
      </c>
      <c r="E723" s="32">
        <f t="shared" ca="1" si="100"/>
        <v>1.9590515140113455E-3</v>
      </c>
      <c r="F723" s="18">
        <f t="shared" ca="1" si="101"/>
        <v>58.424233295741054</v>
      </c>
      <c r="G723" s="19">
        <f t="shared" ca="1" si="102"/>
        <v>-0.1142322957410542</v>
      </c>
      <c r="H723" s="27">
        <v>42.790000999999997</v>
      </c>
      <c r="I723" s="19">
        <f t="shared" si="103"/>
        <v>-2.8162571613957965E-2</v>
      </c>
      <c r="J723" s="19">
        <f t="shared" ca="1" si="104"/>
        <v>-2.617359150026791E-3</v>
      </c>
      <c r="K723" s="19">
        <f t="shared" ca="1" si="105"/>
        <v>83.271474689798978</v>
      </c>
      <c r="L723" s="19">
        <f t="shared" ca="1" si="106"/>
        <v>0.21852331020102156</v>
      </c>
      <c r="M723" s="19">
        <f t="shared" ca="1" si="107"/>
        <v>0.10429101445996736</v>
      </c>
      <c r="AA723" s="37">
        <v>703</v>
      </c>
      <c r="AB723" s="37">
        <v>1.8088764074183383</v>
      </c>
      <c r="AC723" s="37">
        <v>2.6646524647994361</v>
      </c>
      <c r="AD723" s="37">
        <v>3.2968445985305972</v>
      </c>
    </row>
    <row r="724" spans="2:30" x14ac:dyDescent="0.3">
      <c r="B724" s="28">
        <v>43683</v>
      </c>
      <c r="C724" s="25">
        <v>35.979999999999997</v>
      </c>
      <c r="D724" s="18">
        <f t="shared" si="99"/>
        <v>9.2566053712983543E-3</v>
      </c>
      <c r="E724" s="32">
        <f t="shared" ca="1" si="100"/>
        <v>-1.4022517092670915E-4</v>
      </c>
      <c r="F724" s="18">
        <f t="shared" ca="1" si="101"/>
        <v>58.301824470143039</v>
      </c>
      <c r="G724" s="19">
        <f t="shared" ca="1" si="102"/>
        <v>8.1765298569607126E-3</v>
      </c>
      <c r="H724" s="27">
        <v>41.619999</v>
      </c>
      <c r="I724" s="19">
        <f t="shared" si="103"/>
        <v>-2.7342883212365332E-2</v>
      </c>
      <c r="J724" s="19">
        <f t="shared" ca="1" si="104"/>
        <v>-2.3091571504414148E-2</v>
      </c>
      <c r="K724" s="19">
        <f t="shared" ca="1" si="105"/>
        <v>81.56208274127961</v>
      </c>
      <c r="L724" s="19">
        <f t="shared" ca="1" si="106"/>
        <v>1.9279152587203896</v>
      </c>
      <c r="M724" s="19">
        <f t="shared" ca="1" si="107"/>
        <v>1.9360917885773503</v>
      </c>
      <c r="AA724" s="37">
        <v>704</v>
      </c>
      <c r="AB724" s="37">
        <v>1.7388995620975192</v>
      </c>
      <c r="AC724" s="37">
        <v>2.905566783895849</v>
      </c>
      <c r="AD724" s="37">
        <v>3.2515497018159327</v>
      </c>
    </row>
    <row r="725" spans="2:30" x14ac:dyDescent="0.3">
      <c r="B725" s="28">
        <v>43684</v>
      </c>
      <c r="C725" s="25">
        <v>36.169998</v>
      </c>
      <c r="D725" s="18">
        <f t="shared" si="99"/>
        <v>5.2806559199556347E-3</v>
      </c>
      <c r="E725" s="32">
        <f t="shared" ca="1" si="100"/>
        <v>-2.293204429198897E-2</v>
      </c>
      <c r="F725" s="18">
        <f t="shared" ca="1" si="101"/>
        <v>56.97283347440208</v>
      </c>
      <c r="G725" s="19">
        <f t="shared" ca="1" si="102"/>
        <v>1.3371675255979198</v>
      </c>
      <c r="H725" s="27">
        <v>43.32</v>
      </c>
      <c r="I725" s="19">
        <f t="shared" si="103"/>
        <v>4.084577224521313E-2</v>
      </c>
      <c r="J725" s="19">
        <f t="shared" ca="1" si="104"/>
        <v>1.7301486990208274E-2</v>
      </c>
      <c r="K725" s="19">
        <f t="shared" ca="1" si="105"/>
        <v>84.934499114209501</v>
      </c>
      <c r="L725" s="19">
        <f t="shared" ca="1" si="106"/>
        <v>-1.4445011142095012</v>
      </c>
      <c r="M725" s="19">
        <f t="shared" ca="1" si="107"/>
        <v>-0.10733358861158138</v>
      </c>
      <c r="AA725" s="37">
        <v>705</v>
      </c>
      <c r="AB725" s="37">
        <v>1.8765970145741149</v>
      </c>
      <c r="AC725" s="37">
        <v>2.7807538762385597</v>
      </c>
      <c r="AD725" s="37">
        <v>3.2897373142342858</v>
      </c>
    </row>
    <row r="726" spans="2:30" x14ac:dyDescent="0.3">
      <c r="B726" s="28">
        <v>43685</v>
      </c>
      <c r="C726" s="25">
        <v>35.759998000000003</v>
      </c>
      <c r="D726" s="18">
        <f t="shared" si="99"/>
        <v>-1.1335361423022383E-2</v>
      </c>
      <c r="E726" s="32">
        <f t="shared" ca="1" si="100"/>
        <v>-1.2929536255723529E-2</v>
      </c>
      <c r="F726" s="18">
        <f t="shared" ca="1" si="101"/>
        <v>57.556079727999219</v>
      </c>
      <c r="G726" s="19">
        <f t="shared" ca="1" si="102"/>
        <v>0.75392127200078107</v>
      </c>
      <c r="H726" s="27">
        <v>43.630001</v>
      </c>
      <c r="I726" s="19">
        <f t="shared" si="103"/>
        <v>7.1560710987996767E-3</v>
      </c>
      <c r="J726" s="19">
        <f t="shared" ca="1" si="104"/>
        <v>-2.0037619549838372E-2</v>
      </c>
      <c r="K726" s="19">
        <f t="shared" ca="1" si="105"/>
        <v>81.817057183859234</v>
      </c>
      <c r="L726" s="19">
        <f t="shared" ca="1" si="106"/>
        <v>1.6729408161407662</v>
      </c>
      <c r="M726" s="19">
        <f t="shared" ca="1" si="107"/>
        <v>2.4268620881415472</v>
      </c>
      <c r="AA726" s="37">
        <v>706</v>
      </c>
      <c r="AB726" s="37">
        <v>1.7577890613772862</v>
      </c>
      <c r="AC726" s="37">
        <v>2.9014453051076763</v>
      </c>
      <c r="AD726" s="37">
        <v>3.1595167285260581</v>
      </c>
    </row>
    <row r="727" spans="2:30" x14ac:dyDescent="0.3">
      <c r="B727" s="28">
        <v>43686</v>
      </c>
      <c r="C727" s="25">
        <v>35.639999000000003</v>
      </c>
      <c r="D727" s="18">
        <f t="shared" si="99"/>
        <v>-3.3556769214584392E-3</v>
      </c>
      <c r="E727" s="32">
        <f t="shared" ca="1" si="100"/>
        <v>-1.815959613572388E-2</v>
      </c>
      <c r="F727" s="18">
        <f t="shared" ca="1" si="101"/>
        <v>57.251114931166342</v>
      </c>
      <c r="G727" s="19">
        <f t="shared" ca="1" si="102"/>
        <v>1.0588860688336581</v>
      </c>
      <c r="H727" s="27">
        <v>43.689999</v>
      </c>
      <c r="I727" s="19">
        <f t="shared" si="103"/>
        <v>1.3751546785434332E-3</v>
      </c>
      <c r="J727" s="19">
        <f t="shared" ca="1" si="104"/>
        <v>-2.0177258278876151E-2</v>
      </c>
      <c r="K727" s="19">
        <f t="shared" ca="1" si="105"/>
        <v>81.80539874665115</v>
      </c>
      <c r="L727" s="19">
        <f t="shared" ca="1" si="106"/>
        <v>1.6845992533488499</v>
      </c>
      <c r="M727" s="19">
        <f t="shared" ca="1" si="107"/>
        <v>2.743485322182508</v>
      </c>
      <c r="AA727" s="37">
        <v>707</v>
      </c>
      <c r="AB727" s="37">
        <v>1.8603544013705728</v>
      </c>
      <c r="AC727" s="37">
        <v>2.7027063329453154</v>
      </c>
      <c r="AD727" s="37">
        <v>3.5851628472125094</v>
      </c>
    </row>
    <row r="728" spans="2:30" x14ac:dyDescent="0.3">
      <c r="B728" s="28">
        <v>43689</v>
      </c>
      <c r="C728" s="25">
        <v>35.279998999999997</v>
      </c>
      <c r="D728" s="18">
        <f t="shared" si="99"/>
        <v>-1.0101010384428122E-2</v>
      </c>
      <c r="E728" s="32">
        <f t="shared" ca="1" si="100"/>
        <v>2.5084588369784215E-2</v>
      </c>
      <c r="F728" s="18">
        <f t="shared" ca="1" si="101"/>
        <v>59.7726833729267</v>
      </c>
      <c r="G728" s="19">
        <f t="shared" ca="1" si="102"/>
        <v>-1.4626823729267002</v>
      </c>
      <c r="H728" s="27">
        <v>41.779998999999997</v>
      </c>
      <c r="I728" s="19">
        <f t="shared" si="103"/>
        <v>-4.3717098734655568E-2</v>
      </c>
      <c r="J728" s="19">
        <f t="shared" ca="1" si="104"/>
        <v>-1.0337512320217195E-2</v>
      </c>
      <c r="K728" s="19">
        <f t="shared" ca="1" si="105"/>
        <v>82.626919117060098</v>
      </c>
      <c r="L728" s="19">
        <f t="shared" ca="1" si="106"/>
        <v>0.86307888293990231</v>
      </c>
      <c r="M728" s="19">
        <f t="shared" ca="1" si="107"/>
        <v>-0.59960348998679791</v>
      </c>
      <c r="AA728" s="37">
        <v>708</v>
      </c>
      <c r="AB728" s="37">
        <v>1.9728955068922833</v>
      </c>
      <c r="AC728" s="37">
        <v>3.1155105244402561</v>
      </c>
      <c r="AD728" s="37">
        <v>3.1438604781042234</v>
      </c>
    </row>
    <row r="729" spans="2:30" x14ac:dyDescent="0.3">
      <c r="B729" s="28">
        <v>43690</v>
      </c>
      <c r="C729" s="25">
        <v>34.650002000000001</v>
      </c>
      <c r="D729" s="18">
        <f t="shared" si="99"/>
        <v>-1.7857058329281639E-2</v>
      </c>
      <c r="E729" s="32">
        <f t="shared" ca="1" si="100"/>
        <v>9.3811097341906374E-3</v>
      </c>
      <c r="F729" s="18">
        <f t="shared" ca="1" si="101"/>
        <v>58.85701351798177</v>
      </c>
      <c r="G729" s="19">
        <f t="shared" ca="1" si="102"/>
        <v>-0.54701251798176997</v>
      </c>
      <c r="H729" s="27">
        <v>41.439999</v>
      </c>
      <c r="I729" s="19">
        <f t="shared" si="103"/>
        <v>-8.13786520195936E-3</v>
      </c>
      <c r="J729" s="19">
        <f t="shared" ca="1" si="104"/>
        <v>2.3188427707903258E-2</v>
      </c>
      <c r="K729" s="19">
        <f t="shared" ca="1" si="105"/>
        <v>85.425999782955998</v>
      </c>
      <c r="L729" s="19">
        <f t="shared" ca="1" si="106"/>
        <v>-1.9360017829559979</v>
      </c>
      <c r="M729" s="19">
        <f t="shared" ca="1" si="107"/>
        <v>-2.4830143009377679</v>
      </c>
      <c r="AA729" s="37">
        <v>709</v>
      </c>
      <c r="AB729" s="37">
        <v>1.7237579830710985</v>
      </c>
      <c r="AC729" s="37">
        <v>2.7798959965705698</v>
      </c>
      <c r="AD729" s="37">
        <v>3.5965375124326457</v>
      </c>
    </row>
    <row r="730" spans="2:30" x14ac:dyDescent="0.3">
      <c r="B730" s="28">
        <v>43691</v>
      </c>
      <c r="C730" s="25">
        <v>33.349997999999999</v>
      </c>
      <c r="D730" s="18">
        <f t="shared" si="99"/>
        <v>-3.7518150792603122E-2</v>
      </c>
      <c r="E730" s="32">
        <f t="shared" ca="1" si="100"/>
        <v>2.0326507844905882E-2</v>
      </c>
      <c r="F730" s="18">
        <f t="shared" ca="1" si="101"/>
        <v>59.495239692762972</v>
      </c>
      <c r="G730" s="19">
        <f t="shared" ca="1" si="102"/>
        <v>-1.1852386927629723</v>
      </c>
      <c r="H730" s="27">
        <v>40.150002000000001</v>
      </c>
      <c r="I730" s="19">
        <f t="shared" si="103"/>
        <v>-3.1129271986710227E-2</v>
      </c>
      <c r="J730" s="19">
        <f t="shared" ca="1" si="104"/>
        <v>2.9317899399970922E-2</v>
      </c>
      <c r="K730" s="19">
        <f t="shared" ca="1" si="105"/>
        <v>85.93774936226778</v>
      </c>
      <c r="L730" s="19">
        <f t="shared" ca="1" si="106"/>
        <v>-2.4477513622677805</v>
      </c>
      <c r="M730" s="19">
        <f t="shared" ca="1" si="107"/>
        <v>-3.6329900550307528</v>
      </c>
      <c r="AA730" s="37">
        <v>710</v>
      </c>
      <c r="AB730" s="37">
        <v>1.7280487619856253</v>
      </c>
      <c r="AC730" s="37">
        <v>2.8042721106864534</v>
      </c>
      <c r="AD730" s="37">
        <v>3.4387724861559121</v>
      </c>
    </row>
    <row r="731" spans="2:30" x14ac:dyDescent="0.3">
      <c r="B731" s="28">
        <v>43692</v>
      </c>
      <c r="C731" s="25">
        <v>33.919998</v>
      </c>
      <c r="D731" s="18">
        <f t="shared" si="99"/>
        <v>1.7091455297838509E-2</v>
      </c>
      <c r="E731" s="32">
        <f t="shared" ca="1" si="100"/>
        <v>1.2023581983588758E-2</v>
      </c>
      <c r="F731" s="18">
        <f t="shared" ca="1" si="101"/>
        <v>59.011096077486641</v>
      </c>
      <c r="G731" s="19">
        <f t="shared" ca="1" si="102"/>
        <v>-0.70109507748664157</v>
      </c>
      <c r="H731" s="27">
        <v>40.560001</v>
      </c>
      <c r="I731" s="19">
        <f t="shared" si="103"/>
        <v>1.0211680686840197E-2</v>
      </c>
      <c r="J731" s="19">
        <f t="shared" ca="1" si="104"/>
        <v>3.2581385773983416E-2</v>
      </c>
      <c r="K731" s="19">
        <f t="shared" ca="1" si="105"/>
        <v>86.210217833107109</v>
      </c>
      <c r="L731" s="19">
        <f t="shared" ca="1" si="106"/>
        <v>-2.7202198331071088</v>
      </c>
      <c r="M731" s="19">
        <f t="shared" ca="1" si="107"/>
        <v>-3.4213149105937504</v>
      </c>
      <c r="AA731" s="37">
        <v>711</v>
      </c>
      <c r="AB731" s="37">
        <v>1.6669135044469197</v>
      </c>
      <c r="AC731" s="37">
        <v>2.9877104938779593</v>
      </c>
      <c r="AD731" s="37">
        <v>3.3056867958817908</v>
      </c>
    </row>
    <row r="732" spans="2:30" x14ac:dyDescent="0.3">
      <c r="B732" s="28">
        <v>43693</v>
      </c>
      <c r="C732" s="25">
        <v>34.119999</v>
      </c>
      <c r="D732" s="18">
        <f t="shared" si="99"/>
        <v>5.8962562438831245E-3</v>
      </c>
      <c r="E732" s="32">
        <f t="shared" ca="1" si="100"/>
        <v>9.554714405243055E-3</v>
      </c>
      <c r="F732" s="18">
        <f t="shared" ca="1" si="101"/>
        <v>58.867136406524438</v>
      </c>
      <c r="G732" s="19">
        <f t="shared" ca="1" si="102"/>
        <v>-0.55713540652443783</v>
      </c>
      <c r="H732" s="27">
        <v>40.159999999999997</v>
      </c>
      <c r="I732" s="19">
        <f t="shared" si="103"/>
        <v>-9.8619573505435154E-3</v>
      </c>
      <c r="J732" s="19">
        <f t="shared" ca="1" si="104"/>
        <v>2.7585674902567921E-2</v>
      </c>
      <c r="K732" s="19">
        <f t="shared" ca="1" si="105"/>
        <v>85.79312594244405</v>
      </c>
      <c r="L732" s="19">
        <f t="shared" ca="1" si="106"/>
        <v>-2.3031279424440498</v>
      </c>
      <c r="M732" s="19">
        <f t="shared" ca="1" si="107"/>
        <v>-2.8602633489684877</v>
      </c>
      <c r="AA732" s="37">
        <v>712</v>
      </c>
      <c r="AB732" s="37">
        <v>1.6990950856289004</v>
      </c>
      <c r="AC732" s="37">
        <v>2.7375571115168409</v>
      </c>
      <c r="AD732" s="37">
        <v>3.2585165259489237</v>
      </c>
    </row>
    <row r="733" spans="2:30" x14ac:dyDescent="0.3">
      <c r="B733" s="28">
        <v>43696</v>
      </c>
      <c r="C733" s="25">
        <v>34.220001000000003</v>
      </c>
      <c r="D733" s="18">
        <f t="shared" si="99"/>
        <v>2.9308910589358472E-3</v>
      </c>
      <c r="E733" s="32">
        <f t="shared" ca="1" si="100"/>
        <v>-4.5075381914767313E-3</v>
      </c>
      <c r="F733" s="18">
        <f t="shared" ca="1" si="101"/>
        <v>58.047166443547454</v>
      </c>
      <c r="G733" s="19">
        <f t="shared" ca="1" si="102"/>
        <v>0.26283455645254605</v>
      </c>
      <c r="H733" s="27">
        <v>40.540000999999997</v>
      </c>
      <c r="I733" s="19">
        <f t="shared" si="103"/>
        <v>9.4621762948208232E-3</v>
      </c>
      <c r="J733" s="19">
        <f t="shared" ca="1" si="104"/>
        <v>-1.02835363958537E-2</v>
      </c>
      <c r="K733" s="19">
        <f t="shared" ca="1" si="105"/>
        <v>82.631425566877255</v>
      </c>
      <c r="L733" s="19">
        <f t="shared" ca="1" si="106"/>
        <v>0.85857243312274534</v>
      </c>
      <c r="M733" s="19">
        <f t="shared" ca="1" si="107"/>
        <v>1.1214069895752914</v>
      </c>
      <c r="AA733" s="37">
        <v>713</v>
      </c>
      <c r="AB733" s="37">
        <v>1.8261751072025523</v>
      </c>
      <c r="AC733" s="37">
        <v>2.7593172838694948</v>
      </c>
      <c r="AD733" s="37">
        <v>3.5625748869352138</v>
      </c>
    </row>
    <row r="734" spans="2:30" x14ac:dyDescent="0.3">
      <c r="B734" s="28">
        <v>43697</v>
      </c>
      <c r="C734" s="25">
        <v>33.669998</v>
      </c>
      <c r="D734" s="18">
        <f t="shared" si="99"/>
        <v>-1.6072559436804301E-2</v>
      </c>
      <c r="E734" s="32">
        <f t="shared" ca="1" si="100"/>
        <v>1.767942113531407E-2</v>
      </c>
      <c r="F734" s="18">
        <f t="shared" ca="1" si="101"/>
        <v>59.340888064079593</v>
      </c>
      <c r="G734" s="19">
        <f t="shared" ca="1" si="102"/>
        <v>-1.0308870640795931</v>
      </c>
      <c r="H734" s="27">
        <v>41.889999000000003</v>
      </c>
      <c r="I734" s="19">
        <f t="shared" si="103"/>
        <v>3.3300393850508536E-2</v>
      </c>
      <c r="J734" s="19">
        <f t="shared" ca="1" si="104"/>
        <v>1.3521214639159335E-2</v>
      </c>
      <c r="K734" s="19">
        <f t="shared" ca="1" si="105"/>
        <v>84.618884183180981</v>
      </c>
      <c r="L734" s="19">
        <f t="shared" ca="1" si="106"/>
        <v>-1.1288861831809811</v>
      </c>
      <c r="M734" s="19">
        <f t="shared" ca="1" si="107"/>
        <v>-2.1597732472605742</v>
      </c>
      <c r="AA734" s="37">
        <v>714</v>
      </c>
      <c r="AB734" s="37">
        <v>1.665037062522579</v>
      </c>
      <c r="AC734" s="37">
        <v>2.7356053441397634</v>
      </c>
      <c r="AD734" s="37">
        <v>3.3511787195692677</v>
      </c>
    </row>
    <row r="735" spans="2:30" x14ac:dyDescent="0.3">
      <c r="B735" s="28">
        <v>43698</v>
      </c>
      <c r="C735" s="25">
        <v>33.139999000000003</v>
      </c>
      <c r="D735" s="18">
        <f t="shared" si="99"/>
        <v>-1.5740986976001459E-2</v>
      </c>
      <c r="E735" s="32">
        <f t="shared" ca="1" si="100"/>
        <v>-8.5305482717949067E-3</v>
      </c>
      <c r="F735" s="18">
        <f t="shared" ca="1" si="101"/>
        <v>57.812584721741089</v>
      </c>
      <c r="G735" s="19">
        <f t="shared" ca="1" si="102"/>
        <v>0.49741627825891044</v>
      </c>
      <c r="H735" s="27">
        <v>43.43</v>
      </c>
      <c r="I735" s="19">
        <f t="shared" si="103"/>
        <v>3.6762975334518222E-2</v>
      </c>
      <c r="J735" s="19">
        <f t="shared" ca="1" si="104"/>
        <v>1.1849759566675618E-2</v>
      </c>
      <c r="K735" s="19">
        <f t="shared" ca="1" si="105"/>
        <v>84.479334402522227</v>
      </c>
      <c r="L735" s="19">
        <f t="shared" ca="1" si="106"/>
        <v>-0.98933640252222688</v>
      </c>
      <c r="M735" s="19">
        <f t="shared" ca="1" si="107"/>
        <v>-0.49192012426331644</v>
      </c>
      <c r="AA735" s="37">
        <v>715</v>
      </c>
      <c r="AB735" s="37">
        <v>1.8174861027017968</v>
      </c>
      <c r="AC735" s="37">
        <v>2.9301109784428587</v>
      </c>
      <c r="AD735" s="37">
        <v>3.2861872661225742</v>
      </c>
    </row>
    <row r="736" spans="2:30" x14ac:dyDescent="0.3">
      <c r="B736" s="28">
        <v>43699</v>
      </c>
      <c r="C736" s="25">
        <v>33.360000999999997</v>
      </c>
      <c r="D736" s="18">
        <f t="shared" si="99"/>
        <v>6.6385638696004889E-3</v>
      </c>
      <c r="E736" s="32">
        <f t="shared" ca="1" si="100"/>
        <v>6.4614509271851048E-4</v>
      </c>
      <c r="F736" s="18">
        <f t="shared" ca="1" si="101"/>
        <v>58.347677721002555</v>
      </c>
      <c r="G736" s="19">
        <f t="shared" ca="1" si="102"/>
        <v>-3.7676721002554814E-2</v>
      </c>
      <c r="H736" s="27">
        <v>42.990001999999997</v>
      </c>
      <c r="I736" s="19">
        <f t="shared" si="103"/>
        <v>-1.0131199631591148E-2</v>
      </c>
      <c r="J736" s="19">
        <f t="shared" ca="1" si="104"/>
        <v>2.2424290252015526E-2</v>
      </c>
      <c r="K736" s="19">
        <f t="shared" ca="1" si="105"/>
        <v>85.362201948292196</v>
      </c>
      <c r="L736" s="19">
        <f t="shared" ca="1" si="106"/>
        <v>-1.8722039482921957</v>
      </c>
      <c r="M736" s="19">
        <f t="shared" ca="1" si="107"/>
        <v>-1.9098806692947505</v>
      </c>
      <c r="AA736" s="37">
        <v>716</v>
      </c>
      <c r="AB736" s="37">
        <v>1.7582225938307607</v>
      </c>
      <c r="AC736" s="37">
        <v>3.0015380390354109</v>
      </c>
      <c r="AD736" s="37">
        <v>3.1927405826620232</v>
      </c>
    </row>
    <row r="737" spans="2:30" x14ac:dyDescent="0.3">
      <c r="B737" s="28">
        <v>43700</v>
      </c>
      <c r="C737" s="25">
        <v>32.979999999999997</v>
      </c>
      <c r="D737" s="18">
        <f t="shared" si="99"/>
        <v>-1.1390916924732708E-2</v>
      </c>
      <c r="E737" s="32">
        <f t="shared" ca="1" si="100"/>
        <v>8.4485189757190059E-3</v>
      </c>
      <c r="F737" s="18">
        <f t="shared" ca="1" si="101"/>
        <v>58.802634149922696</v>
      </c>
      <c r="G737" s="19">
        <f t="shared" ca="1" si="102"/>
        <v>-0.49263314992269613</v>
      </c>
      <c r="H737" s="27">
        <v>42.830002</v>
      </c>
      <c r="I737" s="19">
        <f t="shared" si="103"/>
        <v>-3.7217955933102065E-3</v>
      </c>
      <c r="J737" s="19">
        <f t="shared" ca="1" si="104"/>
        <v>2.1292152940668024E-2</v>
      </c>
      <c r="K737" s="19">
        <f t="shared" ca="1" si="105"/>
        <v>85.267679806432071</v>
      </c>
      <c r="L737" s="19">
        <f t="shared" ca="1" si="106"/>
        <v>-1.7776818064320707</v>
      </c>
      <c r="M737" s="19">
        <f t="shared" ca="1" si="107"/>
        <v>-2.2703149563547669</v>
      </c>
      <c r="AA737" s="37">
        <v>717</v>
      </c>
      <c r="AB737" s="37">
        <v>1.7093935036512269</v>
      </c>
      <c r="AC737" s="37">
        <v>2.7757718373299705</v>
      </c>
      <c r="AD737" s="37">
        <v>3.5251384111168478</v>
      </c>
    </row>
    <row r="738" spans="2:30" x14ac:dyDescent="0.3">
      <c r="B738" s="28">
        <v>43703</v>
      </c>
      <c r="C738" s="25">
        <v>32.830002</v>
      </c>
      <c r="D738" s="18">
        <f t="shared" si="99"/>
        <v>-4.5481503941782186E-3</v>
      </c>
      <c r="E738" s="32">
        <f t="shared" ca="1" si="100"/>
        <v>-3.180493756151499E-3</v>
      </c>
      <c r="F738" s="18">
        <f t="shared" ca="1" si="101"/>
        <v>58.124546405898315</v>
      </c>
      <c r="G738" s="19">
        <f t="shared" ca="1" si="102"/>
        <v>0.18545459410168519</v>
      </c>
      <c r="H738" s="27">
        <v>42.939999</v>
      </c>
      <c r="I738" s="19">
        <f t="shared" si="103"/>
        <v>2.568223088105448E-3</v>
      </c>
      <c r="J738" s="19">
        <f t="shared" ca="1" si="104"/>
        <v>4.9421582515195635E-2</v>
      </c>
      <c r="K738" s="19">
        <f t="shared" ca="1" si="105"/>
        <v>87.616205825350519</v>
      </c>
      <c r="L738" s="19">
        <f t="shared" ca="1" si="106"/>
        <v>-4.1262078253505194</v>
      </c>
      <c r="M738" s="19">
        <f t="shared" ca="1" si="107"/>
        <v>-3.9407532312488343</v>
      </c>
      <c r="AA738" s="37">
        <v>718</v>
      </c>
      <c r="AB738" s="37">
        <v>1.7914232309302969</v>
      </c>
      <c r="AC738" s="37">
        <v>2.798473273993848</v>
      </c>
      <c r="AD738" s="37">
        <v>3.3776641462131174</v>
      </c>
    </row>
    <row r="739" spans="2:30" x14ac:dyDescent="0.3">
      <c r="B739" s="28">
        <v>43704</v>
      </c>
      <c r="C739" s="25">
        <v>33.270000000000003</v>
      </c>
      <c r="D739" s="18">
        <f t="shared" si="99"/>
        <v>1.3402314139365545E-2</v>
      </c>
      <c r="E739" s="32">
        <f t="shared" ca="1" si="100"/>
        <v>4.4392912221623872E-3</v>
      </c>
      <c r="F739" s="18">
        <f t="shared" ca="1" si="101"/>
        <v>58.568856075603584</v>
      </c>
      <c r="G739" s="19">
        <f t="shared" ca="1" si="102"/>
        <v>-0.25885507560358434</v>
      </c>
      <c r="H739" s="27">
        <v>44.07</v>
      </c>
      <c r="I739" s="19">
        <f t="shared" si="103"/>
        <v>2.6315813374844232E-2</v>
      </c>
      <c r="J739" s="19">
        <f t="shared" ca="1" si="104"/>
        <v>-7.1402388263760762E-3</v>
      </c>
      <c r="K739" s="19">
        <f t="shared" ca="1" si="105"/>
        <v>82.893859474666343</v>
      </c>
      <c r="L739" s="19">
        <f t="shared" ca="1" si="106"/>
        <v>0.5961385253336573</v>
      </c>
      <c r="M739" s="19">
        <f t="shared" ca="1" si="107"/>
        <v>0.33728344973007296</v>
      </c>
      <c r="AA739" s="37">
        <v>719</v>
      </c>
      <c r="AB739" s="37">
        <v>1.7383088632091004</v>
      </c>
      <c r="AC739" s="37">
        <v>2.727641338683902</v>
      </c>
      <c r="AD739" s="37">
        <v>3.3730693927338811</v>
      </c>
    </row>
    <row r="740" spans="2:30" x14ac:dyDescent="0.3">
      <c r="B740" s="28">
        <v>43705</v>
      </c>
      <c r="C740" s="25">
        <v>33.729999999999997</v>
      </c>
      <c r="D740" s="18">
        <f t="shared" si="99"/>
        <v>1.3826269912834199E-2</v>
      </c>
      <c r="E740" s="32">
        <f t="shared" ca="1" si="100"/>
        <v>-1.468613371013845E-2</v>
      </c>
      <c r="F740" s="18">
        <f t="shared" ca="1" si="101"/>
        <v>57.45365252867569</v>
      </c>
      <c r="G740" s="19">
        <f t="shared" ca="1" si="102"/>
        <v>0.85634847132430991</v>
      </c>
      <c r="H740" s="27">
        <v>45.610000999999997</v>
      </c>
      <c r="I740" s="19">
        <f t="shared" si="103"/>
        <v>3.4944429316995596E-2</v>
      </c>
      <c r="J740" s="19">
        <f t="shared" ca="1" si="104"/>
        <v>2.6746198969786972E-2</v>
      </c>
      <c r="K740" s="19">
        <f t="shared" ca="1" si="105"/>
        <v>85.723038098495124</v>
      </c>
      <c r="L740" s="19">
        <f t="shared" ca="1" si="106"/>
        <v>-2.233040098495124</v>
      </c>
      <c r="M740" s="19">
        <f t="shared" ca="1" si="107"/>
        <v>-1.3766916271708141</v>
      </c>
      <c r="AA740" s="37">
        <v>720</v>
      </c>
      <c r="AB740" s="37">
        <v>1.7048271684498508</v>
      </c>
      <c r="AC740" s="37">
        <v>2.9197154241911143</v>
      </c>
      <c r="AD740" s="37">
        <v>3.4114572376731043</v>
      </c>
    </row>
    <row r="741" spans="2:30" x14ac:dyDescent="0.3">
      <c r="B741" s="28">
        <v>43706</v>
      </c>
      <c r="C741" s="25">
        <v>34.599997999999999</v>
      </c>
      <c r="D741" s="18">
        <f t="shared" si="99"/>
        <v>2.5793003261191938E-2</v>
      </c>
      <c r="E741" s="32">
        <f t="shared" ca="1" si="100"/>
        <v>-2.607338158232949E-2</v>
      </c>
      <c r="F741" s="18">
        <f t="shared" ca="1" si="101"/>
        <v>56.789662093860983</v>
      </c>
      <c r="G741" s="19">
        <f t="shared" ca="1" si="102"/>
        <v>1.5203389061390169</v>
      </c>
      <c r="H741" s="27">
        <v>45.860000999999997</v>
      </c>
      <c r="I741" s="19">
        <f t="shared" si="103"/>
        <v>5.4812539907640456E-3</v>
      </c>
      <c r="J741" s="19">
        <f t="shared" ca="1" si="104"/>
        <v>2.0705861407895352E-2</v>
      </c>
      <c r="K741" s="19">
        <f t="shared" ca="1" si="105"/>
        <v>85.218730327533464</v>
      </c>
      <c r="L741" s="19">
        <f t="shared" ca="1" si="106"/>
        <v>-1.7287323275334643</v>
      </c>
      <c r="M741" s="19">
        <f t="shared" ca="1" si="107"/>
        <v>-0.20839342139444739</v>
      </c>
      <c r="AA741" s="37">
        <v>721</v>
      </c>
      <c r="AB741" s="37">
        <v>1.8805354817134017</v>
      </c>
      <c r="AC741" s="37">
        <v>2.7680828988487134</v>
      </c>
      <c r="AD741" s="37">
        <v>3.207818698770196</v>
      </c>
    </row>
    <row r="742" spans="2:30" x14ac:dyDescent="0.3">
      <c r="B742" s="28">
        <v>43707</v>
      </c>
      <c r="C742" s="25">
        <v>35.07</v>
      </c>
      <c r="D742" s="18">
        <f t="shared" si="99"/>
        <v>1.3583873617565079E-2</v>
      </c>
      <c r="E742" s="32">
        <f t="shared" ca="1" si="100"/>
        <v>-2.5215530860513133E-2</v>
      </c>
      <c r="F742" s="18">
        <f t="shared" ca="1" si="101"/>
        <v>56.839683370307952</v>
      </c>
      <c r="G742" s="19">
        <f t="shared" ca="1" si="102"/>
        <v>1.4703176296920475</v>
      </c>
      <c r="H742" s="27">
        <v>46.16</v>
      </c>
      <c r="I742" s="19">
        <f t="shared" si="103"/>
        <v>6.5416265472824087E-3</v>
      </c>
      <c r="J742" s="19">
        <f t="shared" ca="1" si="104"/>
        <v>2.07471459641538E-2</v>
      </c>
      <c r="K742" s="19">
        <f t="shared" ca="1" si="105"/>
        <v>85.222177175052906</v>
      </c>
      <c r="L742" s="19">
        <f t="shared" ca="1" si="106"/>
        <v>-1.7321791750529059</v>
      </c>
      <c r="M742" s="19">
        <f t="shared" ca="1" si="107"/>
        <v>-0.26186154536085837</v>
      </c>
      <c r="AA742" s="37">
        <v>722</v>
      </c>
      <c r="AB742" s="37">
        <v>1.7916016754950572</v>
      </c>
      <c r="AC742" s="37">
        <v>2.9666431166806229</v>
      </c>
      <c r="AD742" s="37">
        <v>3.1229449912978571</v>
      </c>
    </row>
    <row r="743" spans="2:30" x14ac:dyDescent="0.3">
      <c r="B743" s="28">
        <v>43710</v>
      </c>
      <c r="C743" s="25">
        <v>35.189999</v>
      </c>
      <c r="D743" s="18">
        <f t="shared" si="99"/>
        <v>3.421699458226346E-3</v>
      </c>
      <c r="E743" s="32">
        <f t="shared" ca="1" si="100"/>
        <v>-2.3290899487700672E-2</v>
      </c>
      <c r="F743" s="18">
        <f t="shared" ca="1" si="101"/>
        <v>56.951908627581275</v>
      </c>
      <c r="G743" s="19">
        <f t="shared" ca="1" si="102"/>
        <v>1.3580923724187244</v>
      </c>
      <c r="H743" s="27">
        <v>45.439999</v>
      </c>
      <c r="I743" s="19">
        <f t="shared" si="103"/>
        <v>-1.5597941941074445E-2</v>
      </c>
      <c r="J743" s="19">
        <f t="shared" ca="1" si="104"/>
        <v>3.1506393258959722E-2</v>
      </c>
      <c r="K743" s="19">
        <f t="shared" ca="1" si="105"/>
        <v>86.120466710177752</v>
      </c>
      <c r="L743" s="19">
        <f t="shared" ca="1" si="106"/>
        <v>-2.6304687101777517</v>
      </c>
      <c r="M743" s="19">
        <f t="shared" ca="1" si="107"/>
        <v>-1.2723763377590274</v>
      </c>
      <c r="AA743" s="37">
        <v>723</v>
      </c>
      <c r="AB743" s="37">
        <v>1.8234342207040881</v>
      </c>
      <c r="AC743" s="37">
        <v>2.8899519531840951</v>
      </c>
      <c r="AD743" s="37">
        <v>3.2403363176401982</v>
      </c>
    </row>
    <row r="744" spans="2:30" x14ac:dyDescent="0.3">
      <c r="B744" s="28">
        <v>43711</v>
      </c>
      <c r="C744" s="25">
        <v>34.200001</v>
      </c>
      <c r="D744" s="18">
        <f t="shared" si="99"/>
        <v>-2.8132936292496025E-2</v>
      </c>
      <c r="E744" s="32">
        <f t="shared" ca="1" si="100"/>
        <v>-1.3914059601556929E-2</v>
      </c>
      <c r="F744" s="18">
        <f t="shared" ca="1" si="101"/>
        <v>57.498672170719161</v>
      </c>
      <c r="G744" s="19">
        <f t="shared" ca="1" si="102"/>
        <v>0.81132882928083916</v>
      </c>
      <c r="H744" s="27">
        <v>45.299999</v>
      </c>
      <c r="I744" s="19">
        <f t="shared" si="103"/>
        <v>-3.0809859832963138E-3</v>
      </c>
      <c r="J744" s="19">
        <f t="shared" ca="1" si="104"/>
        <v>-3.2787431162662348E-2</v>
      </c>
      <c r="K744" s="19">
        <f t="shared" ca="1" si="105"/>
        <v>80.752575437804182</v>
      </c>
      <c r="L744" s="19">
        <f t="shared" ca="1" si="106"/>
        <v>2.7374225621958175</v>
      </c>
      <c r="M744" s="19">
        <f t="shared" ca="1" si="107"/>
        <v>3.5487513914766566</v>
      </c>
      <c r="AA744" s="37">
        <v>724</v>
      </c>
      <c r="AB744" s="37">
        <v>1.7789812138072711</v>
      </c>
      <c r="AC744" s="37">
        <v>3.0669155263670325</v>
      </c>
      <c r="AD744" s="37">
        <v>3.2876172745597643</v>
      </c>
    </row>
    <row r="745" spans="2:30" x14ac:dyDescent="0.3">
      <c r="B745" s="28">
        <v>43712</v>
      </c>
      <c r="C745" s="25">
        <v>36.549999</v>
      </c>
      <c r="D745" s="18">
        <f t="shared" si="99"/>
        <v>6.8713389803702007E-2</v>
      </c>
      <c r="E745" s="32">
        <f t="shared" ca="1" si="100"/>
        <v>1.7509587071709902E-2</v>
      </c>
      <c r="F745" s="18">
        <f t="shared" ca="1" si="101"/>
        <v>59.330985039660995</v>
      </c>
      <c r="G745" s="19">
        <f t="shared" ca="1" si="102"/>
        <v>-1.0209840396609948</v>
      </c>
      <c r="H745" s="27">
        <v>45.43</v>
      </c>
      <c r="I745" s="19">
        <f t="shared" si="103"/>
        <v>2.8697793127987481E-3</v>
      </c>
      <c r="J745" s="19">
        <f t="shared" ca="1" si="104"/>
        <v>-1.4867291140078531E-3</v>
      </c>
      <c r="K745" s="19">
        <f t="shared" ca="1" si="105"/>
        <v>83.365870989244939</v>
      </c>
      <c r="L745" s="19">
        <f t="shared" ca="1" si="106"/>
        <v>0.1241270107550605</v>
      </c>
      <c r="M745" s="19">
        <f t="shared" ca="1" si="107"/>
        <v>-0.89685702890593433</v>
      </c>
      <c r="AA745" s="37">
        <v>725</v>
      </c>
      <c r="AB745" s="37">
        <v>1.7390198906841134</v>
      </c>
      <c r="AC745" s="37">
        <v>2.6916127058105963</v>
      </c>
      <c r="AD745" s="37">
        <v>3.201708047888717</v>
      </c>
    </row>
    <row r="746" spans="2:30" x14ac:dyDescent="0.3">
      <c r="B746" s="28">
        <v>43713</v>
      </c>
      <c r="C746" s="25">
        <v>37.040000999999997</v>
      </c>
      <c r="D746" s="18">
        <f t="shared" si="99"/>
        <v>1.3406347836014909E-2</v>
      </c>
      <c r="E746" s="32">
        <f t="shared" ca="1" si="100"/>
        <v>7.4061764651796088E-3</v>
      </c>
      <c r="F746" s="18">
        <f t="shared" ca="1" si="101"/>
        <v>58.741855157090797</v>
      </c>
      <c r="G746" s="19">
        <f t="shared" ca="1" si="102"/>
        <v>-0.43185415709079678</v>
      </c>
      <c r="H746" s="27">
        <v>45.66</v>
      </c>
      <c r="I746" s="19">
        <f t="shared" si="103"/>
        <v>5.0627338762931906E-3</v>
      </c>
      <c r="J746" s="19">
        <f t="shared" ca="1" si="104"/>
        <v>1.7787969011423652E-3</v>
      </c>
      <c r="K746" s="19">
        <f t="shared" ca="1" si="105"/>
        <v>83.638509749718793</v>
      </c>
      <c r="L746" s="19">
        <f t="shared" ca="1" si="106"/>
        <v>-0.14851174971879288</v>
      </c>
      <c r="M746" s="19">
        <f t="shared" ca="1" si="107"/>
        <v>-0.58036590680958966</v>
      </c>
      <c r="AA746" s="37">
        <v>726</v>
      </c>
      <c r="AB746" s="37">
        <v>1.7841739519139472</v>
      </c>
      <c r="AC746" s="37">
        <v>2.6167675325021134</v>
      </c>
      <c r="AD746" s="37">
        <v>3.2285011331071507</v>
      </c>
    </row>
    <row r="747" spans="2:30" x14ac:dyDescent="0.3">
      <c r="B747" s="28">
        <v>43714</v>
      </c>
      <c r="C747" s="25">
        <v>37.279998999999997</v>
      </c>
      <c r="D747" s="18">
        <f t="shared" si="99"/>
        <v>6.4794274708577237E-3</v>
      </c>
      <c r="E747" s="32">
        <f t="shared" ca="1" si="100"/>
        <v>-1.5601518978749784E-2</v>
      </c>
      <c r="F747" s="18">
        <f t="shared" ca="1" si="101"/>
        <v>57.400276412747587</v>
      </c>
      <c r="G747" s="19">
        <f t="shared" ca="1" si="102"/>
        <v>0.90972458725241268</v>
      </c>
      <c r="H747" s="27">
        <v>44.990001999999997</v>
      </c>
      <c r="I747" s="19">
        <f t="shared" si="103"/>
        <v>-1.4673631187034575E-2</v>
      </c>
      <c r="J747" s="19">
        <f t="shared" ca="1" si="104"/>
        <v>2.3866531922253173E-2</v>
      </c>
      <c r="K747" s="19">
        <f t="shared" ca="1" si="105"/>
        <v>85.482614702455848</v>
      </c>
      <c r="L747" s="19">
        <f t="shared" ca="1" si="106"/>
        <v>-1.9926167024558481</v>
      </c>
      <c r="M747" s="19">
        <f t="shared" ca="1" si="107"/>
        <v>-1.0828921152034354</v>
      </c>
      <c r="AA747" s="37">
        <v>727</v>
      </c>
      <c r="AB747" s="37">
        <v>1.7612195544888227</v>
      </c>
      <c r="AC747" s="37">
        <v>2.8413170958977538</v>
      </c>
      <c r="AD747" s="37">
        <v>3.3187602627155668</v>
      </c>
    </row>
    <row r="748" spans="2:30" x14ac:dyDescent="0.3">
      <c r="B748" s="28">
        <v>43717</v>
      </c>
      <c r="C748" s="25">
        <v>36.909999999999997</v>
      </c>
      <c r="D748" s="18">
        <f t="shared" si="99"/>
        <v>-9.9248661460532572E-3</v>
      </c>
      <c r="E748" s="32">
        <f t="shared" ca="1" si="100"/>
        <v>8.1122699997485705E-3</v>
      </c>
      <c r="F748" s="18">
        <f t="shared" ca="1" si="101"/>
        <v>58.783027471797617</v>
      </c>
      <c r="G748" s="19">
        <f t="shared" ca="1" si="102"/>
        <v>-0.47302647179761692</v>
      </c>
      <c r="H748" s="27">
        <v>44.299999</v>
      </c>
      <c r="I748" s="19">
        <f t="shared" si="103"/>
        <v>-1.5336807497807969E-2</v>
      </c>
      <c r="J748" s="19">
        <f t="shared" ca="1" si="104"/>
        <v>-1.2163109396313706E-2</v>
      </c>
      <c r="K748" s="19">
        <f t="shared" ca="1" si="105"/>
        <v>82.474500020827989</v>
      </c>
      <c r="L748" s="19">
        <f t="shared" ca="1" si="106"/>
        <v>1.0154979791720109</v>
      </c>
      <c r="M748" s="19">
        <f t="shared" ca="1" si="107"/>
        <v>0.54247150737439398</v>
      </c>
      <c r="AA748" s="37">
        <v>728</v>
      </c>
      <c r="AB748" s="37">
        <v>1.8039411649145174</v>
      </c>
      <c r="AC748" s="37">
        <v>2.8743330820651609</v>
      </c>
      <c r="AD748" s="37">
        <v>3.3060938105956215</v>
      </c>
    </row>
    <row r="749" spans="2:30" x14ac:dyDescent="0.3">
      <c r="B749" s="28">
        <v>43718</v>
      </c>
      <c r="C749" s="25">
        <v>37.299999</v>
      </c>
      <c r="D749" s="18">
        <f t="shared" si="99"/>
        <v>1.0566215117854272E-2</v>
      </c>
      <c r="E749" s="32">
        <f t="shared" ca="1" si="100"/>
        <v>-1.4767228095760936E-2</v>
      </c>
      <c r="F749" s="18">
        <f t="shared" ca="1" si="101"/>
        <v>57.448923914968951</v>
      </c>
      <c r="G749" s="19">
        <f t="shared" ca="1" si="102"/>
        <v>0.86107708503104874</v>
      </c>
      <c r="H749" s="27">
        <v>44.990001999999997</v>
      </c>
      <c r="I749" s="19">
        <f t="shared" si="103"/>
        <v>1.5575688839180257E-2</v>
      </c>
      <c r="J749" s="19">
        <f t="shared" ca="1" si="104"/>
        <v>1.275142088965211E-3</v>
      </c>
      <c r="K749" s="19">
        <f t="shared" ca="1" si="105"/>
        <v>83.596459610457416</v>
      </c>
      <c r="L749" s="19">
        <f t="shared" ca="1" si="106"/>
        <v>-0.10646161045741565</v>
      </c>
      <c r="M749" s="19">
        <f t="shared" ca="1" si="107"/>
        <v>0.75461547457363309</v>
      </c>
      <c r="AA749" s="37">
        <v>729</v>
      </c>
      <c r="AB749" s="37">
        <v>1.768403093932811</v>
      </c>
      <c r="AC749" s="37">
        <v>2.7585419466652628</v>
      </c>
      <c r="AD749" s="37">
        <v>3.5118921123586473</v>
      </c>
    </row>
    <row r="750" spans="2:30" x14ac:dyDescent="0.3">
      <c r="B750" s="28">
        <v>43719</v>
      </c>
      <c r="C750" s="25">
        <v>36.740001999999997</v>
      </c>
      <c r="D750" s="18">
        <f t="shared" si="99"/>
        <v>-1.5013324799284966E-2</v>
      </c>
      <c r="E750" s="32">
        <f t="shared" ca="1" si="100"/>
        <v>6.0944901115303624E-3</v>
      </c>
      <c r="F750" s="18">
        <f t="shared" ca="1" si="101"/>
        <v>58.665370724497819</v>
      </c>
      <c r="G750" s="19">
        <f t="shared" ca="1" si="102"/>
        <v>-0.35536972449781956</v>
      </c>
      <c r="H750" s="27">
        <v>45.610000999999997</v>
      </c>
      <c r="I750" s="19">
        <f t="shared" si="103"/>
        <v>1.3780817346929597E-2</v>
      </c>
      <c r="J750" s="19">
        <f t="shared" ca="1" si="104"/>
        <v>-3.0445734610559147E-2</v>
      </c>
      <c r="K750" s="19">
        <f t="shared" ca="1" si="105"/>
        <v>80.948083678255884</v>
      </c>
      <c r="L750" s="19">
        <f t="shared" ca="1" si="106"/>
        <v>2.541914321744116</v>
      </c>
      <c r="M750" s="19">
        <f t="shared" ca="1" si="107"/>
        <v>2.1865445972462965</v>
      </c>
      <c r="AA750" s="37">
        <v>730</v>
      </c>
      <c r="AB750" s="37">
        <v>1.9334018100256931</v>
      </c>
      <c r="AC750" s="37">
        <v>2.8441505058208487</v>
      </c>
      <c r="AD750" s="37">
        <v>3.2538428930530801</v>
      </c>
    </row>
    <row r="751" spans="2:30" x14ac:dyDescent="0.3">
      <c r="B751" s="28">
        <v>43720</v>
      </c>
      <c r="C751" s="25">
        <v>36.150002000000001</v>
      </c>
      <c r="D751" s="18">
        <f t="shared" si="99"/>
        <v>-1.605879063370752E-2</v>
      </c>
      <c r="E751" s="32">
        <f t="shared" ca="1" si="100"/>
        <v>4.7672176151576156E-3</v>
      </c>
      <c r="F751" s="18">
        <f t="shared" ca="1" si="101"/>
        <v>58.587977463907059</v>
      </c>
      <c r="G751" s="19">
        <f t="shared" ca="1" si="102"/>
        <v>-0.27797646390705921</v>
      </c>
      <c r="H751" s="27">
        <v>46.470001000000003</v>
      </c>
      <c r="I751" s="19">
        <f t="shared" si="103"/>
        <v>1.8855513728228246E-2</v>
      </c>
      <c r="J751" s="19">
        <f t="shared" ca="1" si="104"/>
        <v>-1.0770296918353016E-2</v>
      </c>
      <c r="K751" s="19">
        <f t="shared" ca="1" si="105"/>
        <v>82.590785931827298</v>
      </c>
      <c r="L751" s="19">
        <f t="shared" ca="1" si="106"/>
        <v>0.89921206817270161</v>
      </c>
      <c r="M751" s="19">
        <f t="shared" ca="1" si="107"/>
        <v>0.62123560426564239</v>
      </c>
      <c r="AA751" s="37">
        <v>731</v>
      </c>
      <c r="AB751" s="37">
        <v>1.7755062141755205</v>
      </c>
      <c r="AC751" s="37">
        <v>2.7605531767585636</v>
      </c>
      <c r="AD751" s="37">
        <v>3.5823808986880192</v>
      </c>
    </row>
    <row r="752" spans="2:30" x14ac:dyDescent="0.3">
      <c r="B752" s="28">
        <v>43721</v>
      </c>
      <c r="C752" s="25">
        <v>36.729999999999997</v>
      </c>
      <c r="D752" s="18">
        <f t="shared" si="99"/>
        <v>1.6044203814981728E-2</v>
      </c>
      <c r="E752" s="32">
        <f t="shared" ca="1" si="100"/>
        <v>7.6733547992756182E-3</v>
      </c>
      <c r="F752" s="18">
        <f t="shared" ca="1" si="101"/>
        <v>58.757434326019116</v>
      </c>
      <c r="G752" s="19">
        <f t="shared" ca="1" si="102"/>
        <v>-0.4474333260191159</v>
      </c>
      <c r="H752" s="27">
        <v>45.650002000000001</v>
      </c>
      <c r="I752" s="19">
        <f t="shared" si="103"/>
        <v>-1.7645771085737727E-2</v>
      </c>
      <c r="J752" s="19">
        <f t="shared" ca="1" si="104"/>
        <v>-1.853870595378674E-2</v>
      </c>
      <c r="K752" s="19">
        <f t="shared" ca="1" si="105"/>
        <v>81.942201476995763</v>
      </c>
      <c r="L752" s="19">
        <f t="shared" ca="1" si="106"/>
        <v>1.5477965230042372</v>
      </c>
      <c r="M752" s="19">
        <f t="shared" ca="1" si="107"/>
        <v>1.1003631969851213</v>
      </c>
      <c r="AA752" s="37">
        <v>732</v>
      </c>
      <c r="AB752" s="37">
        <v>1.76242095124105</v>
      </c>
      <c r="AC752" s="37">
        <v>2.8570400443570367</v>
      </c>
      <c r="AD752" s="37">
        <v>3.2259499843632402</v>
      </c>
    </row>
    <row r="753" spans="2:30" x14ac:dyDescent="0.3">
      <c r="B753" s="28">
        <v>43725</v>
      </c>
      <c r="C753" s="25">
        <v>36.229999999999997</v>
      </c>
      <c r="D753" s="18">
        <f t="shared" si="99"/>
        <v>-1.3612850530901222E-2</v>
      </c>
      <c r="E753" s="32">
        <f t="shared" ca="1" si="100"/>
        <v>-1.1307914824819371E-2</v>
      </c>
      <c r="F753" s="18">
        <f t="shared" ca="1" si="101"/>
        <v>57.650636475256867</v>
      </c>
      <c r="G753" s="19">
        <f t="shared" ca="1" si="102"/>
        <v>0.65936452474313256</v>
      </c>
      <c r="H753" s="27">
        <v>47.310001</v>
      </c>
      <c r="I753" s="19">
        <f t="shared" si="103"/>
        <v>3.6363612864682926E-2</v>
      </c>
      <c r="J753" s="19">
        <f t="shared" ca="1" si="104"/>
        <v>-4.8365169491218782E-3</v>
      </c>
      <c r="K753" s="19">
        <f t="shared" ca="1" si="105"/>
        <v>83.08619720959085</v>
      </c>
      <c r="L753" s="19">
        <f t="shared" ca="1" si="106"/>
        <v>0.40380079040915007</v>
      </c>
      <c r="M753" s="19">
        <f t="shared" ca="1" si="107"/>
        <v>1.0631653151522826</v>
      </c>
      <c r="AA753" s="37">
        <v>733</v>
      </c>
      <c r="AB753" s="37">
        <v>1.7347389800346014</v>
      </c>
      <c r="AC753" s="37">
        <v>2.8533997596022225</v>
      </c>
      <c r="AD753" s="37">
        <v>3.3169306093933506</v>
      </c>
    </row>
    <row r="754" spans="2:30" x14ac:dyDescent="0.3">
      <c r="B754" s="28">
        <v>43726</v>
      </c>
      <c r="C754" s="25">
        <v>35.849997999999999</v>
      </c>
      <c r="D754" s="18">
        <f t="shared" si="99"/>
        <v>-1.0488600607231557E-2</v>
      </c>
      <c r="E754" s="32">
        <f t="shared" ca="1" si="100"/>
        <v>1.0840503481520242E-3</v>
      </c>
      <c r="F754" s="18">
        <f t="shared" ca="1" si="101"/>
        <v>58.373211976884789</v>
      </c>
      <c r="G754" s="19">
        <f t="shared" ca="1" si="102"/>
        <v>-6.3210976884789716E-2</v>
      </c>
      <c r="H754" s="27">
        <v>46.549999</v>
      </c>
      <c r="I754" s="19">
        <f t="shared" si="103"/>
        <v>-1.6064298962919055E-2</v>
      </c>
      <c r="J754" s="19">
        <f t="shared" ca="1" si="104"/>
        <v>9.8327515190623892E-3</v>
      </c>
      <c r="K754" s="19">
        <f t="shared" ca="1" si="105"/>
        <v>84.310934404661012</v>
      </c>
      <c r="L754" s="19">
        <f t="shared" ca="1" si="106"/>
        <v>-0.82093640466101192</v>
      </c>
      <c r="M754" s="19">
        <f t="shared" ca="1" si="107"/>
        <v>-0.88414738154580164</v>
      </c>
      <c r="AA754" s="37">
        <v>734</v>
      </c>
      <c r="AB754" s="37">
        <v>1.7750982927812988</v>
      </c>
      <c r="AC754" s="37">
        <v>2.8816109913019679</v>
      </c>
      <c r="AD754" s="37">
        <v>3.2639596727519757</v>
      </c>
    </row>
    <row r="755" spans="2:30" x14ac:dyDescent="0.3">
      <c r="B755" s="28">
        <v>43727</v>
      </c>
      <c r="C755" s="25">
        <v>36.07</v>
      </c>
      <c r="D755" s="18">
        <f t="shared" si="99"/>
        <v>6.1367367440299248E-3</v>
      </c>
      <c r="E755" s="32">
        <f t="shared" ca="1" si="100"/>
        <v>1.193367363513733E-2</v>
      </c>
      <c r="F755" s="18">
        <f t="shared" ca="1" si="101"/>
        <v>59.005853521598539</v>
      </c>
      <c r="G755" s="19">
        <f t="shared" ca="1" si="102"/>
        <v>-0.69585252159853894</v>
      </c>
      <c r="H755" s="27">
        <v>45.77</v>
      </c>
      <c r="I755" s="19">
        <f t="shared" si="103"/>
        <v>-1.6756155032355613E-2</v>
      </c>
      <c r="J755" s="19">
        <f t="shared" ca="1" si="104"/>
        <v>1.6602741327716795E-2</v>
      </c>
      <c r="K755" s="19">
        <f t="shared" ca="1" si="105"/>
        <v>84.876160840245589</v>
      </c>
      <c r="L755" s="19">
        <f t="shared" ca="1" si="106"/>
        <v>-1.3861628402455892</v>
      </c>
      <c r="M755" s="19">
        <f t="shared" ca="1" si="107"/>
        <v>-2.0820153618441282</v>
      </c>
      <c r="AA755" s="37">
        <v>735</v>
      </c>
      <c r="AB755" s="37">
        <v>1.7421529335522765</v>
      </c>
      <c r="AC755" s="37">
        <v>2.7336841862563173</v>
      </c>
      <c r="AD755" s="37">
        <v>3.1346655187836281</v>
      </c>
    </row>
    <row r="756" spans="2:30" x14ac:dyDescent="0.3">
      <c r="B756" s="28">
        <v>43728</v>
      </c>
      <c r="C756" s="25">
        <v>37.07</v>
      </c>
      <c r="D756" s="18">
        <f t="shared" si="99"/>
        <v>2.7723870252287286E-2</v>
      </c>
      <c r="E756" s="32">
        <f t="shared" ca="1" si="100"/>
        <v>-1.9420760492801132E-2</v>
      </c>
      <c r="F756" s="18">
        <f t="shared" ca="1" si="101"/>
        <v>57.177576436244003</v>
      </c>
      <c r="G756" s="19">
        <f t="shared" ca="1" si="102"/>
        <v>1.1324245637559969</v>
      </c>
      <c r="H756" s="27">
        <v>46.009998000000003</v>
      </c>
      <c r="I756" s="19">
        <f t="shared" si="103"/>
        <v>5.243565654358795E-3</v>
      </c>
      <c r="J756" s="19">
        <f t="shared" ca="1" si="104"/>
        <v>1.771221659708604E-2</v>
      </c>
      <c r="K756" s="19">
        <f t="shared" ca="1" si="105"/>
        <v>84.968790928266273</v>
      </c>
      <c r="L756" s="19">
        <f t="shared" ca="1" si="106"/>
        <v>-1.4787929282662731</v>
      </c>
      <c r="M756" s="19">
        <f t="shared" ca="1" si="107"/>
        <v>-0.34636836451027619</v>
      </c>
      <c r="AA756" s="37">
        <v>736</v>
      </c>
      <c r="AB756" s="37">
        <v>1.8132900904455724</v>
      </c>
      <c r="AC756" s="37">
        <v>2.8869589946218848</v>
      </c>
      <c r="AD756" s="37">
        <v>3.2361533615161897</v>
      </c>
    </row>
    <row r="757" spans="2:30" x14ac:dyDescent="0.3">
      <c r="B757" s="28">
        <v>43731</v>
      </c>
      <c r="C757" s="25">
        <v>37.900002000000001</v>
      </c>
      <c r="D757" s="18">
        <f t="shared" si="99"/>
        <v>2.2390126787159348E-2</v>
      </c>
      <c r="E757" s="32">
        <f t="shared" ca="1" si="100"/>
        <v>2.2527267474338135E-2</v>
      </c>
      <c r="F757" s="18">
        <f t="shared" ca="1" si="101"/>
        <v>59.623565988955924</v>
      </c>
      <c r="G757" s="19">
        <f t="shared" ca="1" si="102"/>
        <v>-1.3135649889559247</v>
      </c>
      <c r="H757" s="27">
        <v>47.16</v>
      </c>
      <c r="I757" s="19">
        <f t="shared" si="103"/>
        <v>2.4994610953906093E-2</v>
      </c>
      <c r="J757" s="19">
        <f t="shared" ca="1" si="104"/>
        <v>2.3562597816398113E-3</v>
      </c>
      <c r="K757" s="19">
        <f t="shared" ca="1" si="105"/>
        <v>83.68672212445658</v>
      </c>
      <c r="L757" s="19">
        <f t="shared" ca="1" si="106"/>
        <v>-0.19672412445657983</v>
      </c>
      <c r="M757" s="19">
        <f t="shared" ca="1" si="107"/>
        <v>-1.5102891134125045</v>
      </c>
      <c r="AA757" s="37">
        <v>737</v>
      </c>
      <c r="AB757" s="37">
        <v>1.7926184148490392</v>
      </c>
      <c r="AC757" s="37">
        <v>2.7382365296812439</v>
      </c>
      <c r="AD757" s="37">
        <v>3.404723303239801</v>
      </c>
    </row>
    <row r="758" spans="2:30" x14ac:dyDescent="0.3">
      <c r="B758" s="28">
        <v>43732</v>
      </c>
      <c r="C758" s="25">
        <v>36.68</v>
      </c>
      <c r="D758" s="18">
        <f t="shared" si="99"/>
        <v>-3.2190024686542307E-2</v>
      </c>
      <c r="E758" s="32">
        <f t="shared" ca="1" si="100"/>
        <v>-1.4198639552600954E-3</v>
      </c>
      <c r="F758" s="18">
        <f t="shared" ca="1" si="101"/>
        <v>58.227208731348924</v>
      </c>
      <c r="G758" s="19">
        <f t="shared" ca="1" si="102"/>
        <v>8.2792268651076029E-2</v>
      </c>
      <c r="H758" s="27">
        <v>46.200001</v>
      </c>
      <c r="I758" s="19">
        <f t="shared" si="103"/>
        <v>-2.0356212892281511E-2</v>
      </c>
      <c r="J758" s="19">
        <f t="shared" ca="1" si="104"/>
        <v>2.1389507524677578E-2</v>
      </c>
      <c r="K758" s="19">
        <f t="shared" ca="1" si="105"/>
        <v>85.275807940456303</v>
      </c>
      <c r="L758" s="19">
        <f t="shared" ca="1" si="106"/>
        <v>-1.7858099404563035</v>
      </c>
      <c r="M758" s="19">
        <f t="shared" ca="1" si="107"/>
        <v>-1.7030176718052275</v>
      </c>
      <c r="AA758" s="37">
        <v>738</v>
      </c>
      <c r="AB758" s="37">
        <v>1.7815337070594188</v>
      </c>
      <c r="AC758" s="37">
        <v>2.7546703058910964</v>
      </c>
      <c r="AD758" s="37">
        <v>3.2070583248427886</v>
      </c>
    </row>
    <row r="759" spans="2:30" x14ac:dyDescent="0.3">
      <c r="B759" s="28">
        <v>43733</v>
      </c>
      <c r="C759" s="25">
        <v>36.18</v>
      </c>
      <c r="D759" s="18">
        <f t="shared" si="99"/>
        <v>-1.36314067611778E-2</v>
      </c>
      <c r="E759" s="32">
        <f t="shared" ca="1" si="100"/>
        <v>1.9937537185845873E-3</v>
      </c>
      <c r="F759" s="18">
        <f t="shared" ca="1" si="101"/>
        <v>58.426256781324419</v>
      </c>
      <c r="G759" s="19">
        <f t="shared" ca="1" si="102"/>
        <v>-0.11625578132441916</v>
      </c>
      <c r="H759" s="27">
        <v>47.220001000000003</v>
      </c>
      <c r="I759" s="19">
        <f t="shared" si="103"/>
        <v>2.207792160004507E-2</v>
      </c>
      <c r="J759" s="19">
        <f t="shared" ca="1" si="104"/>
        <v>1.6821181598624894E-2</v>
      </c>
      <c r="K759" s="19">
        <f t="shared" ca="1" si="105"/>
        <v>84.894398418026839</v>
      </c>
      <c r="L759" s="19">
        <f t="shared" ca="1" si="106"/>
        <v>-1.4044004180268388</v>
      </c>
      <c r="M759" s="19">
        <f t="shared" ca="1" si="107"/>
        <v>-1.520656199351258</v>
      </c>
      <c r="AA759" s="37">
        <v>739</v>
      </c>
      <c r="AB759" s="37">
        <v>1.8288936849342947</v>
      </c>
      <c r="AC759" s="37">
        <v>2.825399266704649</v>
      </c>
      <c r="AD759" s="37">
        <v>3.3412451983421807</v>
      </c>
    </row>
    <row r="760" spans="2:30" x14ac:dyDescent="0.3">
      <c r="B760" s="28">
        <v>43734</v>
      </c>
      <c r="C760" s="25">
        <v>36.07</v>
      </c>
      <c r="D760" s="18">
        <f t="shared" si="99"/>
        <v>-3.040353786622374E-3</v>
      </c>
      <c r="E760" s="32">
        <f t="shared" ca="1" si="100"/>
        <v>-1.4854913866904185E-2</v>
      </c>
      <c r="F760" s="18">
        <f t="shared" ca="1" si="101"/>
        <v>57.443810957565901</v>
      </c>
      <c r="G760" s="19">
        <f t="shared" ca="1" si="102"/>
        <v>0.86619004243409847</v>
      </c>
      <c r="H760" s="27">
        <v>46.25</v>
      </c>
      <c r="I760" s="19">
        <f t="shared" si="103"/>
        <v>-2.0542163902114385E-2</v>
      </c>
      <c r="J760" s="19">
        <f t="shared" ca="1" si="104"/>
        <v>2.0615895888729103E-2</v>
      </c>
      <c r="K760" s="19">
        <f t="shared" ca="1" si="105"/>
        <v>85.2112191065182</v>
      </c>
      <c r="L760" s="19">
        <f t="shared" ca="1" si="106"/>
        <v>-1.7212211065182004</v>
      </c>
      <c r="M760" s="19">
        <f t="shared" ca="1" si="107"/>
        <v>-0.8550310640841019</v>
      </c>
      <c r="AA760" s="37">
        <v>740</v>
      </c>
      <c r="AB760" s="37">
        <v>1.7611763157558589</v>
      </c>
      <c r="AC760" s="37">
        <v>2.9237590205401514</v>
      </c>
      <c r="AD760" s="37">
        <v>3.3198839781969545</v>
      </c>
    </row>
    <row r="761" spans="2:30" x14ac:dyDescent="0.3">
      <c r="B761" s="28">
        <v>43735</v>
      </c>
      <c r="C761" s="25">
        <v>36.049999</v>
      </c>
      <c r="D761" s="18">
        <f t="shared" si="99"/>
        <v>-5.5450512891597192E-4</v>
      </c>
      <c r="E761" s="32">
        <f t="shared" ca="1" si="100"/>
        <v>2.3068424906962592E-2</v>
      </c>
      <c r="F761" s="18">
        <f t="shared" ca="1" si="101"/>
        <v>59.655120879393415</v>
      </c>
      <c r="G761" s="19">
        <f t="shared" ca="1" si="102"/>
        <v>-1.3451198793934154</v>
      </c>
      <c r="H761" s="27">
        <v>46.490001999999997</v>
      </c>
      <c r="I761" s="19">
        <f t="shared" si="103"/>
        <v>5.1892324324323003E-3</v>
      </c>
      <c r="J761" s="19">
        <f t="shared" ca="1" si="104"/>
        <v>-3.2856388274105239E-2</v>
      </c>
      <c r="K761" s="19">
        <f t="shared" ca="1" si="105"/>
        <v>80.746818208707737</v>
      </c>
      <c r="L761" s="19">
        <f t="shared" ca="1" si="106"/>
        <v>2.7431797912922633</v>
      </c>
      <c r="M761" s="19">
        <f t="shared" ca="1" si="107"/>
        <v>1.3980599118988479</v>
      </c>
      <c r="AA761" s="37">
        <v>741</v>
      </c>
      <c r="AB761" s="37">
        <v>1.7061156988505473</v>
      </c>
      <c r="AC761" s="37">
        <v>2.780635318264002</v>
      </c>
      <c r="AD761" s="37">
        <v>3.399796293134123</v>
      </c>
    </row>
    <row r="762" spans="2:30" x14ac:dyDescent="0.3">
      <c r="B762" s="28">
        <v>43738</v>
      </c>
      <c r="C762" s="25">
        <v>35.990001999999997</v>
      </c>
      <c r="D762" s="18">
        <f t="shared" si="99"/>
        <v>-1.6642718908259635E-3</v>
      </c>
      <c r="E762" s="32">
        <f t="shared" ca="1" si="100"/>
        <v>-4.1356352085990429E-2</v>
      </c>
      <c r="F762" s="18">
        <f t="shared" ca="1" si="101"/>
        <v>55.898512068509547</v>
      </c>
      <c r="G762" s="19">
        <f t="shared" ca="1" si="102"/>
        <v>2.4114889314904531</v>
      </c>
      <c r="H762" s="27">
        <v>46.139999000000003</v>
      </c>
      <c r="I762" s="19">
        <f t="shared" si="103"/>
        <v>-7.5285649589774684E-3</v>
      </c>
      <c r="J762" s="19">
        <f t="shared" ca="1" si="104"/>
        <v>-2.6526929655777572E-2</v>
      </c>
      <c r="K762" s="19">
        <f t="shared" ca="1" si="105"/>
        <v>81.275264696092989</v>
      </c>
      <c r="L762" s="19">
        <f t="shared" ca="1" si="106"/>
        <v>2.2147333039070105</v>
      </c>
      <c r="M762" s="19">
        <f t="shared" ca="1" si="107"/>
        <v>4.6262222353974636</v>
      </c>
      <c r="AA762" s="37">
        <v>742</v>
      </c>
      <c r="AB762" s="37">
        <v>1.7299444008659119</v>
      </c>
      <c r="AC762" s="37">
        <v>2.7463906714235704</v>
      </c>
      <c r="AD762" s="37">
        <v>3.1696464981632166</v>
      </c>
    </row>
    <row r="763" spans="2:30" x14ac:dyDescent="0.3">
      <c r="B763" s="28">
        <v>43739</v>
      </c>
      <c r="C763" s="25">
        <v>36.240001999999997</v>
      </c>
      <c r="D763" s="18">
        <f t="shared" si="99"/>
        <v>6.9463736067589821E-3</v>
      </c>
      <c r="E763" s="32">
        <f t="shared" ca="1" si="100"/>
        <v>-2.7528412836905315E-2</v>
      </c>
      <c r="F763" s="18">
        <f t="shared" ca="1" si="101"/>
        <v>56.704819219951638</v>
      </c>
      <c r="G763" s="19">
        <f t="shared" ca="1" si="102"/>
        <v>1.6051817800483619</v>
      </c>
      <c r="H763" s="27">
        <v>45.869999</v>
      </c>
      <c r="I763" s="19">
        <f t="shared" si="103"/>
        <v>-5.8517556534841697E-3</v>
      </c>
      <c r="J763" s="19">
        <f t="shared" ca="1" si="104"/>
        <v>-2.3179521755271298E-2</v>
      </c>
      <c r="K763" s="19">
        <f t="shared" ca="1" si="105"/>
        <v>81.554739775011441</v>
      </c>
      <c r="L763" s="19">
        <f t="shared" ca="1" si="106"/>
        <v>1.9352582249885586</v>
      </c>
      <c r="M763" s="19">
        <f t="shared" ca="1" si="107"/>
        <v>3.5404400050369205</v>
      </c>
      <c r="AA763" s="37">
        <v>743</v>
      </c>
      <c r="AB763" s="37">
        <v>1.9232316448451132</v>
      </c>
      <c r="AC763" s="37">
        <v>2.9059122449626407</v>
      </c>
      <c r="AD763" s="37">
        <v>3.1188230974812119</v>
      </c>
    </row>
    <row r="764" spans="2:30" x14ac:dyDescent="0.3">
      <c r="B764" s="28">
        <v>43740</v>
      </c>
      <c r="C764" s="25">
        <v>35.479999999999997</v>
      </c>
      <c r="D764" s="18">
        <f t="shared" si="99"/>
        <v>-2.0971356458534429E-2</v>
      </c>
      <c r="E764" s="32">
        <f t="shared" ca="1" si="100"/>
        <v>1.2390602461279579E-2</v>
      </c>
      <c r="F764" s="18">
        <f t="shared" ca="1" si="101"/>
        <v>59.032497041907817</v>
      </c>
      <c r="G764" s="19">
        <f t="shared" ca="1" si="102"/>
        <v>-0.72249604190781724</v>
      </c>
      <c r="H764" s="27">
        <v>43.119999</v>
      </c>
      <c r="I764" s="19">
        <f t="shared" si="103"/>
        <v>-5.995203967630347E-2</v>
      </c>
      <c r="J764" s="19">
        <f t="shared" ca="1" si="104"/>
        <v>4.0196881507921001E-2</v>
      </c>
      <c r="K764" s="19">
        <f t="shared" ca="1" si="105"/>
        <v>86.84603555670256</v>
      </c>
      <c r="L764" s="19">
        <f t="shared" ca="1" si="106"/>
        <v>-3.3560375567025602</v>
      </c>
      <c r="M764" s="19">
        <f t="shared" ca="1" si="107"/>
        <v>-4.0785335986103775</v>
      </c>
      <c r="AA764" s="37">
        <v>744</v>
      </c>
      <c r="AB764" s="37">
        <v>1.7606439872064461</v>
      </c>
      <c r="AC764" s="37">
        <v>3.0401804765767961</v>
      </c>
      <c r="AD764" s="37">
        <v>3.3892584826930672</v>
      </c>
    </row>
    <row r="765" spans="2:30" x14ac:dyDescent="0.3">
      <c r="B765" s="28">
        <v>43741</v>
      </c>
      <c r="C765" s="25">
        <v>35.279998999999997</v>
      </c>
      <c r="D765" s="18">
        <f t="shared" si="99"/>
        <v>-5.637006764374286E-3</v>
      </c>
      <c r="E765" s="32">
        <f t="shared" ca="1" si="100"/>
        <v>3.2036254896010245E-2</v>
      </c>
      <c r="F765" s="18">
        <f t="shared" ca="1" si="101"/>
        <v>60.178035055022612</v>
      </c>
      <c r="G765" s="19">
        <f t="shared" ca="1" si="102"/>
        <v>-1.868034055022612</v>
      </c>
      <c r="H765" s="27">
        <v>43.009998000000003</v>
      </c>
      <c r="I765" s="19">
        <f t="shared" si="103"/>
        <v>-2.5510436584192941E-3</v>
      </c>
      <c r="J765" s="19">
        <f t="shared" ca="1" si="104"/>
        <v>-2.6781391458082698E-2</v>
      </c>
      <c r="K765" s="19">
        <f t="shared" ca="1" si="105"/>
        <v>81.254019680727467</v>
      </c>
      <c r="L765" s="19">
        <f t="shared" ca="1" si="106"/>
        <v>2.2359783192725331</v>
      </c>
      <c r="M765" s="19">
        <f t="shared" ca="1" si="107"/>
        <v>0.3679442642499211</v>
      </c>
      <c r="AA765" s="37">
        <v>745</v>
      </c>
      <c r="AB765" s="37">
        <v>1.7429151485835133</v>
      </c>
      <c r="AC765" s="37">
        <v>2.8980265547286255</v>
      </c>
      <c r="AD765" s="37">
        <v>3.5554189856478384</v>
      </c>
    </row>
    <row r="766" spans="2:30" x14ac:dyDescent="0.3">
      <c r="B766" s="28">
        <v>43742</v>
      </c>
      <c r="C766" s="25">
        <v>35.779998999999997</v>
      </c>
      <c r="D766" s="18">
        <f t="shared" si="99"/>
        <v>1.4172336002617136E-2</v>
      </c>
      <c r="E766" s="32">
        <f t="shared" ca="1" si="100"/>
        <v>1.5346846692493522E-2</v>
      </c>
      <c r="F766" s="18">
        <f t="shared" ca="1" si="101"/>
        <v>59.204875645986142</v>
      </c>
      <c r="G766" s="19">
        <f t="shared" ca="1" si="102"/>
        <v>-0.89487464598614253</v>
      </c>
      <c r="H766" s="27">
        <v>45.27</v>
      </c>
      <c r="I766" s="19">
        <f t="shared" si="103"/>
        <v>5.2545968497836215E-2</v>
      </c>
      <c r="J766" s="19">
        <f t="shared" ca="1" si="104"/>
        <v>6.93913303702994E-3</v>
      </c>
      <c r="K766" s="19">
        <f t="shared" ca="1" si="105"/>
        <v>84.069346203383361</v>
      </c>
      <c r="L766" s="19">
        <f t="shared" ca="1" si="106"/>
        <v>-0.57934820338336124</v>
      </c>
      <c r="M766" s="19">
        <f t="shared" ca="1" si="107"/>
        <v>-1.4742228493695038</v>
      </c>
      <c r="AA766" s="37">
        <v>746</v>
      </c>
      <c r="AB766" s="37">
        <v>1.785728791411193</v>
      </c>
      <c r="AC766" s="37">
        <v>2.7647215249564581</v>
      </c>
      <c r="AD766" s="37">
        <v>3.183207150926858</v>
      </c>
    </row>
    <row r="767" spans="2:30" x14ac:dyDescent="0.3">
      <c r="B767" s="28">
        <v>43745</v>
      </c>
      <c r="C767" s="25">
        <v>34.979999999999997</v>
      </c>
      <c r="D767" s="18">
        <f t="shared" si="99"/>
        <v>-2.2358832374478221E-2</v>
      </c>
      <c r="E767" s="32">
        <f t="shared" ca="1" si="100"/>
        <v>-2.9649010391674641E-2</v>
      </c>
      <c r="F767" s="18">
        <f t="shared" ca="1" si="101"/>
        <v>56.581167174412442</v>
      </c>
      <c r="G767" s="19">
        <f t="shared" ca="1" si="102"/>
        <v>1.7288338255875573</v>
      </c>
      <c r="H767" s="27">
        <v>44.84</v>
      </c>
      <c r="I767" s="19">
        <f t="shared" si="103"/>
        <v>-9.4985641705324086E-3</v>
      </c>
      <c r="J767" s="19">
        <f t="shared" ca="1" si="104"/>
        <v>5.2185351421040445E-3</v>
      </c>
      <c r="K767" s="19">
        <f t="shared" ca="1" si="105"/>
        <v>83.92569348857721</v>
      </c>
      <c r="L767" s="19">
        <f t="shared" ca="1" si="106"/>
        <v>-0.43569548857720974</v>
      </c>
      <c r="M767" s="19">
        <f t="shared" ca="1" si="107"/>
        <v>1.2931383370103475</v>
      </c>
      <c r="AA767" s="37">
        <v>747</v>
      </c>
      <c r="AB767" s="37">
        <v>1.8060130306760915</v>
      </c>
      <c r="AC767" s="37">
        <v>2.6627940654749263</v>
      </c>
      <c r="AD767" s="37">
        <v>3.1214257121067797</v>
      </c>
    </row>
    <row r="768" spans="2:30" x14ac:dyDescent="0.3">
      <c r="B768" s="28">
        <v>43746</v>
      </c>
      <c r="C768" s="25">
        <v>34.720001000000003</v>
      </c>
      <c r="D768" s="18">
        <f t="shared" si="99"/>
        <v>-7.4327901658088891E-3</v>
      </c>
      <c r="E768" s="32">
        <f t="shared" ca="1" si="100"/>
        <v>-1.4076018466635287E-2</v>
      </c>
      <c r="F768" s="18">
        <f t="shared" ca="1" si="101"/>
        <v>57.489228349134478</v>
      </c>
      <c r="G768" s="19">
        <f t="shared" ca="1" si="102"/>
        <v>0.82077265086552131</v>
      </c>
      <c r="H768" s="27">
        <v>43.939999</v>
      </c>
      <c r="I768" s="19">
        <f t="shared" si="103"/>
        <v>-2.0071387154326548E-2</v>
      </c>
      <c r="J768" s="19">
        <f t="shared" ca="1" si="104"/>
        <v>-1.5481101654977382E-2</v>
      </c>
      <c r="K768" s="19">
        <f t="shared" ca="1" si="105"/>
        <v>82.197480853788136</v>
      </c>
      <c r="L768" s="19">
        <f t="shared" ca="1" si="106"/>
        <v>1.2925171462118641</v>
      </c>
      <c r="M768" s="19">
        <f t="shared" ca="1" si="107"/>
        <v>2.1132897970773854</v>
      </c>
      <c r="AA768" s="37">
        <v>748</v>
      </c>
      <c r="AB768" s="37">
        <v>1.6987137475163538</v>
      </c>
      <c r="AC768" s="37">
        <v>2.9158742368821717</v>
      </c>
      <c r="AD768" s="37">
        <v>3.463406162715823</v>
      </c>
    </row>
    <row r="769" spans="2:30" x14ac:dyDescent="0.3">
      <c r="B769" s="28">
        <v>43747</v>
      </c>
      <c r="C769" s="25">
        <v>35.029998999999997</v>
      </c>
      <c r="D769" s="18">
        <f t="shared" si="99"/>
        <v>8.9285135677268368E-3</v>
      </c>
      <c r="E769" s="32">
        <f t="shared" ca="1" si="100"/>
        <v>-3.8895795175547893E-2</v>
      </c>
      <c r="F769" s="18">
        <f t="shared" ca="1" si="101"/>
        <v>56.041987144418009</v>
      </c>
      <c r="G769" s="19">
        <f t="shared" ca="1" si="102"/>
        <v>2.2680138555819909</v>
      </c>
      <c r="H769" s="27">
        <v>44</v>
      </c>
      <c r="I769" s="19">
        <f t="shared" si="103"/>
        <v>1.3655211963021774E-3</v>
      </c>
      <c r="J769" s="19">
        <f t="shared" ca="1" si="104"/>
        <v>-5.8624672868318288E-3</v>
      </c>
      <c r="K769" s="19">
        <f t="shared" ca="1" si="105"/>
        <v>83.000540617947351</v>
      </c>
      <c r="L769" s="19">
        <f t="shared" ca="1" si="106"/>
        <v>0.48945738205264888</v>
      </c>
      <c r="M769" s="19">
        <f t="shared" ca="1" si="107"/>
        <v>2.7574712376346397</v>
      </c>
      <c r="AA769" s="37">
        <v>749</v>
      </c>
      <c r="AB769" s="37">
        <v>1.7915841085134581</v>
      </c>
      <c r="AC769" s="37">
        <v>2.7260259829510911</v>
      </c>
      <c r="AD769" s="37">
        <v>3.5355798267124934</v>
      </c>
    </row>
    <row r="770" spans="2:30" x14ac:dyDescent="0.3">
      <c r="B770" s="28">
        <v>43748</v>
      </c>
      <c r="C770" s="25">
        <v>35.389999000000003</v>
      </c>
      <c r="D770" s="18">
        <f t="shared" si="99"/>
        <v>1.0276905802937941E-2</v>
      </c>
      <c r="E770" s="32">
        <f t="shared" ca="1" si="100"/>
        <v>-2.2249757227803466E-2</v>
      </c>
      <c r="F770" s="18">
        <f t="shared" ca="1" si="101"/>
        <v>57.012617633797028</v>
      </c>
      <c r="G770" s="19">
        <f t="shared" ca="1" si="102"/>
        <v>1.2973833662029719</v>
      </c>
      <c r="H770" s="27">
        <v>45.810001</v>
      </c>
      <c r="I770" s="19">
        <f t="shared" si="103"/>
        <v>4.1136386363636257E-2</v>
      </c>
      <c r="J770" s="19">
        <f t="shared" ca="1" si="104"/>
        <v>-1.4108701886891381E-2</v>
      </c>
      <c r="K770" s="19">
        <f t="shared" ca="1" si="105"/>
        <v>82.312062507680835</v>
      </c>
      <c r="L770" s="19">
        <f t="shared" ca="1" si="106"/>
        <v>1.1779354923191647</v>
      </c>
      <c r="M770" s="19">
        <f t="shared" ca="1" si="107"/>
        <v>2.4753188585221366</v>
      </c>
      <c r="AA770" s="37">
        <v>750</v>
      </c>
      <c r="AB770" s="37">
        <v>1.7167165221899559</v>
      </c>
      <c r="AC770" s="37">
        <v>2.6432606117751454</v>
      </c>
      <c r="AD770" s="37">
        <v>3.3261156261734666</v>
      </c>
    </row>
    <row r="771" spans="2:30" x14ac:dyDescent="0.3">
      <c r="B771" s="28">
        <v>43749</v>
      </c>
      <c r="C771" s="25">
        <v>35.639999000000003</v>
      </c>
      <c r="D771" s="18">
        <f t="shared" si="99"/>
        <v>7.0641426127195928E-3</v>
      </c>
      <c r="E771" s="32">
        <f t="shared" ca="1" si="100"/>
        <v>1.0595972982610965E-2</v>
      </c>
      <c r="F771" s="18">
        <f t="shared" ca="1" si="101"/>
        <v>58.927852195212026</v>
      </c>
      <c r="G771" s="19">
        <f t="shared" ca="1" si="102"/>
        <v>-0.61785119521202603</v>
      </c>
      <c r="H771" s="27">
        <v>46.950001</v>
      </c>
      <c r="I771" s="19">
        <f t="shared" si="103"/>
        <v>2.4885395658472031E-2</v>
      </c>
      <c r="J771" s="19">
        <f t="shared" ca="1" si="104"/>
        <v>-1.2744098817216965E-2</v>
      </c>
      <c r="K771" s="19">
        <f t="shared" ca="1" si="105"/>
        <v>82.425993215238762</v>
      </c>
      <c r="L771" s="19">
        <f t="shared" ca="1" si="106"/>
        <v>1.0640047847612379</v>
      </c>
      <c r="M771" s="19">
        <f t="shared" ca="1" si="107"/>
        <v>0.44615358954921192</v>
      </c>
      <c r="AA771" s="37">
        <v>751</v>
      </c>
      <c r="AB771" s="37">
        <v>1.7184031508337829</v>
      </c>
      <c r="AC771" s="37">
        <v>2.6332351427401033</v>
      </c>
      <c r="AD771" s="37">
        <v>3.0445567032204388</v>
      </c>
    </row>
    <row r="772" spans="2:30" x14ac:dyDescent="0.3">
      <c r="B772" s="28">
        <v>43752</v>
      </c>
      <c r="C772" s="25">
        <v>34.830002</v>
      </c>
      <c r="D772" s="18">
        <f t="shared" si="99"/>
        <v>-2.2727189189876262E-2</v>
      </c>
      <c r="E772" s="32">
        <f t="shared" ca="1" si="100"/>
        <v>6.2809928303992789E-4</v>
      </c>
      <c r="F772" s="18">
        <f t="shared" ca="1" si="101"/>
        <v>58.34662546982215</v>
      </c>
      <c r="G772" s="19">
        <f t="shared" ca="1" si="102"/>
        <v>-3.6624469822150729E-2</v>
      </c>
      <c r="H772" s="27">
        <v>46.720001000000003</v>
      </c>
      <c r="I772" s="19">
        <f t="shared" si="103"/>
        <v>-4.8988284366595636E-3</v>
      </c>
      <c r="J772" s="19">
        <f t="shared" ca="1" si="104"/>
        <v>2.6172495158410195E-2</v>
      </c>
      <c r="K772" s="19">
        <f t="shared" ca="1" si="105"/>
        <v>85.675139568430666</v>
      </c>
      <c r="L772" s="19">
        <f t="shared" ca="1" si="106"/>
        <v>-2.1851415684306659</v>
      </c>
      <c r="M772" s="19">
        <f t="shared" ca="1" si="107"/>
        <v>-2.2217660382528166</v>
      </c>
      <c r="AA772" s="37">
        <v>752</v>
      </c>
      <c r="AB772" s="37">
        <v>1.8610883912014051</v>
      </c>
      <c r="AC772" s="37">
        <v>2.7577272685155889</v>
      </c>
      <c r="AD772" s="37">
        <v>3.1538231062666027</v>
      </c>
    </row>
    <row r="773" spans="2:30" x14ac:dyDescent="0.3">
      <c r="B773" s="28">
        <v>43753</v>
      </c>
      <c r="C773" s="25">
        <v>35.220001000000003</v>
      </c>
      <c r="D773" s="18">
        <f t="shared" si="99"/>
        <v>1.1197214401538202E-2</v>
      </c>
      <c r="E773" s="32">
        <f t="shared" ca="1" si="100"/>
        <v>2.9023630962862214E-3</v>
      </c>
      <c r="F773" s="18">
        <f t="shared" ca="1" si="101"/>
        <v>58.479237795046821</v>
      </c>
      <c r="G773" s="19">
        <f t="shared" ca="1" si="102"/>
        <v>-0.16923679504682099</v>
      </c>
      <c r="H773" s="27">
        <v>47.099997999999999</v>
      </c>
      <c r="I773" s="19">
        <f t="shared" si="103"/>
        <v>8.1334972574165221E-3</v>
      </c>
      <c r="J773" s="19">
        <f t="shared" ca="1" si="104"/>
        <v>-5.973284729278115E-3</v>
      </c>
      <c r="K773" s="19">
        <f t="shared" ca="1" si="105"/>
        <v>82.991288469899132</v>
      </c>
      <c r="L773" s="19">
        <f t="shared" ca="1" si="106"/>
        <v>0.49870953010086794</v>
      </c>
      <c r="M773" s="19">
        <f t="shared" ca="1" si="107"/>
        <v>0.32947273505404695</v>
      </c>
      <c r="AA773" s="37">
        <v>753</v>
      </c>
      <c r="AB773" s="37">
        <v>1.8401938758176541</v>
      </c>
      <c r="AC773" s="37">
        <v>2.6926697881807411</v>
      </c>
      <c r="AD773" s="37">
        <v>3.542056975016211</v>
      </c>
    </row>
    <row r="774" spans="2:30" x14ac:dyDescent="0.3">
      <c r="B774" s="28">
        <v>43754</v>
      </c>
      <c r="C774" s="25">
        <v>34.919998</v>
      </c>
      <c r="D774" s="18">
        <f t="shared" si="99"/>
        <v>-8.5179725009094653E-3</v>
      </c>
      <c r="E774" s="32">
        <f t="shared" ca="1" si="100"/>
        <v>-2.2165865751923332E-2</v>
      </c>
      <c r="F774" s="18">
        <f t="shared" ca="1" si="101"/>
        <v>57.017509345839485</v>
      </c>
      <c r="G774" s="19">
        <f t="shared" ca="1" si="102"/>
        <v>1.2924916541605143</v>
      </c>
      <c r="H774" s="27">
        <v>47.900002000000001</v>
      </c>
      <c r="I774" s="19">
        <f t="shared" si="103"/>
        <v>1.6985223651177161E-2</v>
      </c>
      <c r="J774" s="19">
        <f t="shared" ca="1" si="104"/>
        <v>-1.2239985206468892E-2</v>
      </c>
      <c r="K774" s="19">
        <f t="shared" ca="1" si="105"/>
        <v>82.468081659591888</v>
      </c>
      <c r="L774" s="19">
        <f t="shared" ca="1" si="106"/>
        <v>1.0219163404081115</v>
      </c>
      <c r="M774" s="19">
        <f t="shared" ca="1" si="107"/>
        <v>2.3144079945686258</v>
      </c>
      <c r="AA774" s="37">
        <v>754</v>
      </c>
      <c r="AB774" s="37">
        <v>1.7635134649317343</v>
      </c>
      <c r="AC774" s="37">
        <v>2.7924319637078576</v>
      </c>
      <c r="AD774" s="37">
        <v>3.3057426628744264</v>
      </c>
    </row>
    <row r="775" spans="2:30" x14ac:dyDescent="0.3">
      <c r="B775" s="28">
        <v>43755</v>
      </c>
      <c r="C775" s="25">
        <v>35.080002</v>
      </c>
      <c r="D775" s="18">
        <f t="shared" si="99"/>
        <v>4.5820162990846125E-3</v>
      </c>
      <c r="E775" s="32">
        <f t="shared" ca="1" si="100"/>
        <v>-2.3259914364144207E-2</v>
      </c>
      <c r="F775" s="18">
        <f t="shared" ca="1" si="101"/>
        <v>56.95371537016684</v>
      </c>
      <c r="G775" s="19">
        <f t="shared" ca="1" si="102"/>
        <v>1.3562856298331596</v>
      </c>
      <c r="H775" s="27">
        <v>47.240001999999997</v>
      </c>
      <c r="I775" s="19">
        <f t="shared" si="103"/>
        <v>-1.3778705061431973E-2</v>
      </c>
      <c r="J775" s="19">
        <f t="shared" ca="1" si="104"/>
        <v>-1.0773782414566434E-2</v>
      </c>
      <c r="K775" s="19">
        <f t="shared" ca="1" si="105"/>
        <v>82.590494927755415</v>
      </c>
      <c r="L775" s="19">
        <f t="shared" ca="1" si="106"/>
        <v>0.8995030722445847</v>
      </c>
      <c r="M775" s="19">
        <f t="shared" ca="1" si="107"/>
        <v>2.2557887020777443</v>
      </c>
      <c r="AA775" s="37">
        <v>755</v>
      </c>
      <c r="AB775" s="37">
        <v>1.7115565646954678</v>
      </c>
      <c r="AC775" s="37">
        <v>2.709568221071704</v>
      </c>
      <c r="AD775" s="37">
        <v>3.4795574292508511</v>
      </c>
    </row>
    <row r="776" spans="2:30" x14ac:dyDescent="0.3">
      <c r="B776" s="28">
        <v>43756</v>
      </c>
      <c r="C776" s="25">
        <v>34.060001</v>
      </c>
      <c r="D776" s="18">
        <f t="shared" ref="D776:D839" si="108">C776/C775-1</f>
        <v>-2.9076423655848171E-2</v>
      </c>
      <c r="E776" s="32">
        <f t="shared" ref="E776:E839" ca="1" si="109">NORMINV(RAND(),$E$3,$E$4)</f>
        <v>1.0696024005874331E-2</v>
      </c>
      <c r="F776" s="18">
        <f t="shared" ref="F776:F839" ca="1" si="110">$C$1261*(1+E776)</f>
        <v>58.933686170478559</v>
      </c>
      <c r="G776" s="19">
        <f t="shared" ref="G776:G839" ca="1" si="111">$C$1261-F776</f>
        <v>-0.62368517047855931</v>
      </c>
      <c r="H776" s="27">
        <v>47.57</v>
      </c>
      <c r="I776" s="19">
        <f t="shared" ref="I776:I839" si="112">H776/H775-1</f>
        <v>6.9855627863859571E-3</v>
      </c>
      <c r="J776" s="19">
        <f t="shared" ref="J776:J839" ca="1" si="113">NORMINV(RAND(),$J$3,$J$4)</f>
        <v>-5.0881100369336192E-3</v>
      </c>
      <c r="K776" s="19">
        <f t="shared" ref="K776:K839" ca="1" si="114">$H$1261*(1+J776)</f>
        <v>83.065191703192625</v>
      </c>
      <c r="L776" s="19">
        <f t="shared" ref="L776:L839" ca="1" si="115">$H$1261-K776</f>
        <v>0.42480629680737536</v>
      </c>
      <c r="M776" s="19">
        <f t="shared" ref="M776:M839" ca="1" si="116">SUM(G776,L776)</f>
        <v>-0.19887887367118395</v>
      </c>
      <c r="AA776" s="37">
        <v>756</v>
      </c>
      <c r="AB776" s="37">
        <v>1.8424368842150054</v>
      </c>
      <c r="AC776" s="37">
        <v>2.8341457019679761</v>
      </c>
      <c r="AD776" s="37">
        <v>3.2774760628744977</v>
      </c>
    </row>
    <row r="777" spans="2:30" x14ac:dyDescent="0.3">
      <c r="B777" s="28">
        <v>43759</v>
      </c>
      <c r="C777" s="25">
        <v>34.209999000000003</v>
      </c>
      <c r="D777" s="18">
        <f t="shared" si="108"/>
        <v>4.4039341044059821E-3</v>
      </c>
      <c r="E777" s="32">
        <f t="shared" ca="1" si="109"/>
        <v>-2.6625424095559333E-2</v>
      </c>
      <c r="F777" s="18">
        <f t="shared" ca="1" si="110"/>
        <v>56.75747249436251</v>
      </c>
      <c r="G777" s="19">
        <f t="shared" ca="1" si="111"/>
        <v>1.5525285056374898</v>
      </c>
      <c r="H777" s="27">
        <v>48.93</v>
      </c>
      <c r="I777" s="19">
        <f t="shared" si="112"/>
        <v>2.8589447130544343E-2</v>
      </c>
      <c r="J777" s="19">
        <f t="shared" ca="1" si="113"/>
        <v>1.0762455886482575E-2</v>
      </c>
      <c r="K777" s="19">
        <f t="shared" ca="1" si="114"/>
        <v>84.388555420437513</v>
      </c>
      <c r="L777" s="19">
        <f t="shared" ca="1" si="115"/>
        <v>-0.89855742043751263</v>
      </c>
      <c r="M777" s="19">
        <f t="shared" ca="1" si="116"/>
        <v>0.65397108519997715</v>
      </c>
      <c r="AA777" s="37">
        <v>757</v>
      </c>
      <c r="AB777" s="37">
        <v>1.7728544591240623</v>
      </c>
      <c r="AC777" s="37">
        <v>2.7202942671477413</v>
      </c>
      <c r="AD777" s="37">
        <v>3.4833274205366314</v>
      </c>
    </row>
    <row r="778" spans="2:30" x14ac:dyDescent="0.3">
      <c r="B778" s="28">
        <v>43760</v>
      </c>
      <c r="C778" s="25">
        <v>33.759998000000003</v>
      </c>
      <c r="D778" s="18">
        <f t="shared" si="108"/>
        <v>-1.3154078139552161E-2</v>
      </c>
      <c r="E778" s="32">
        <f t="shared" ca="1" si="109"/>
        <v>-1.4287561362642861E-2</v>
      </c>
      <c r="F778" s="18">
        <f t="shared" ca="1" si="110"/>
        <v>57.476893282656732</v>
      </c>
      <c r="G778" s="19">
        <f t="shared" ca="1" si="111"/>
        <v>0.8331077173432675</v>
      </c>
      <c r="H778" s="27">
        <v>48.099997999999999</v>
      </c>
      <c r="I778" s="19">
        <f t="shared" si="112"/>
        <v>-1.6963049254036355E-2</v>
      </c>
      <c r="J778" s="19">
        <f t="shared" ca="1" si="113"/>
        <v>9.7478130644841239E-3</v>
      </c>
      <c r="K778" s="19">
        <f t="shared" ca="1" si="114"/>
        <v>84.30384289325815</v>
      </c>
      <c r="L778" s="19">
        <f t="shared" ca="1" si="115"/>
        <v>-0.81384489325814968</v>
      </c>
      <c r="M778" s="19">
        <f t="shared" ca="1" si="116"/>
        <v>1.9262824085117813E-2</v>
      </c>
      <c r="AA778" s="37">
        <v>758</v>
      </c>
      <c r="AB778" s="37">
        <v>1.8449288414337712</v>
      </c>
      <c r="AC778" s="37">
        <v>2.5826080725560074</v>
      </c>
      <c r="AD778" s="37">
        <v>3.222592563897384</v>
      </c>
    </row>
    <row r="779" spans="2:30" x14ac:dyDescent="0.3">
      <c r="B779" s="28">
        <v>43761</v>
      </c>
      <c r="C779" s="25">
        <v>33.610000999999997</v>
      </c>
      <c r="D779" s="18">
        <f t="shared" si="108"/>
        <v>-4.4430393627394871E-3</v>
      </c>
      <c r="E779" s="32">
        <f t="shared" ca="1" si="109"/>
        <v>-1.319704806549825E-2</v>
      </c>
      <c r="F779" s="18">
        <f t="shared" ca="1" si="110"/>
        <v>57.540481114103748</v>
      </c>
      <c r="G779" s="19">
        <f t="shared" ca="1" si="111"/>
        <v>0.76951988589625131</v>
      </c>
      <c r="H779" s="27">
        <v>48.509998000000003</v>
      </c>
      <c r="I779" s="19">
        <f t="shared" si="112"/>
        <v>8.5239088783330974E-3</v>
      </c>
      <c r="J779" s="19">
        <f t="shared" ca="1" si="113"/>
        <v>-2.8716836971572852E-2</v>
      </c>
      <c r="K779" s="19">
        <f t="shared" ca="1" si="114"/>
        <v>81.09242933867705</v>
      </c>
      <c r="L779" s="19">
        <f t="shared" ca="1" si="115"/>
        <v>2.3975686613229499</v>
      </c>
      <c r="M779" s="19">
        <f t="shared" ca="1" si="116"/>
        <v>3.1670885472192012</v>
      </c>
      <c r="AA779" s="37">
        <v>759</v>
      </c>
      <c r="AB779" s="37">
        <v>1.8449643388434742</v>
      </c>
      <c r="AC779" s="37">
        <v>2.7492803177190273</v>
      </c>
      <c r="AD779" s="37">
        <v>3.2922169875471621</v>
      </c>
    </row>
    <row r="780" spans="2:30" x14ac:dyDescent="0.3">
      <c r="B780" s="28">
        <v>43762</v>
      </c>
      <c r="C780" s="25">
        <v>33.919998</v>
      </c>
      <c r="D780" s="18">
        <f t="shared" si="108"/>
        <v>9.2233558695817841E-3</v>
      </c>
      <c r="E780" s="32">
        <f t="shared" ca="1" si="109"/>
        <v>-4.479611965009689E-3</v>
      </c>
      <c r="F780" s="18">
        <f t="shared" ca="1" si="110"/>
        <v>58.048794821840673</v>
      </c>
      <c r="G780" s="19">
        <f t="shared" ca="1" si="111"/>
        <v>0.2612061781593269</v>
      </c>
      <c r="H780" s="27">
        <v>48.5</v>
      </c>
      <c r="I780" s="19">
        <f t="shared" si="112"/>
        <v>-2.0610184317060298E-4</v>
      </c>
      <c r="J780" s="19">
        <f t="shared" ca="1" si="113"/>
        <v>-4.1520670080944953E-3</v>
      </c>
      <c r="K780" s="19">
        <f t="shared" ca="1" si="114"/>
        <v>83.143341933798325</v>
      </c>
      <c r="L780" s="19">
        <f t="shared" ca="1" si="115"/>
        <v>0.34665606620167466</v>
      </c>
      <c r="M780" s="19">
        <f t="shared" ca="1" si="116"/>
        <v>0.60786224436100156</v>
      </c>
      <c r="AA780" s="37">
        <v>760</v>
      </c>
      <c r="AB780" s="37">
        <v>1.7539272464869364</v>
      </c>
      <c r="AC780" s="37">
        <v>2.9659659784112962</v>
      </c>
      <c r="AD780" s="37">
        <v>3.5212185438036454</v>
      </c>
    </row>
    <row r="781" spans="2:30" x14ac:dyDescent="0.3">
      <c r="B781" s="28">
        <v>43763</v>
      </c>
      <c r="C781" s="25">
        <v>35.889999000000003</v>
      </c>
      <c r="D781" s="18">
        <f t="shared" si="108"/>
        <v>5.8077863094213811E-2</v>
      </c>
      <c r="E781" s="32">
        <f t="shared" ca="1" si="109"/>
        <v>2.4341560105968177E-2</v>
      </c>
      <c r="F781" s="18">
        <f t="shared" ca="1" si="110"/>
        <v>59.729357394120569</v>
      </c>
      <c r="G781" s="19">
        <f t="shared" ca="1" si="111"/>
        <v>-1.4193563941205696</v>
      </c>
      <c r="H781" s="27">
        <v>49.849997999999999</v>
      </c>
      <c r="I781" s="19">
        <f t="shared" si="112"/>
        <v>2.7835010309278374E-2</v>
      </c>
      <c r="J781" s="19">
        <f t="shared" ca="1" si="113"/>
        <v>1.1717624764069132E-2</v>
      </c>
      <c r="K781" s="19">
        <f t="shared" ca="1" si="114"/>
        <v>84.468302468116875</v>
      </c>
      <c r="L781" s="19">
        <f t="shared" ca="1" si="115"/>
        <v>-0.97830446811687466</v>
      </c>
      <c r="M781" s="19">
        <f t="shared" ca="1" si="116"/>
        <v>-2.3976608622374442</v>
      </c>
      <c r="AA781" s="37">
        <v>761</v>
      </c>
      <c r="AB781" s="37">
        <v>1.7629973349178198</v>
      </c>
      <c r="AC781" s="37">
        <v>2.751596817795154</v>
      </c>
      <c r="AD781" s="37">
        <v>3.3060763411085898</v>
      </c>
    </row>
    <row r="782" spans="2:30" x14ac:dyDescent="0.3">
      <c r="B782" s="28">
        <v>43766</v>
      </c>
      <c r="C782" s="25">
        <v>36.049999</v>
      </c>
      <c r="D782" s="18">
        <f t="shared" si="108"/>
        <v>4.4580664379509916E-3</v>
      </c>
      <c r="E782" s="32">
        <f t="shared" ca="1" si="109"/>
        <v>1.2840703134040342E-4</v>
      </c>
      <c r="F782" s="18">
        <f t="shared" ca="1" si="110"/>
        <v>58.317488414125862</v>
      </c>
      <c r="G782" s="19">
        <f t="shared" ca="1" si="111"/>
        <v>-7.4874141258618465E-3</v>
      </c>
      <c r="H782" s="27">
        <v>50.150002000000001</v>
      </c>
      <c r="I782" s="19">
        <f t="shared" si="112"/>
        <v>6.0181346446592787E-3</v>
      </c>
      <c r="J782" s="19">
        <f t="shared" ca="1" si="113"/>
        <v>1.1395781887042751E-2</v>
      </c>
      <c r="K782" s="19">
        <f t="shared" ca="1" si="114"/>
        <v>84.441431806957638</v>
      </c>
      <c r="L782" s="19">
        <f t="shared" ca="1" si="115"/>
        <v>-0.95143380695763824</v>
      </c>
      <c r="M782" s="19">
        <f t="shared" ca="1" si="116"/>
        <v>-0.95892122108350009</v>
      </c>
      <c r="AA782" s="37">
        <v>762</v>
      </c>
      <c r="AB782" s="37">
        <v>1.8016716806490991</v>
      </c>
      <c r="AC782" s="37">
        <v>2.7660457603524686</v>
      </c>
      <c r="AD782" s="37">
        <v>3.2928651828417519</v>
      </c>
    </row>
    <row r="783" spans="2:30" x14ac:dyDescent="0.3">
      <c r="B783" s="28">
        <v>43767</v>
      </c>
      <c r="C783" s="25">
        <v>36.950001</v>
      </c>
      <c r="D783" s="18">
        <f t="shared" si="108"/>
        <v>2.4965382107222878E-2</v>
      </c>
      <c r="E783" s="32">
        <f t="shared" ca="1" si="109"/>
        <v>3.2360181854280967E-3</v>
      </c>
      <c r="F783" s="18">
        <f t="shared" ca="1" si="110"/>
        <v>58.498693223628329</v>
      </c>
      <c r="G783" s="19">
        <f t="shared" ca="1" si="111"/>
        <v>-0.18869222362832971</v>
      </c>
      <c r="H783" s="27">
        <v>51.34</v>
      </c>
      <c r="I783" s="19">
        <f t="shared" si="112"/>
        <v>2.3728772732651171E-2</v>
      </c>
      <c r="J783" s="19">
        <f t="shared" ca="1" si="113"/>
        <v>3.6084083814782075E-3</v>
      </c>
      <c r="K783" s="19">
        <f t="shared" ca="1" si="114"/>
        <v>83.791264008552801</v>
      </c>
      <c r="L783" s="19">
        <f t="shared" ca="1" si="115"/>
        <v>-0.30126600855280117</v>
      </c>
      <c r="M783" s="19">
        <f t="shared" ca="1" si="116"/>
        <v>-0.48995823218113088</v>
      </c>
      <c r="AA783" s="37">
        <v>763</v>
      </c>
      <c r="AB783" s="37">
        <v>1.9302649685211271</v>
      </c>
      <c r="AC783" s="37">
        <v>2.8771235419147985</v>
      </c>
      <c r="AD783" s="37">
        <v>3.2734180751216706</v>
      </c>
    </row>
    <row r="784" spans="2:30" x14ac:dyDescent="0.3">
      <c r="B784" s="28">
        <v>43768</v>
      </c>
      <c r="C784" s="25">
        <v>36.959999000000003</v>
      </c>
      <c r="D784" s="18">
        <f t="shared" si="108"/>
        <v>2.7058186006545526E-4</v>
      </c>
      <c r="E784" s="32">
        <f t="shared" ca="1" si="109"/>
        <v>-4.2342834749138927E-2</v>
      </c>
      <c r="F784" s="18">
        <f t="shared" ca="1" si="110"/>
        <v>55.840990263434875</v>
      </c>
      <c r="G784" s="19">
        <f t="shared" ca="1" si="111"/>
        <v>2.4690107365651244</v>
      </c>
      <c r="H784" s="27">
        <v>51.259998000000003</v>
      </c>
      <c r="I784" s="19">
        <f t="shared" si="112"/>
        <v>-1.5582781456954242E-3</v>
      </c>
      <c r="J784" s="19">
        <f t="shared" ca="1" si="113"/>
        <v>-3.2311908870490659E-2</v>
      </c>
      <c r="K784" s="19">
        <f t="shared" ca="1" si="114"/>
        <v>80.792276793026559</v>
      </c>
      <c r="L784" s="19">
        <f t="shared" ca="1" si="115"/>
        <v>2.6977212069734406</v>
      </c>
      <c r="M784" s="19">
        <f t="shared" ca="1" si="116"/>
        <v>5.166731943538565</v>
      </c>
      <c r="AA784" s="37">
        <v>764</v>
      </c>
      <c r="AB784" s="37">
        <v>1.8608578211818718</v>
      </c>
      <c r="AC784" s="37">
        <v>2.7448350674871671</v>
      </c>
      <c r="AD784" s="37">
        <v>3.1606289382587978</v>
      </c>
    </row>
    <row r="785" spans="2:30" x14ac:dyDescent="0.3">
      <c r="B785" s="28">
        <v>43769</v>
      </c>
      <c r="C785" s="25">
        <v>35.740001999999997</v>
      </c>
      <c r="D785" s="18">
        <f t="shared" si="108"/>
        <v>-3.3008577732916211E-2</v>
      </c>
      <c r="E785" s="32">
        <f t="shared" ca="1" si="109"/>
        <v>2.3449303355899762E-3</v>
      </c>
      <c r="F785" s="18">
        <f t="shared" ca="1" si="110"/>
        <v>58.446733890213181</v>
      </c>
      <c r="G785" s="19">
        <f t="shared" ca="1" si="111"/>
        <v>-0.13673289021318169</v>
      </c>
      <c r="H785" s="27">
        <v>50.669998</v>
      </c>
      <c r="I785" s="19">
        <f t="shared" si="112"/>
        <v>-1.1509949727270818E-2</v>
      </c>
      <c r="J785" s="19">
        <f t="shared" ca="1" si="113"/>
        <v>6.7519780465704806E-3</v>
      </c>
      <c r="K785" s="19">
        <f t="shared" ca="1" si="114"/>
        <v>84.053720633604215</v>
      </c>
      <c r="L785" s="19">
        <f t="shared" ca="1" si="115"/>
        <v>-0.56372263360421471</v>
      </c>
      <c r="M785" s="19">
        <f t="shared" ca="1" si="116"/>
        <v>-0.7004555238173964</v>
      </c>
      <c r="AA785" s="37">
        <v>765</v>
      </c>
      <c r="AB785" s="37">
        <v>1.7673802460307777</v>
      </c>
      <c r="AC785" s="37">
        <v>2.9835127838575088</v>
      </c>
      <c r="AD785" s="37">
        <v>3.345444939496578</v>
      </c>
    </row>
    <row r="786" spans="2:30" x14ac:dyDescent="0.3">
      <c r="B786" s="28">
        <v>43770</v>
      </c>
      <c r="C786" s="25">
        <v>36.409999999999997</v>
      </c>
      <c r="D786" s="18">
        <f t="shared" si="108"/>
        <v>1.8746445509432164E-2</v>
      </c>
      <c r="E786" s="32">
        <f t="shared" ca="1" si="109"/>
        <v>1.1905399559227904E-2</v>
      </c>
      <c r="F786" s="18">
        <f t="shared" ca="1" si="110"/>
        <v>59.004204860203984</v>
      </c>
      <c r="G786" s="19">
        <f t="shared" ca="1" si="111"/>
        <v>-0.69420386020398439</v>
      </c>
      <c r="H786" s="27">
        <v>50.98</v>
      </c>
      <c r="I786" s="19">
        <f t="shared" si="112"/>
        <v>6.1180582639848158E-3</v>
      </c>
      <c r="J786" s="19">
        <f t="shared" ca="1" si="113"/>
        <v>-1.9017442030952424E-2</v>
      </c>
      <c r="K786" s="19">
        <f t="shared" ca="1" si="114"/>
        <v>81.902231802870659</v>
      </c>
      <c r="L786" s="19">
        <f t="shared" ca="1" si="115"/>
        <v>1.5877661971293406</v>
      </c>
      <c r="M786" s="19">
        <f t="shared" ca="1" si="116"/>
        <v>0.89356233692535625</v>
      </c>
      <c r="AA786" s="37">
        <v>766</v>
      </c>
      <c r="AB786" s="37">
        <v>1.8183435849651279</v>
      </c>
      <c r="AC786" s="37">
        <v>2.7627123059219101</v>
      </c>
      <c r="AD786" s="37">
        <v>3.3573475929772383</v>
      </c>
    </row>
    <row r="787" spans="2:30" x14ac:dyDescent="0.3">
      <c r="B787" s="28">
        <v>43773</v>
      </c>
      <c r="C787" s="25">
        <v>36.540000999999997</v>
      </c>
      <c r="D787" s="18">
        <f t="shared" si="108"/>
        <v>3.5704751441911764E-3</v>
      </c>
      <c r="E787" s="32">
        <f t="shared" ca="1" si="109"/>
        <v>3.1734505888661242E-3</v>
      </c>
      <c r="F787" s="18">
        <f t="shared" ca="1" si="110"/>
        <v>58.495044907010232</v>
      </c>
      <c r="G787" s="19">
        <f t="shared" ca="1" si="111"/>
        <v>-0.18504390701023254</v>
      </c>
      <c r="H787" s="27">
        <v>52.540000999999997</v>
      </c>
      <c r="I787" s="19">
        <f t="shared" si="112"/>
        <v>3.0600255001961507E-2</v>
      </c>
      <c r="J787" s="19">
        <f t="shared" ca="1" si="113"/>
        <v>-9.5406826376446738E-4</v>
      </c>
      <c r="K787" s="19">
        <f t="shared" ca="1" si="114"/>
        <v>83.41034284256645</v>
      </c>
      <c r="L787" s="19">
        <f t="shared" ca="1" si="115"/>
        <v>7.9655157433549562E-2</v>
      </c>
      <c r="M787" s="19">
        <f t="shared" ca="1" si="116"/>
        <v>-0.10538874957668298</v>
      </c>
      <c r="AA787" s="37">
        <v>767</v>
      </c>
      <c r="AB787" s="37">
        <v>1.8274691825894747</v>
      </c>
      <c r="AC787" s="37">
        <v>2.7768833300386091</v>
      </c>
      <c r="AD787" s="37">
        <v>3.3411061320756614</v>
      </c>
    </row>
    <row r="788" spans="2:30" x14ac:dyDescent="0.3">
      <c r="B788" s="28">
        <v>43774</v>
      </c>
      <c r="C788" s="25">
        <v>36.889999000000003</v>
      </c>
      <c r="D788" s="18">
        <f t="shared" si="108"/>
        <v>9.578489064628215E-3</v>
      </c>
      <c r="E788" s="32">
        <f t="shared" ca="1" si="109"/>
        <v>3.1743559940093785E-3</v>
      </c>
      <c r="F788" s="18">
        <f t="shared" ca="1" si="110"/>
        <v>58.495097701185045</v>
      </c>
      <c r="G788" s="19">
        <f t="shared" ca="1" si="111"/>
        <v>-0.18509670118504573</v>
      </c>
      <c r="H788" s="27">
        <v>52.84</v>
      </c>
      <c r="I788" s="19">
        <f t="shared" si="112"/>
        <v>5.7099161456051206E-3</v>
      </c>
      <c r="J788" s="19">
        <f t="shared" ca="1" si="113"/>
        <v>2.2174874507704095E-2</v>
      </c>
      <c r="K788" s="19">
        <f t="shared" ca="1" si="114"/>
        <v>85.341378228298467</v>
      </c>
      <c r="L788" s="19">
        <f t="shared" ca="1" si="115"/>
        <v>-1.851380228298467</v>
      </c>
      <c r="M788" s="19">
        <f t="shared" ca="1" si="116"/>
        <v>-2.0364769294835128</v>
      </c>
      <c r="AA788" s="37">
        <v>768</v>
      </c>
      <c r="AB788" s="37">
        <v>1.819854303032185</v>
      </c>
      <c r="AC788" s="37">
        <v>3.0416162146193</v>
      </c>
      <c r="AD788" s="37">
        <v>3.2358255740360851</v>
      </c>
    </row>
    <row r="789" spans="2:30" x14ac:dyDescent="0.3">
      <c r="B789" s="28">
        <v>43775</v>
      </c>
      <c r="C789" s="25">
        <v>36.189999</v>
      </c>
      <c r="D789" s="18">
        <f t="shared" si="108"/>
        <v>-1.8975332582687354E-2</v>
      </c>
      <c r="E789" s="32">
        <f t="shared" ca="1" si="109"/>
        <v>2.5978953504455476E-2</v>
      </c>
      <c r="F789" s="18">
        <f t="shared" ca="1" si="110"/>
        <v>59.824833804823747</v>
      </c>
      <c r="G789" s="19">
        <f t="shared" ca="1" si="111"/>
        <v>-1.5148328048237474</v>
      </c>
      <c r="H789" s="27">
        <v>52.650002000000001</v>
      </c>
      <c r="I789" s="19">
        <f t="shared" si="112"/>
        <v>-3.5957229371688104E-3</v>
      </c>
      <c r="J789" s="19">
        <f t="shared" ca="1" si="113"/>
        <v>-1.5137221367308735E-2</v>
      </c>
      <c r="K789" s="19">
        <f t="shared" ca="1" si="114"/>
        <v>82.226191418317839</v>
      </c>
      <c r="L789" s="19">
        <f t="shared" ca="1" si="115"/>
        <v>1.2638065816821609</v>
      </c>
      <c r="M789" s="19">
        <f t="shared" ca="1" si="116"/>
        <v>-0.25102622314158651</v>
      </c>
      <c r="AA789" s="37">
        <v>769</v>
      </c>
      <c r="AB789" s="37">
        <v>1.7855058661003544</v>
      </c>
      <c r="AC789" s="37">
        <v>2.8835833731362692</v>
      </c>
      <c r="AD789" s="37">
        <v>3.0592238204721856</v>
      </c>
    </row>
    <row r="790" spans="2:30" x14ac:dyDescent="0.3">
      <c r="B790" s="28">
        <v>43776</v>
      </c>
      <c r="C790" s="25">
        <v>36.720001000000003</v>
      </c>
      <c r="D790" s="18">
        <f t="shared" si="108"/>
        <v>1.4644985207101113E-2</v>
      </c>
      <c r="E790" s="32">
        <f t="shared" ca="1" si="109"/>
        <v>-6.3840488879705597E-3</v>
      </c>
      <c r="F790" s="18">
        <f t="shared" ca="1" si="110"/>
        <v>57.93774710295839</v>
      </c>
      <c r="G790" s="19">
        <f t="shared" ca="1" si="111"/>
        <v>0.3722538970416096</v>
      </c>
      <c r="H790" s="27">
        <v>53.16</v>
      </c>
      <c r="I790" s="19">
        <f t="shared" si="112"/>
        <v>9.6865713319440605E-3</v>
      </c>
      <c r="J790" s="19">
        <f t="shared" ca="1" si="113"/>
        <v>2.5465516789926245E-3</v>
      </c>
      <c r="K790" s="19">
        <f t="shared" ca="1" si="114"/>
        <v>83.702609594585994</v>
      </c>
      <c r="L790" s="19">
        <f t="shared" ca="1" si="115"/>
        <v>-0.21261159458599366</v>
      </c>
      <c r="M790" s="19">
        <f t="shared" ca="1" si="116"/>
        <v>0.15964230245561595</v>
      </c>
      <c r="AA790" s="37">
        <v>770</v>
      </c>
      <c r="AB790" s="37">
        <v>1.7968006889018737</v>
      </c>
      <c r="AC790" s="37">
        <v>2.9953013216922528</v>
      </c>
      <c r="AD790" s="37">
        <v>3.0651006825092306</v>
      </c>
    </row>
    <row r="791" spans="2:30" x14ac:dyDescent="0.3">
      <c r="B791" s="28">
        <v>43777</v>
      </c>
      <c r="C791" s="25">
        <v>35.869999</v>
      </c>
      <c r="D791" s="18">
        <f t="shared" si="108"/>
        <v>-2.3148201983981487E-2</v>
      </c>
      <c r="E791" s="32">
        <f t="shared" ca="1" si="109"/>
        <v>-3.8268564770999255E-2</v>
      </c>
      <c r="F791" s="18">
        <f t="shared" ca="1" si="110"/>
        <v>56.07856094993447</v>
      </c>
      <c r="G791" s="19">
        <f t="shared" ca="1" si="111"/>
        <v>2.2314400500655296</v>
      </c>
      <c r="H791" s="27">
        <v>52.82</v>
      </c>
      <c r="I791" s="19">
        <f t="shared" si="112"/>
        <v>-6.3957863054927566E-3</v>
      </c>
      <c r="J791" s="19">
        <f t="shared" ca="1" si="113"/>
        <v>3.4391793619155987E-2</v>
      </c>
      <c r="K791" s="19">
        <f t="shared" ca="1" si="114"/>
        <v>86.361368780479751</v>
      </c>
      <c r="L791" s="19">
        <f t="shared" ca="1" si="115"/>
        <v>-2.8713707804797508</v>
      </c>
      <c r="M791" s="19">
        <f t="shared" ca="1" si="116"/>
        <v>-0.63993073041422122</v>
      </c>
      <c r="AA791" s="37">
        <v>771</v>
      </c>
      <c r="AB791" s="37">
        <v>1.7958197957846194</v>
      </c>
      <c r="AC791" s="37">
        <v>2.9560597786433487</v>
      </c>
      <c r="AD791" s="37">
        <v>3.2244960822076485</v>
      </c>
    </row>
    <row r="792" spans="2:30" x14ac:dyDescent="0.3">
      <c r="B792" s="28">
        <v>43780</v>
      </c>
      <c r="C792" s="25">
        <v>36.540000999999997</v>
      </c>
      <c r="D792" s="18">
        <f t="shared" si="108"/>
        <v>1.8678617749612991E-2</v>
      </c>
      <c r="E792" s="32">
        <f t="shared" ca="1" si="109"/>
        <v>2.7669373026954925E-2</v>
      </c>
      <c r="F792" s="18">
        <f t="shared" ca="1" si="110"/>
        <v>59.923402168871107</v>
      </c>
      <c r="G792" s="19">
        <f t="shared" ca="1" si="111"/>
        <v>-1.613401168871107</v>
      </c>
      <c r="H792" s="27">
        <v>52.580002</v>
      </c>
      <c r="I792" s="19">
        <f t="shared" si="112"/>
        <v>-4.5436955698598958E-3</v>
      </c>
      <c r="J792" s="19">
        <f t="shared" ca="1" si="113"/>
        <v>-2.4233669595989531E-2</v>
      </c>
      <c r="K792" s="19">
        <f t="shared" ca="1" si="114"/>
        <v>81.466728973898171</v>
      </c>
      <c r="L792" s="19">
        <f t="shared" ca="1" si="115"/>
        <v>2.0232690261018291</v>
      </c>
      <c r="M792" s="19">
        <f t="shared" ca="1" si="116"/>
        <v>0.40986785723072217</v>
      </c>
      <c r="AA792" s="37">
        <v>772</v>
      </c>
      <c r="AB792" s="37">
        <v>1.7699292879261033</v>
      </c>
      <c r="AC792" s="37">
        <v>2.8497232072212673</v>
      </c>
      <c r="AD792" s="37">
        <v>3.6069819881136507</v>
      </c>
    </row>
    <row r="793" spans="2:30" x14ac:dyDescent="0.3">
      <c r="B793" s="28">
        <v>43781</v>
      </c>
      <c r="C793" s="25">
        <v>35.200001</v>
      </c>
      <c r="D793" s="18">
        <f t="shared" si="108"/>
        <v>-3.6672139116799563E-2</v>
      </c>
      <c r="E793" s="32">
        <f t="shared" ca="1" si="109"/>
        <v>-3.0798078226775025E-3</v>
      </c>
      <c r="F793" s="18">
        <f t="shared" ca="1" si="110"/>
        <v>58.130417402779869</v>
      </c>
      <c r="G793" s="19">
        <f t="shared" ca="1" si="111"/>
        <v>0.17958359722013029</v>
      </c>
      <c r="H793" s="27">
        <v>52.610000999999997</v>
      </c>
      <c r="I793" s="19">
        <f t="shared" si="112"/>
        <v>5.7054010762480623E-4</v>
      </c>
      <c r="J793" s="19">
        <f t="shared" ca="1" si="113"/>
        <v>-2.1820028334036522E-2</v>
      </c>
      <c r="K793" s="19">
        <f t="shared" ca="1" si="114"/>
        <v>81.668243878031348</v>
      </c>
      <c r="L793" s="19">
        <f t="shared" ca="1" si="115"/>
        <v>1.8217541219686524</v>
      </c>
      <c r="M793" s="19">
        <f t="shared" ca="1" si="116"/>
        <v>2.0013377191887827</v>
      </c>
      <c r="AA793" s="37">
        <v>773</v>
      </c>
      <c r="AB793" s="37">
        <v>1.6686500492772849</v>
      </c>
      <c r="AC793" s="37">
        <v>2.9450309254383713</v>
      </c>
      <c r="AD793" s="37">
        <v>3.3090722451001779</v>
      </c>
    </row>
    <row r="794" spans="2:30" x14ac:dyDescent="0.3">
      <c r="B794" s="28">
        <v>43782</v>
      </c>
      <c r="C794" s="25">
        <v>35.110000999999997</v>
      </c>
      <c r="D794" s="18">
        <f t="shared" si="108"/>
        <v>-2.5568181091814024E-3</v>
      </c>
      <c r="E794" s="32">
        <f t="shared" ca="1" si="109"/>
        <v>-1.3609736462203554E-3</v>
      </c>
      <c r="F794" s="18">
        <f t="shared" ca="1" si="110"/>
        <v>58.230642625327917</v>
      </c>
      <c r="G794" s="19">
        <f t="shared" ca="1" si="111"/>
        <v>7.9358374672082732E-2</v>
      </c>
      <c r="H794" s="27">
        <v>52.52</v>
      </c>
      <c r="I794" s="19">
        <f t="shared" si="112"/>
        <v>-1.7107203628449197E-3</v>
      </c>
      <c r="J794" s="19">
        <f t="shared" ca="1" si="113"/>
        <v>-1.3484610654241794E-2</v>
      </c>
      <c r="K794" s="19">
        <f t="shared" ca="1" si="114"/>
        <v>82.364167883446569</v>
      </c>
      <c r="L794" s="19">
        <f t="shared" ca="1" si="115"/>
        <v>1.1258301165534306</v>
      </c>
      <c r="M794" s="19">
        <f t="shared" ca="1" si="116"/>
        <v>1.2051884912255133</v>
      </c>
      <c r="AA794" s="37">
        <v>774</v>
      </c>
      <c r="AB794" s="37">
        <v>1.7591194753175812</v>
      </c>
      <c r="AC794" s="37">
        <v>2.6625465343761827</v>
      </c>
      <c r="AD794" s="37">
        <v>3.2932526645971869</v>
      </c>
    </row>
    <row r="795" spans="2:30" x14ac:dyDescent="0.3">
      <c r="B795" s="28">
        <v>43783</v>
      </c>
      <c r="C795" s="25">
        <v>34.959999000000003</v>
      </c>
      <c r="D795" s="18">
        <f t="shared" si="108"/>
        <v>-4.2723439398362206E-3</v>
      </c>
      <c r="E795" s="32">
        <f t="shared" ca="1" si="109"/>
        <v>3.3985956455494628E-3</v>
      </c>
      <c r="F795" s="18">
        <f t="shared" ca="1" si="110"/>
        <v>58.508173115490592</v>
      </c>
      <c r="G795" s="19">
        <f t="shared" ca="1" si="111"/>
        <v>-0.19817211549059266</v>
      </c>
      <c r="H795" s="27">
        <v>52.380001</v>
      </c>
      <c r="I795" s="19">
        <f t="shared" si="112"/>
        <v>-2.665632140137153E-3</v>
      </c>
      <c r="J795" s="19">
        <f t="shared" ca="1" si="113"/>
        <v>2.2049708759430822E-2</v>
      </c>
      <c r="K795" s="19">
        <f t="shared" ca="1" si="114"/>
        <v>85.330928140225467</v>
      </c>
      <c r="L795" s="19">
        <f t="shared" ca="1" si="115"/>
        <v>-1.840930140225467</v>
      </c>
      <c r="M795" s="19">
        <f t="shared" ca="1" si="116"/>
        <v>-2.0391022557160596</v>
      </c>
      <c r="AA795" s="37">
        <v>775</v>
      </c>
      <c r="AB795" s="37">
        <v>1.8279865068276619</v>
      </c>
      <c r="AC795" s="37">
        <v>2.7404421994289163</v>
      </c>
      <c r="AD795" s="37">
        <v>3.3015087161403884</v>
      </c>
    </row>
    <row r="796" spans="2:30" x14ac:dyDescent="0.3">
      <c r="B796" s="28">
        <v>43784</v>
      </c>
      <c r="C796" s="25">
        <v>35.18</v>
      </c>
      <c r="D796" s="18">
        <f t="shared" si="108"/>
        <v>6.2929349626124065E-3</v>
      </c>
      <c r="E796" s="32">
        <f t="shared" ca="1" si="109"/>
        <v>8.7368273534676848E-3</v>
      </c>
      <c r="F796" s="18">
        <f t="shared" ca="1" si="110"/>
        <v>58.819445411717524</v>
      </c>
      <c r="G796" s="19">
        <f t="shared" ca="1" si="111"/>
        <v>-0.5094444117175243</v>
      </c>
      <c r="H796" s="27">
        <v>53.07</v>
      </c>
      <c r="I796" s="19">
        <f t="shared" si="112"/>
        <v>1.3172947438469862E-2</v>
      </c>
      <c r="J796" s="19">
        <f t="shared" ca="1" si="113"/>
        <v>-1.2187400217296534E-2</v>
      </c>
      <c r="K796" s="19">
        <f t="shared" ca="1" si="114"/>
        <v>82.472471980232712</v>
      </c>
      <c r="L796" s="19">
        <f t="shared" ca="1" si="115"/>
        <v>1.0175260197672884</v>
      </c>
      <c r="M796" s="19">
        <f t="shared" ca="1" si="116"/>
        <v>0.5080816080497641</v>
      </c>
      <c r="AA796" s="37">
        <v>776</v>
      </c>
      <c r="AB796" s="37">
        <v>1.8685980858672224</v>
      </c>
      <c r="AC796" s="37">
        <v>3.0376681150595739</v>
      </c>
      <c r="AD796" s="37">
        <v>3.4930283645335285</v>
      </c>
    </row>
    <row r="797" spans="2:30" x14ac:dyDescent="0.3">
      <c r="B797" s="28">
        <v>43788</v>
      </c>
      <c r="C797" s="25">
        <v>34.619999</v>
      </c>
      <c r="D797" s="18">
        <f t="shared" si="108"/>
        <v>-1.5918163729391699E-2</v>
      </c>
      <c r="E797" s="32">
        <f t="shared" ca="1" si="109"/>
        <v>-3.798857309609098E-3</v>
      </c>
      <c r="F797" s="18">
        <f t="shared" ca="1" si="110"/>
        <v>58.088489626477838</v>
      </c>
      <c r="G797" s="19">
        <f t="shared" ca="1" si="111"/>
        <v>0.2215113735221621</v>
      </c>
      <c r="H797" s="27">
        <v>53.529998999999997</v>
      </c>
      <c r="I797" s="19">
        <f t="shared" si="112"/>
        <v>8.6677784058790674E-3</v>
      </c>
      <c r="J797" s="19">
        <f t="shared" ca="1" si="113"/>
        <v>-9.8926818941855767E-3</v>
      </c>
      <c r="K797" s="19">
        <f t="shared" ca="1" si="114"/>
        <v>82.66405800843981</v>
      </c>
      <c r="L797" s="19">
        <f t="shared" ca="1" si="115"/>
        <v>0.82593999156019038</v>
      </c>
      <c r="M797" s="19">
        <f t="shared" ca="1" si="116"/>
        <v>1.0474513650823525</v>
      </c>
      <c r="AA797" s="37">
        <v>777</v>
      </c>
      <c r="AB797" s="37">
        <v>1.7553085816237703</v>
      </c>
      <c r="AC797" s="37">
        <v>2.6968927859946272</v>
      </c>
      <c r="AD797" s="37">
        <v>3.3263560705602946</v>
      </c>
    </row>
    <row r="798" spans="2:30" x14ac:dyDescent="0.3">
      <c r="B798" s="28">
        <v>43789</v>
      </c>
      <c r="C798" s="25">
        <v>34.389999000000003</v>
      </c>
      <c r="D798" s="18">
        <f t="shared" si="108"/>
        <v>-6.6435588285256308E-3</v>
      </c>
      <c r="E798" s="32">
        <f t="shared" ca="1" si="109"/>
        <v>8.0434428567047037E-4</v>
      </c>
      <c r="F798" s="18">
        <f t="shared" ca="1" si="110"/>
        <v>58.356902316101788</v>
      </c>
      <c r="G798" s="19">
        <f t="shared" ca="1" si="111"/>
        <v>-4.6901316101788382E-2</v>
      </c>
      <c r="H798" s="27">
        <v>52.860000999999997</v>
      </c>
      <c r="I798" s="19">
        <f t="shared" si="112"/>
        <v>-1.2516308845811897E-2</v>
      </c>
      <c r="J798" s="19">
        <f t="shared" ca="1" si="113"/>
        <v>-2.6752784631959802E-2</v>
      </c>
      <c r="K798" s="19">
        <f t="shared" ca="1" si="114"/>
        <v>81.256408064583241</v>
      </c>
      <c r="L798" s="19">
        <f t="shared" ca="1" si="115"/>
        <v>2.2335899354167594</v>
      </c>
      <c r="M798" s="19">
        <f t="shared" ca="1" si="116"/>
        <v>2.186688619314971</v>
      </c>
      <c r="AA798" s="37">
        <v>778</v>
      </c>
      <c r="AB798" s="37">
        <v>1.7990479879245604</v>
      </c>
      <c r="AC798" s="37">
        <v>2.6903031806199973</v>
      </c>
      <c r="AD798" s="37">
        <v>3.3870769055086396</v>
      </c>
    </row>
    <row r="799" spans="2:30" x14ac:dyDescent="0.3">
      <c r="B799" s="28">
        <v>43790</v>
      </c>
      <c r="C799" s="25">
        <v>34.18</v>
      </c>
      <c r="D799" s="18">
        <f t="shared" si="108"/>
        <v>-6.1063973860541187E-3</v>
      </c>
      <c r="E799" s="32">
        <f t="shared" ca="1" si="109"/>
        <v>1.1999767084835238E-2</v>
      </c>
      <c r="F799" s="18">
        <f t="shared" ca="1" si="110"/>
        <v>59.00970743071651</v>
      </c>
      <c r="G799" s="19">
        <f t="shared" ca="1" si="111"/>
        <v>-0.6997064307165104</v>
      </c>
      <c r="H799" s="27">
        <v>52.09</v>
      </c>
      <c r="I799" s="19">
        <f t="shared" si="112"/>
        <v>-1.4566798816367688E-2</v>
      </c>
      <c r="J799" s="19">
        <f t="shared" ca="1" si="113"/>
        <v>1.9080911321572375E-2</v>
      </c>
      <c r="K799" s="19">
        <f t="shared" ca="1" si="114"/>
        <v>85.083063248076257</v>
      </c>
      <c r="L799" s="19">
        <f t="shared" ca="1" si="115"/>
        <v>-1.5930652480762575</v>
      </c>
      <c r="M799" s="19">
        <f t="shared" ca="1" si="116"/>
        <v>-2.2927716787927679</v>
      </c>
      <c r="AA799" s="37">
        <v>779</v>
      </c>
      <c r="AB799" s="37">
        <v>1.9259570927434941</v>
      </c>
      <c r="AC799" s="37">
        <v>3.0762608254884567</v>
      </c>
      <c r="AD799" s="37">
        <v>3.3060461722521062</v>
      </c>
    </row>
    <row r="800" spans="2:30" x14ac:dyDescent="0.3">
      <c r="B800" s="28">
        <v>43791</v>
      </c>
      <c r="C800" s="25">
        <v>34.049999</v>
      </c>
      <c r="D800" s="18">
        <f t="shared" si="108"/>
        <v>-3.8034230544178316E-3</v>
      </c>
      <c r="E800" s="32">
        <f t="shared" ca="1" si="109"/>
        <v>2.2624188431767965E-2</v>
      </c>
      <c r="F800" s="18">
        <f t="shared" ca="1" si="110"/>
        <v>59.629217450080574</v>
      </c>
      <c r="G800" s="19">
        <f t="shared" ca="1" si="111"/>
        <v>-1.3192164500805745</v>
      </c>
      <c r="H800" s="27">
        <v>52.299999</v>
      </c>
      <c r="I800" s="19">
        <f t="shared" si="112"/>
        <v>4.0314647725090413E-3</v>
      </c>
      <c r="J800" s="19">
        <f t="shared" ca="1" si="113"/>
        <v>-4.5954892964473706E-2</v>
      </c>
      <c r="K800" s="19">
        <f t="shared" ca="1" si="114"/>
        <v>79.653224078305868</v>
      </c>
      <c r="L800" s="19">
        <f t="shared" ca="1" si="115"/>
        <v>3.8367739216941317</v>
      </c>
      <c r="M800" s="19">
        <f t="shared" ca="1" si="116"/>
        <v>2.5175574716135571</v>
      </c>
      <c r="AA800" s="37">
        <v>780</v>
      </c>
      <c r="AB800" s="37">
        <v>1.770581644113072</v>
      </c>
      <c r="AC800" s="37">
        <v>2.9167199143358715</v>
      </c>
      <c r="AD800" s="37">
        <v>3.0572474372825384</v>
      </c>
    </row>
    <row r="801" spans="2:30" x14ac:dyDescent="0.3">
      <c r="B801" s="28">
        <v>43794</v>
      </c>
      <c r="C801" s="25">
        <v>34.169998</v>
      </c>
      <c r="D801" s="18">
        <f t="shared" si="108"/>
        <v>3.5241998098149985E-3</v>
      </c>
      <c r="E801" s="32">
        <f t="shared" ca="1" si="109"/>
        <v>-2.8221818163057924E-2</v>
      </c>
      <c r="F801" s="18">
        <f t="shared" ca="1" si="110"/>
        <v>56.664386754690277</v>
      </c>
      <c r="G801" s="19">
        <f t="shared" ca="1" si="111"/>
        <v>1.6456142453097229</v>
      </c>
      <c r="H801" s="27">
        <v>51.57</v>
      </c>
      <c r="I801" s="19">
        <f t="shared" si="112"/>
        <v>-1.3957916136862591E-2</v>
      </c>
      <c r="J801" s="19">
        <f t="shared" ca="1" si="113"/>
        <v>-6.956232346952404E-2</v>
      </c>
      <c r="K801" s="19">
        <f t="shared" ca="1" si="114"/>
        <v>77.682239752654084</v>
      </c>
      <c r="L801" s="19">
        <f t="shared" ca="1" si="115"/>
        <v>5.8077582473459159</v>
      </c>
      <c r="M801" s="19">
        <f t="shared" ca="1" si="116"/>
        <v>7.4533724926556388</v>
      </c>
      <c r="AA801" s="37">
        <v>781</v>
      </c>
      <c r="AB801" s="37">
        <v>1.8441744302907956</v>
      </c>
      <c r="AC801" s="37">
        <v>2.9669295008076815</v>
      </c>
      <c r="AD801" s="37">
        <v>3.3384229181373586</v>
      </c>
    </row>
    <row r="802" spans="2:30" x14ac:dyDescent="0.3">
      <c r="B802" s="28">
        <v>43795</v>
      </c>
      <c r="C802" s="25">
        <v>33.43</v>
      </c>
      <c r="D802" s="18">
        <f t="shared" si="108"/>
        <v>-2.1656366500226287E-2</v>
      </c>
      <c r="E802" s="32">
        <f t="shared" ca="1" si="109"/>
        <v>-7.7423233146437843E-4</v>
      </c>
      <c r="F802" s="18">
        <f t="shared" ca="1" si="110"/>
        <v>58.264855511978084</v>
      </c>
      <c r="G802" s="19">
        <f t="shared" ca="1" si="111"/>
        <v>4.514548802191598E-2</v>
      </c>
      <c r="H802" s="27">
        <v>52.09</v>
      </c>
      <c r="I802" s="19">
        <f t="shared" si="112"/>
        <v>1.0083381811130554E-2</v>
      </c>
      <c r="J802" s="19">
        <f t="shared" ca="1" si="113"/>
        <v>3.5541341808933535E-2</v>
      </c>
      <c r="K802" s="19">
        <f t="shared" ca="1" si="114"/>
        <v>86.457344556545166</v>
      </c>
      <c r="L802" s="19">
        <f t="shared" ca="1" si="115"/>
        <v>-2.9673465565451664</v>
      </c>
      <c r="M802" s="19">
        <f t="shared" ca="1" si="116"/>
        <v>-2.9222010685232505</v>
      </c>
      <c r="AA802" s="37">
        <v>782</v>
      </c>
      <c r="AB802" s="37">
        <v>1.7817042257156088</v>
      </c>
      <c r="AC802" s="37">
        <v>2.9347120956419479</v>
      </c>
      <c r="AD802" s="37">
        <v>3.3048104663512312</v>
      </c>
    </row>
    <row r="803" spans="2:30" x14ac:dyDescent="0.3">
      <c r="B803" s="28">
        <v>43796</v>
      </c>
      <c r="C803" s="25">
        <v>33.360000999999997</v>
      </c>
      <c r="D803" s="18">
        <f t="shared" si="108"/>
        <v>-2.0938976966796696E-3</v>
      </c>
      <c r="E803" s="32">
        <f t="shared" ca="1" si="109"/>
        <v>1.6706668189016366E-2</v>
      </c>
      <c r="F803" s="18">
        <f t="shared" ca="1" si="110"/>
        <v>59.284166838808218</v>
      </c>
      <c r="G803" s="19">
        <f t="shared" ca="1" si="111"/>
        <v>-0.97416583880821861</v>
      </c>
      <c r="H803" s="27">
        <v>51.650002000000001</v>
      </c>
      <c r="I803" s="19">
        <f t="shared" si="112"/>
        <v>-8.4468803993089647E-3</v>
      </c>
      <c r="J803" s="19">
        <f t="shared" ca="1" si="113"/>
        <v>-6.1645379806731498E-3</v>
      </c>
      <c r="K803" s="19">
        <f t="shared" ca="1" si="114"/>
        <v>82.975320736322672</v>
      </c>
      <c r="L803" s="19">
        <f t="shared" ca="1" si="115"/>
        <v>0.5146772636773278</v>
      </c>
      <c r="M803" s="19">
        <f t="shared" ca="1" si="116"/>
        <v>-0.45948857513089081</v>
      </c>
      <c r="AA803" s="37">
        <v>783</v>
      </c>
      <c r="AB803" s="37">
        <v>1.9025372730058188</v>
      </c>
      <c r="AC803" s="37">
        <v>2.7842922833168999</v>
      </c>
      <c r="AD803" s="37">
        <v>3.1757364668782526</v>
      </c>
    </row>
    <row r="804" spans="2:30" x14ac:dyDescent="0.3">
      <c r="B804" s="28">
        <v>43797</v>
      </c>
      <c r="C804" s="25">
        <v>33.580002</v>
      </c>
      <c r="D804" s="18">
        <f t="shared" si="108"/>
        <v>6.5947539989583692E-3</v>
      </c>
      <c r="E804" s="32">
        <f t="shared" ca="1" si="109"/>
        <v>-3.7194967990222668E-3</v>
      </c>
      <c r="F804" s="18">
        <f t="shared" ca="1" si="110"/>
        <v>58.093117137929511</v>
      </c>
      <c r="G804" s="19">
        <f t="shared" ca="1" si="111"/>
        <v>0.21688386207048893</v>
      </c>
      <c r="H804" s="27">
        <v>51.830002</v>
      </c>
      <c r="I804" s="19">
        <f t="shared" si="112"/>
        <v>3.4849950247823891E-3</v>
      </c>
      <c r="J804" s="19">
        <f t="shared" ca="1" si="113"/>
        <v>3.1216019529736384E-2</v>
      </c>
      <c r="K804" s="19">
        <f t="shared" ca="1" si="114"/>
        <v>86.096223408105658</v>
      </c>
      <c r="L804" s="19">
        <f t="shared" ca="1" si="115"/>
        <v>-2.6062254081056579</v>
      </c>
      <c r="M804" s="19">
        <f t="shared" ca="1" si="116"/>
        <v>-2.389341546035169</v>
      </c>
      <c r="AA804" s="37">
        <v>784</v>
      </c>
      <c r="AB804" s="37">
        <v>1.6670042481225349</v>
      </c>
      <c r="AC804" s="37">
        <v>2.6718649664980587</v>
      </c>
      <c r="AD804" s="37">
        <v>3.4127235437246712</v>
      </c>
    </row>
    <row r="805" spans="2:30" x14ac:dyDescent="0.3">
      <c r="B805" s="28">
        <v>43798</v>
      </c>
      <c r="C805" s="25">
        <v>33.799999</v>
      </c>
      <c r="D805" s="18">
        <f t="shared" si="108"/>
        <v>6.5514290320769497E-3</v>
      </c>
      <c r="E805" s="32">
        <f t="shared" ca="1" si="109"/>
        <v>1.2523118681516416E-2</v>
      </c>
      <c r="F805" s="18">
        <f t="shared" ca="1" si="110"/>
        <v>59.040224062842341</v>
      </c>
      <c r="G805" s="19">
        <f t="shared" ca="1" si="111"/>
        <v>-0.73022306284234162</v>
      </c>
      <c r="H805" s="27">
        <v>51.080002</v>
      </c>
      <c r="I805" s="19">
        <f t="shared" si="112"/>
        <v>-1.4470383389142083E-2</v>
      </c>
      <c r="J805" s="19">
        <f t="shared" ca="1" si="113"/>
        <v>1.1404074382640136E-3</v>
      </c>
      <c r="K805" s="19">
        <f t="shared" ca="1" si="114"/>
        <v>83.585210614739836</v>
      </c>
      <c r="L805" s="19">
        <f t="shared" ca="1" si="115"/>
        <v>-9.5212614739835999E-2</v>
      </c>
      <c r="M805" s="19">
        <f t="shared" ca="1" si="116"/>
        <v>-0.82543567758217762</v>
      </c>
      <c r="AA805" s="37">
        <v>785</v>
      </c>
      <c r="AB805" s="37">
        <v>1.8214862947584789</v>
      </c>
      <c r="AC805" s="37">
        <v>2.9037208098683713</v>
      </c>
      <c r="AD805" s="37">
        <v>3.1249062326191783</v>
      </c>
    </row>
    <row r="806" spans="2:30" x14ac:dyDescent="0.3">
      <c r="B806" s="28">
        <v>43801</v>
      </c>
      <c r="C806" s="25">
        <v>33.849997999999999</v>
      </c>
      <c r="D806" s="18">
        <f t="shared" si="108"/>
        <v>1.4792603987947572E-3</v>
      </c>
      <c r="E806" s="32">
        <f t="shared" ca="1" si="109"/>
        <v>8.2540461093365564E-3</v>
      </c>
      <c r="F806" s="18">
        <f t="shared" ca="1" si="110"/>
        <v>58.791294436889459</v>
      </c>
      <c r="G806" s="19">
        <f t="shared" ca="1" si="111"/>
        <v>-0.4812934368894588</v>
      </c>
      <c r="H806" s="27">
        <v>52.209999000000003</v>
      </c>
      <c r="I806" s="19">
        <f t="shared" si="112"/>
        <v>2.2122101718007103E-2</v>
      </c>
      <c r="J806" s="19">
        <f t="shared" ca="1" si="113"/>
        <v>4.3793910312409152E-2</v>
      </c>
      <c r="K806" s="19">
        <f t="shared" ca="1" si="114"/>
        <v>87.146351484395225</v>
      </c>
      <c r="L806" s="19">
        <f t="shared" ca="1" si="115"/>
        <v>-3.6563534843952255</v>
      </c>
      <c r="M806" s="19">
        <f t="shared" ca="1" si="116"/>
        <v>-4.1376469212846843</v>
      </c>
      <c r="AA806" s="37">
        <v>786</v>
      </c>
      <c r="AB806" s="37">
        <v>1.7242045183231405</v>
      </c>
      <c r="AC806" s="37">
        <v>2.9593446217492696</v>
      </c>
      <c r="AD806" s="37">
        <v>3.2011498514386756</v>
      </c>
    </row>
    <row r="807" spans="2:30" x14ac:dyDescent="0.3">
      <c r="B807" s="28">
        <v>43802</v>
      </c>
      <c r="C807" s="25">
        <v>33.720001000000003</v>
      </c>
      <c r="D807" s="18">
        <f t="shared" si="108"/>
        <v>-3.8403842741732142E-3</v>
      </c>
      <c r="E807" s="32">
        <f t="shared" ca="1" si="109"/>
        <v>-3.8711425008860441E-2</v>
      </c>
      <c r="F807" s="18">
        <f t="shared" ca="1" si="110"/>
        <v>56.052737769021917</v>
      </c>
      <c r="G807" s="19">
        <f t="shared" ca="1" si="111"/>
        <v>2.2572632309780829</v>
      </c>
      <c r="H807" s="27">
        <v>50.779998999999997</v>
      </c>
      <c r="I807" s="19">
        <f t="shared" si="112"/>
        <v>-2.7389389530538155E-2</v>
      </c>
      <c r="J807" s="19">
        <f t="shared" ca="1" si="113"/>
        <v>4.2450210923176676E-2</v>
      </c>
      <c r="K807" s="19">
        <f t="shared" ca="1" si="114"/>
        <v>87.034166025075592</v>
      </c>
      <c r="L807" s="19">
        <f t="shared" ca="1" si="115"/>
        <v>-3.5441680250755923</v>
      </c>
      <c r="M807" s="19">
        <f t="shared" ca="1" si="116"/>
        <v>-1.2869047940975094</v>
      </c>
      <c r="AA807" s="37">
        <v>787</v>
      </c>
      <c r="AB807" s="37">
        <v>1.6868185055754163</v>
      </c>
      <c r="AC807" s="37">
        <v>2.8007588510671604</v>
      </c>
      <c r="AD807" s="37">
        <v>3.1842492325945209</v>
      </c>
    </row>
    <row r="808" spans="2:30" x14ac:dyDescent="0.3">
      <c r="B808" s="28">
        <v>43803</v>
      </c>
      <c r="C808" s="25">
        <v>33.720001000000003</v>
      </c>
      <c r="D808" s="18">
        <f t="shared" si="108"/>
        <v>0</v>
      </c>
      <c r="E808" s="32">
        <f t="shared" ca="1" si="109"/>
        <v>-7.0654581568461647E-3</v>
      </c>
      <c r="F808" s="18">
        <f t="shared" ca="1" si="110"/>
        <v>57.898014127808842</v>
      </c>
      <c r="G808" s="19">
        <f t="shared" ca="1" si="111"/>
        <v>0.41198687219115726</v>
      </c>
      <c r="H808" s="27">
        <v>49.529998999999997</v>
      </c>
      <c r="I808" s="19">
        <f t="shared" si="112"/>
        <v>-2.4615991032217233E-2</v>
      </c>
      <c r="J808" s="19">
        <f t="shared" ca="1" si="113"/>
        <v>2.0189047869359183E-2</v>
      </c>
      <c r="K808" s="19">
        <f t="shared" ca="1" si="114"/>
        <v>85.175581566234698</v>
      </c>
      <c r="L808" s="19">
        <f t="shared" ca="1" si="115"/>
        <v>-1.6855835662346976</v>
      </c>
      <c r="M808" s="19">
        <f t="shared" ca="1" si="116"/>
        <v>-1.2735966940435404</v>
      </c>
      <c r="AA808" s="37">
        <v>788</v>
      </c>
      <c r="AB808" s="37">
        <v>1.8315861208411426</v>
      </c>
      <c r="AC808" s="37">
        <v>2.7961130942806989</v>
      </c>
      <c r="AD808" s="37">
        <v>3.3562479243076431</v>
      </c>
    </row>
    <row r="809" spans="2:30" x14ac:dyDescent="0.3">
      <c r="B809" s="28">
        <v>43804</v>
      </c>
      <c r="C809" s="25">
        <v>33.279998999999997</v>
      </c>
      <c r="D809" s="18">
        <f t="shared" si="108"/>
        <v>-1.3048694749445811E-2</v>
      </c>
      <c r="E809" s="32">
        <f t="shared" ca="1" si="109"/>
        <v>3.5293104832875275E-3</v>
      </c>
      <c r="F809" s="18">
        <f t="shared" ca="1" si="110"/>
        <v>58.5157950978098</v>
      </c>
      <c r="G809" s="19">
        <f t="shared" ca="1" si="111"/>
        <v>-0.20579409780980029</v>
      </c>
      <c r="H809" s="27">
        <v>50.639999000000003</v>
      </c>
      <c r="I809" s="19">
        <f t="shared" si="112"/>
        <v>2.2410660658402248E-2</v>
      </c>
      <c r="J809" s="19">
        <f t="shared" ca="1" si="113"/>
        <v>4.3275883241733863E-2</v>
      </c>
      <c r="K809" s="19">
        <f t="shared" ca="1" si="114"/>
        <v>87.103101405300592</v>
      </c>
      <c r="L809" s="19">
        <f t="shared" ca="1" si="115"/>
        <v>-3.6131034053005919</v>
      </c>
      <c r="M809" s="19">
        <f t="shared" ca="1" si="116"/>
        <v>-3.8188975031103922</v>
      </c>
      <c r="AA809" s="37">
        <v>789</v>
      </c>
      <c r="AB809" s="37">
        <v>1.7222761576541508</v>
      </c>
      <c r="AC809" s="37">
        <v>2.9812254000898148</v>
      </c>
      <c r="AD809" s="37">
        <v>3.4785838410905825</v>
      </c>
    </row>
    <row r="810" spans="2:30" x14ac:dyDescent="0.3">
      <c r="B810" s="28">
        <v>43805</v>
      </c>
      <c r="C810" s="25">
        <v>33.040000999999997</v>
      </c>
      <c r="D810" s="18">
        <f t="shared" si="108"/>
        <v>-7.2114785820757143E-3</v>
      </c>
      <c r="E810" s="32">
        <f t="shared" ca="1" si="109"/>
        <v>1.0375153174456477E-2</v>
      </c>
      <c r="F810" s="18">
        <f t="shared" ca="1" si="110"/>
        <v>58.914976191977708</v>
      </c>
      <c r="G810" s="19">
        <f t="shared" ca="1" si="111"/>
        <v>-0.60497519197770799</v>
      </c>
      <c r="H810" s="27">
        <v>49.880001</v>
      </c>
      <c r="I810" s="19">
        <f t="shared" si="112"/>
        <v>-1.5007859696047787E-2</v>
      </c>
      <c r="J810" s="19">
        <f t="shared" ca="1" si="113"/>
        <v>2.6223179692620269E-2</v>
      </c>
      <c r="K810" s="19">
        <f t="shared" ca="1" si="114"/>
        <v>85.679371220090502</v>
      </c>
      <c r="L810" s="19">
        <f t="shared" ca="1" si="115"/>
        <v>-2.1893732200905021</v>
      </c>
      <c r="M810" s="19">
        <f t="shared" ca="1" si="116"/>
        <v>-2.7943484120682101</v>
      </c>
      <c r="AA810" s="37">
        <v>790</v>
      </c>
      <c r="AB810" s="37">
        <v>1.7989974556100448</v>
      </c>
      <c r="AC810" s="37">
        <v>2.9297266806160671</v>
      </c>
      <c r="AD810" s="37">
        <v>3.3692003585918644</v>
      </c>
    </row>
    <row r="811" spans="2:30" x14ac:dyDescent="0.3">
      <c r="B811" s="28">
        <v>43808</v>
      </c>
      <c r="C811" s="25">
        <v>32.93</v>
      </c>
      <c r="D811" s="18">
        <f t="shared" si="108"/>
        <v>-3.3293279864003988E-3</v>
      </c>
      <c r="E811" s="32">
        <f t="shared" ca="1" si="109"/>
        <v>-1.5300131085888938E-2</v>
      </c>
      <c r="F811" s="18">
        <f t="shared" ca="1" si="110"/>
        <v>57.417850341081689</v>
      </c>
      <c r="G811" s="19">
        <f t="shared" ca="1" si="111"/>
        <v>0.89215065891831102</v>
      </c>
      <c r="H811" s="27">
        <v>49.450001</v>
      </c>
      <c r="I811" s="19">
        <f t="shared" si="112"/>
        <v>-8.6206894823438462E-3</v>
      </c>
      <c r="J811" s="19">
        <f t="shared" ca="1" si="113"/>
        <v>-2.1760698321368462E-2</v>
      </c>
      <c r="K811" s="19">
        <f t="shared" ca="1" si="114"/>
        <v>81.673197340670342</v>
      </c>
      <c r="L811" s="19">
        <f t="shared" ca="1" si="115"/>
        <v>1.8168006593296582</v>
      </c>
      <c r="M811" s="19">
        <f t="shared" ca="1" si="116"/>
        <v>2.7089513182479692</v>
      </c>
      <c r="AA811" s="37">
        <v>791</v>
      </c>
      <c r="AB811" s="37">
        <v>1.8028513384055145</v>
      </c>
      <c r="AC811" s="37">
        <v>2.897909978602573</v>
      </c>
      <c r="AD811" s="37">
        <v>3.3083049201096895</v>
      </c>
    </row>
    <row r="812" spans="2:30" x14ac:dyDescent="0.3">
      <c r="B812" s="28">
        <v>43809</v>
      </c>
      <c r="C812" s="25">
        <v>33.259998000000003</v>
      </c>
      <c r="D812" s="18">
        <f t="shared" si="108"/>
        <v>1.0021196477376426E-2</v>
      </c>
      <c r="E812" s="32">
        <f t="shared" ca="1" si="109"/>
        <v>1.3644424567993002E-2</v>
      </c>
      <c r="F812" s="18">
        <f t="shared" ca="1" si="110"/>
        <v>59.105607410204094</v>
      </c>
      <c r="G812" s="19">
        <f t="shared" ca="1" si="111"/>
        <v>-0.79560641020409406</v>
      </c>
      <c r="H812" s="27">
        <v>50.360000999999997</v>
      </c>
      <c r="I812" s="19">
        <f t="shared" si="112"/>
        <v>1.8402426321487697E-2</v>
      </c>
      <c r="J812" s="19">
        <f t="shared" ca="1" si="113"/>
        <v>1.6719262949819964E-2</v>
      </c>
      <c r="K812" s="19">
        <f t="shared" ca="1" si="114"/>
        <v>84.885889230241958</v>
      </c>
      <c r="L812" s="19">
        <f t="shared" ca="1" si="115"/>
        <v>-1.3958912302419577</v>
      </c>
      <c r="M812" s="19">
        <f t="shared" ca="1" si="116"/>
        <v>-2.1914976404460518</v>
      </c>
      <c r="AA812" s="37">
        <v>792</v>
      </c>
      <c r="AB812" s="37">
        <v>1.8300185931248489</v>
      </c>
      <c r="AC812" s="37">
        <v>2.8364138848589988</v>
      </c>
      <c r="AD812" s="37">
        <v>3.3370809996258841</v>
      </c>
    </row>
    <row r="813" spans="2:30" x14ac:dyDescent="0.3">
      <c r="B813" s="28">
        <v>43810</v>
      </c>
      <c r="C813" s="25">
        <v>34.310001</v>
      </c>
      <c r="D813" s="18">
        <f t="shared" si="108"/>
        <v>3.1569544892936952E-2</v>
      </c>
      <c r="E813" s="32">
        <f t="shared" ca="1" si="109"/>
        <v>1.1548831640755132E-2</v>
      </c>
      <c r="F813" s="18">
        <f t="shared" ca="1" si="110"/>
        <v>58.983413384521256</v>
      </c>
      <c r="G813" s="19">
        <f t="shared" ca="1" si="111"/>
        <v>-0.67341238452125651</v>
      </c>
      <c r="H813" s="27">
        <v>51.34</v>
      </c>
      <c r="I813" s="19">
        <f t="shared" si="112"/>
        <v>1.9459868557190951E-2</v>
      </c>
      <c r="J813" s="19">
        <f t="shared" ca="1" si="113"/>
        <v>-1.4301789653194062E-2</v>
      </c>
      <c r="K813" s="19">
        <f t="shared" ca="1" si="114"/>
        <v>82.295941610458414</v>
      </c>
      <c r="L813" s="19">
        <f t="shared" ca="1" si="115"/>
        <v>1.1940563895415863</v>
      </c>
      <c r="M813" s="19">
        <f t="shared" ca="1" si="116"/>
        <v>0.52064400502032981</v>
      </c>
      <c r="AA813" s="37">
        <v>793</v>
      </c>
      <c r="AB813" s="37">
        <v>1.6747275424741146</v>
      </c>
      <c r="AC813" s="37">
        <v>2.9347210006085835</v>
      </c>
      <c r="AD813" s="37">
        <v>3.350536664302521</v>
      </c>
    </row>
    <row r="814" spans="2:30" x14ac:dyDescent="0.3">
      <c r="B814" s="28">
        <v>43812</v>
      </c>
      <c r="C814" s="25">
        <v>33.75</v>
      </c>
      <c r="D814" s="18">
        <f t="shared" si="108"/>
        <v>-1.6321800748417381E-2</v>
      </c>
      <c r="E814" s="32">
        <f t="shared" ca="1" si="109"/>
        <v>9.745779879011391E-3</v>
      </c>
      <c r="F814" s="18">
        <f t="shared" ca="1" si="110"/>
        <v>58.87827743449094</v>
      </c>
      <c r="G814" s="19">
        <f t="shared" ca="1" si="111"/>
        <v>-0.56827643449094012</v>
      </c>
      <c r="H814" s="27">
        <v>54.080002</v>
      </c>
      <c r="I814" s="19">
        <f t="shared" si="112"/>
        <v>5.3369731203739779E-2</v>
      </c>
      <c r="J814" s="19">
        <f t="shared" ca="1" si="113"/>
        <v>4.3862000747007079E-2</v>
      </c>
      <c r="K814" s="19">
        <f t="shared" ca="1" si="114"/>
        <v>87.152036354643627</v>
      </c>
      <c r="L814" s="19">
        <f t="shared" ca="1" si="115"/>
        <v>-3.6620383546436273</v>
      </c>
      <c r="M814" s="19">
        <f t="shared" ca="1" si="116"/>
        <v>-4.2303147891345674</v>
      </c>
      <c r="AA814" s="37">
        <v>794</v>
      </c>
      <c r="AB814" s="37">
        <v>1.7480961208026036</v>
      </c>
      <c r="AC814" s="37">
        <v>2.9193069515853241</v>
      </c>
      <c r="AD814" s="37">
        <v>3.1901597851791381</v>
      </c>
    </row>
    <row r="815" spans="2:30" x14ac:dyDescent="0.3">
      <c r="B815" s="28">
        <v>43815</v>
      </c>
      <c r="C815" s="25">
        <v>33.82</v>
      </c>
      <c r="D815" s="18">
        <f t="shared" si="108"/>
        <v>2.074074074074117E-3</v>
      </c>
      <c r="E815" s="32">
        <f t="shared" ca="1" si="109"/>
        <v>-5.3240356908131233E-3</v>
      </c>
      <c r="F815" s="18">
        <f t="shared" ca="1" si="110"/>
        <v>57.999556473544651</v>
      </c>
      <c r="G815" s="19">
        <f t="shared" ca="1" si="111"/>
        <v>0.31044452645534903</v>
      </c>
      <c r="H815" s="27">
        <v>54.77</v>
      </c>
      <c r="I815" s="19">
        <f t="shared" si="112"/>
        <v>1.2758838285545915E-2</v>
      </c>
      <c r="J815" s="19">
        <f t="shared" ca="1" si="113"/>
        <v>-7.0784377845493915E-3</v>
      </c>
      <c r="K815" s="19">
        <f t="shared" ca="1" si="114"/>
        <v>82.899019243524847</v>
      </c>
      <c r="L815" s="19">
        <f t="shared" ca="1" si="115"/>
        <v>0.59097875647515252</v>
      </c>
      <c r="M815" s="19">
        <f t="shared" ca="1" si="116"/>
        <v>0.90142328293050156</v>
      </c>
      <c r="AA815" s="37">
        <v>795</v>
      </c>
      <c r="AB815" s="37">
        <v>1.7869566874796501</v>
      </c>
      <c r="AC815" s="37">
        <v>2.6432782368491798</v>
      </c>
      <c r="AD815" s="37">
        <v>3.3445313787804212</v>
      </c>
    </row>
    <row r="816" spans="2:30" x14ac:dyDescent="0.3">
      <c r="B816" s="28">
        <v>43816</v>
      </c>
      <c r="C816" s="25">
        <v>33.779998999999997</v>
      </c>
      <c r="D816" s="18">
        <f t="shared" si="108"/>
        <v>-1.1827616794797269E-3</v>
      </c>
      <c r="E816" s="32">
        <f t="shared" ca="1" si="109"/>
        <v>1.2338479139960447E-2</v>
      </c>
      <c r="F816" s="18">
        <f t="shared" ca="1" si="110"/>
        <v>59.029457730989577</v>
      </c>
      <c r="G816" s="19">
        <f t="shared" ca="1" si="111"/>
        <v>-0.71945673098957741</v>
      </c>
      <c r="H816" s="27">
        <v>54.77</v>
      </c>
      <c r="I816" s="19">
        <f t="shared" si="112"/>
        <v>0</v>
      </c>
      <c r="J816" s="19">
        <f t="shared" ca="1" si="113"/>
        <v>-6.1768782339606011E-3</v>
      </c>
      <c r="K816" s="19">
        <f t="shared" ca="1" si="114"/>
        <v>82.974290448600385</v>
      </c>
      <c r="L816" s="19">
        <f t="shared" ca="1" si="115"/>
        <v>0.51570755139961477</v>
      </c>
      <c r="M816" s="19">
        <f t="shared" ca="1" si="116"/>
        <v>-0.20374917958996264</v>
      </c>
      <c r="AA816" s="37">
        <v>796</v>
      </c>
      <c r="AB816" s="37">
        <v>1.7670042674255917</v>
      </c>
      <c r="AC816" s="37">
        <v>2.7558378214172548</v>
      </c>
      <c r="AD816" s="37">
        <v>3.3514695633123037</v>
      </c>
    </row>
    <row r="817" spans="2:30" x14ac:dyDescent="0.3">
      <c r="B817" s="28">
        <v>43817</v>
      </c>
      <c r="C817" s="25">
        <v>34.189999</v>
      </c>
      <c r="D817" s="18">
        <f t="shared" si="108"/>
        <v>1.213735974355723E-2</v>
      </c>
      <c r="E817" s="32">
        <f t="shared" ca="1" si="109"/>
        <v>3.4226757165617162E-2</v>
      </c>
      <c r="F817" s="18">
        <f t="shared" ca="1" si="110"/>
        <v>60.305763244553894</v>
      </c>
      <c r="G817" s="19">
        <f t="shared" ca="1" si="111"/>
        <v>-1.9957622445538945</v>
      </c>
      <c r="H817" s="27">
        <v>57.07</v>
      </c>
      <c r="I817" s="19">
        <f t="shared" si="112"/>
        <v>4.1993792222019266E-2</v>
      </c>
      <c r="J817" s="19">
        <f t="shared" ca="1" si="113"/>
        <v>-1.6248280819862123E-2</v>
      </c>
      <c r="K817" s="19">
        <f t="shared" ca="1" si="114"/>
        <v>82.133429066846276</v>
      </c>
      <c r="L817" s="19">
        <f t="shared" ca="1" si="115"/>
        <v>1.3565689331537243</v>
      </c>
      <c r="M817" s="19">
        <f t="shared" ca="1" si="116"/>
        <v>-0.63919331140017022</v>
      </c>
      <c r="AA817" s="37">
        <v>797</v>
      </c>
      <c r="AB817" s="37">
        <v>1.7254156288932017</v>
      </c>
      <c r="AC817" s="37">
        <v>2.816338586862833</v>
      </c>
      <c r="AD817" s="37">
        <v>3.2443350576876484</v>
      </c>
    </row>
    <row r="818" spans="2:30" x14ac:dyDescent="0.3">
      <c r="B818" s="28">
        <v>43818</v>
      </c>
      <c r="C818" s="25">
        <v>34.509998000000003</v>
      </c>
      <c r="D818" s="18">
        <f t="shared" si="108"/>
        <v>9.3594328563741946E-3</v>
      </c>
      <c r="E818" s="32">
        <f t="shared" ca="1" si="109"/>
        <v>-1.2610807438863862E-2</v>
      </c>
      <c r="F818" s="18">
        <f t="shared" ca="1" si="110"/>
        <v>57.574664805629041</v>
      </c>
      <c r="G818" s="19">
        <f t="shared" ca="1" si="111"/>
        <v>0.73533619437095865</v>
      </c>
      <c r="H818" s="27">
        <v>56.450001</v>
      </c>
      <c r="I818" s="19">
        <f t="shared" si="112"/>
        <v>-1.0863833888207441E-2</v>
      </c>
      <c r="J818" s="19">
        <f t="shared" ca="1" si="113"/>
        <v>-1.0446433844107601E-2</v>
      </c>
      <c r="K818" s="19">
        <f t="shared" ca="1" si="114"/>
        <v>82.61782525924832</v>
      </c>
      <c r="L818" s="19">
        <f t="shared" ca="1" si="115"/>
        <v>0.8721727407516795</v>
      </c>
      <c r="M818" s="19">
        <f t="shared" ca="1" si="116"/>
        <v>1.6075089351226381</v>
      </c>
      <c r="AA818" s="37">
        <v>798</v>
      </c>
      <c r="AB818" s="37">
        <v>1.8149188794314359</v>
      </c>
      <c r="AC818" s="37">
        <v>2.8168167657950036</v>
      </c>
      <c r="AD818" s="37">
        <v>3.4206025571332015</v>
      </c>
    </row>
    <row r="819" spans="2:30" x14ac:dyDescent="0.3">
      <c r="B819" s="28">
        <v>43819</v>
      </c>
      <c r="C819" s="25">
        <v>34.849997999999999</v>
      </c>
      <c r="D819" s="18">
        <f t="shared" si="108"/>
        <v>9.8522173197459484E-3</v>
      </c>
      <c r="E819" s="32">
        <f t="shared" ca="1" si="109"/>
        <v>1.2849090923214809E-2</v>
      </c>
      <c r="F819" s="18">
        <f t="shared" ca="1" si="110"/>
        <v>59.059231504581746</v>
      </c>
      <c r="G819" s="19">
        <f t="shared" ca="1" si="111"/>
        <v>-0.749230504581746</v>
      </c>
      <c r="H819" s="27">
        <v>55.939999</v>
      </c>
      <c r="I819" s="19">
        <f t="shared" si="112"/>
        <v>-9.0345791136478004E-3</v>
      </c>
      <c r="J819" s="19">
        <f t="shared" ca="1" si="113"/>
        <v>-8.734834767354642E-3</v>
      </c>
      <c r="K819" s="19">
        <f t="shared" ca="1" si="114"/>
        <v>82.760726662743238</v>
      </c>
      <c r="L819" s="19">
        <f t="shared" ca="1" si="115"/>
        <v>0.72927133725676185</v>
      </c>
      <c r="M819" s="19">
        <f t="shared" ca="1" si="116"/>
        <v>-1.9959167324984151E-2</v>
      </c>
      <c r="AA819" s="37">
        <v>799</v>
      </c>
      <c r="AB819" s="37">
        <v>1.7318860582963844</v>
      </c>
      <c r="AC819" s="37">
        <v>2.681211022867485</v>
      </c>
      <c r="AD819" s="37">
        <v>3.2960869841948544</v>
      </c>
    </row>
    <row r="820" spans="2:30" x14ac:dyDescent="0.3">
      <c r="B820" s="28">
        <v>43822</v>
      </c>
      <c r="C820" s="25">
        <v>34.130001</v>
      </c>
      <c r="D820" s="18">
        <f t="shared" si="108"/>
        <v>-2.065988640802785E-2</v>
      </c>
      <c r="E820" s="32">
        <f t="shared" ca="1" si="109"/>
        <v>-1.3473313881078718E-2</v>
      </c>
      <c r="F820" s="18">
        <f t="shared" ca="1" si="110"/>
        <v>57.524372054120981</v>
      </c>
      <c r="G820" s="19">
        <f t="shared" ca="1" si="111"/>
        <v>0.78562894587901866</v>
      </c>
      <c r="H820" s="27">
        <v>54.299999</v>
      </c>
      <c r="I820" s="19">
        <f t="shared" si="112"/>
        <v>-2.9317126015679817E-2</v>
      </c>
      <c r="J820" s="19">
        <f t="shared" ca="1" si="113"/>
        <v>2.688765621598776E-4</v>
      </c>
      <c r="K820" s="19">
        <f t="shared" ca="1" si="114"/>
        <v>83.51244650363698</v>
      </c>
      <c r="L820" s="19">
        <f t="shared" ca="1" si="115"/>
        <v>-2.2448503636979922E-2</v>
      </c>
      <c r="M820" s="19">
        <f t="shared" ca="1" si="116"/>
        <v>0.76318044224203874</v>
      </c>
      <c r="AA820" s="37">
        <v>800</v>
      </c>
      <c r="AB820" s="37">
        <v>1.8550173233684768</v>
      </c>
      <c r="AC820" s="37">
        <v>2.8367505965898676</v>
      </c>
      <c r="AD820" s="37">
        <v>3.3310545701881025</v>
      </c>
    </row>
    <row r="821" spans="2:30" x14ac:dyDescent="0.3">
      <c r="B821" s="28">
        <v>43823</v>
      </c>
      <c r="C821" s="25">
        <v>33.810001</v>
      </c>
      <c r="D821" s="18">
        <f t="shared" si="108"/>
        <v>-9.3759153420476249E-3</v>
      </c>
      <c r="E821" s="32">
        <f t="shared" ca="1" si="109"/>
        <v>-1.6687964478803931E-3</v>
      </c>
      <c r="F821" s="18">
        <f t="shared" ca="1" si="110"/>
        <v>58.212693477455296</v>
      </c>
      <c r="G821" s="19">
        <f t="shared" ca="1" si="111"/>
        <v>9.7307522544703318E-2</v>
      </c>
      <c r="H821" s="27">
        <v>53.400002000000001</v>
      </c>
      <c r="I821" s="19">
        <f t="shared" si="112"/>
        <v>-1.6574530691980338E-2</v>
      </c>
      <c r="J821" s="19">
        <f t="shared" ca="1" si="113"/>
        <v>1.4279236707015792E-2</v>
      </c>
      <c r="K821" s="19">
        <f t="shared" ca="1" si="114"/>
        <v>84.682171444110267</v>
      </c>
      <c r="L821" s="19">
        <f t="shared" ca="1" si="115"/>
        <v>-1.1921734441102672</v>
      </c>
      <c r="M821" s="19">
        <f t="shared" ca="1" si="116"/>
        <v>-1.0948659215655638</v>
      </c>
      <c r="AA821" s="37">
        <v>801</v>
      </c>
      <c r="AB821" s="37">
        <v>1.8617216749311825</v>
      </c>
      <c r="AC821" s="37">
        <v>2.8791404565346976</v>
      </c>
      <c r="AD821" s="37">
        <v>3.1657131587673502</v>
      </c>
    </row>
    <row r="822" spans="2:30" x14ac:dyDescent="0.3">
      <c r="B822" s="28">
        <v>43825</v>
      </c>
      <c r="C822" s="25">
        <v>33.740001999999997</v>
      </c>
      <c r="D822" s="18">
        <f t="shared" si="108"/>
        <v>-2.0703637364578586E-3</v>
      </c>
      <c r="E822" s="32">
        <f t="shared" ca="1" si="109"/>
        <v>1.4604793255288561E-2</v>
      </c>
      <c r="F822" s="18">
        <f t="shared" ca="1" si="110"/>
        <v>59.16160650932067</v>
      </c>
      <c r="G822" s="19">
        <f t="shared" ca="1" si="111"/>
        <v>-0.85160550932067025</v>
      </c>
      <c r="H822" s="27">
        <v>54.209999000000003</v>
      </c>
      <c r="I822" s="19">
        <f t="shared" si="112"/>
        <v>1.5168482577959441E-2</v>
      </c>
      <c r="J822" s="19">
        <f t="shared" ca="1" si="113"/>
        <v>1.745571362893696E-3</v>
      </c>
      <c r="K822" s="19">
        <f t="shared" ca="1" si="114"/>
        <v>83.635735749596861</v>
      </c>
      <c r="L822" s="19">
        <f t="shared" ca="1" si="115"/>
        <v>-0.14573774959686148</v>
      </c>
      <c r="M822" s="19">
        <f t="shared" ca="1" si="116"/>
        <v>-0.99734325891753173</v>
      </c>
      <c r="AA822" s="37">
        <v>802</v>
      </c>
      <c r="AB822" s="37">
        <v>1.9044656404753468</v>
      </c>
      <c r="AC822" s="37">
        <v>2.8398225480175205</v>
      </c>
      <c r="AD822" s="37">
        <v>3.4325272949519738</v>
      </c>
    </row>
    <row r="823" spans="2:30" x14ac:dyDescent="0.3">
      <c r="B823" s="28">
        <v>43826</v>
      </c>
      <c r="C823" s="25">
        <v>34.880001</v>
      </c>
      <c r="D823" s="18">
        <f t="shared" si="108"/>
        <v>3.3787757333268775E-2</v>
      </c>
      <c r="E823" s="32">
        <f t="shared" ca="1" si="109"/>
        <v>3.192845085895385E-2</v>
      </c>
      <c r="F823" s="18">
        <f t="shared" ca="1" si="110"/>
        <v>60.171749001514051</v>
      </c>
      <c r="G823" s="19">
        <f t="shared" ca="1" si="111"/>
        <v>-1.8617480015140515</v>
      </c>
      <c r="H823" s="27">
        <v>53.779998999999997</v>
      </c>
      <c r="I823" s="19">
        <f t="shared" si="112"/>
        <v>-7.9321159921070805E-3</v>
      </c>
      <c r="J823" s="19">
        <f t="shared" ca="1" si="113"/>
        <v>1.1302679055930506E-2</v>
      </c>
      <c r="K823" s="19">
        <f t="shared" ca="1" si="114"/>
        <v>84.43365865177428</v>
      </c>
      <c r="L823" s="19">
        <f t="shared" ca="1" si="115"/>
        <v>-0.94366065177428027</v>
      </c>
      <c r="M823" s="19">
        <f t="shared" ca="1" si="116"/>
        <v>-2.8054086532883318</v>
      </c>
      <c r="AA823" s="37">
        <v>803</v>
      </c>
      <c r="AB823" s="37">
        <v>1.7944227687228447</v>
      </c>
      <c r="AC823" s="37">
        <v>2.9823025686633318</v>
      </c>
      <c r="AD823" s="37">
        <v>3.3718647197237028</v>
      </c>
    </row>
    <row r="824" spans="2:30" x14ac:dyDescent="0.3">
      <c r="B824" s="28">
        <v>43829</v>
      </c>
      <c r="C824" s="25">
        <v>34.880001</v>
      </c>
      <c r="D824" s="18">
        <f t="shared" si="108"/>
        <v>0</v>
      </c>
      <c r="E824" s="32">
        <f t="shared" ca="1" si="109"/>
        <v>-2.0314841423637785E-2</v>
      </c>
      <c r="F824" s="18">
        <f t="shared" ca="1" si="110"/>
        <v>57.125442576272839</v>
      </c>
      <c r="G824" s="19">
        <f t="shared" ca="1" si="111"/>
        <v>1.1845584237271609</v>
      </c>
      <c r="H824" s="27">
        <v>51.889999000000003</v>
      </c>
      <c r="I824" s="19">
        <f t="shared" si="112"/>
        <v>-3.5143176555283984E-2</v>
      </c>
      <c r="J824" s="19">
        <f t="shared" ca="1" si="113"/>
        <v>9.5792731009944048E-3</v>
      </c>
      <c r="K824" s="19">
        <f t="shared" ca="1" si="114"/>
        <v>84.289771492043485</v>
      </c>
      <c r="L824" s="19">
        <f t="shared" ca="1" si="115"/>
        <v>-0.79977349204348513</v>
      </c>
      <c r="M824" s="19">
        <f t="shared" ca="1" si="116"/>
        <v>0.38478493168367578</v>
      </c>
      <c r="AA824" s="37">
        <v>804</v>
      </c>
      <c r="AB824" s="37">
        <v>1.740958523442961</v>
      </c>
      <c r="AC824" s="37">
        <v>2.744796140956745</v>
      </c>
      <c r="AD824" s="37">
        <v>3.331008960840018</v>
      </c>
    </row>
    <row r="825" spans="2:30" x14ac:dyDescent="0.3">
      <c r="B825" s="28">
        <v>43830</v>
      </c>
      <c r="C825" s="25">
        <v>34.880001</v>
      </c>
      <c r="D825" s="18">
        <f t="shared" si="108"/>
        <v>0</v>
      </c>
      <c r="E825" s="32">
        <f t="shared" ca="1" si="109"/>
        <v>-6.4172863155930078E-3</v>
      </c>
      <c r="F825" s="18">
        <f t="shared" ca="1" si="110"/>
        <v>57.935809028520488</v>
      </c>
      <c r="G825" s="19">
        <f t="shared" ca="1" si="111"/>
        <v>0.37419197147951166</v>
      </c>
      <c r="H825" s="27">
        <v>51.889999000000003</v>
      </c>
      <c r="I825" s="19">
        <f t="shared" si="112"/>
        <v>0</v>
      </c>
      <c r="J825" s="19">
        <f t="shared" ca="1" si="113"/>
        <v>1.4338414166772222E-2</v>
      </c>
      <c r="K825" s="19">
        <f t="shared" ca="1" si="114"/>
        <v>84.687112170106985</v>
      </c>
      <c r="L825" s="19">
        <f t="shared" ca="1" si="115"/>
        <v>-1.1971141701069854</v>
      </c>
      <c r="M825" s="19">
        <f t="shared" ca="1" si="116"/>
        <v>-0.82292219862747373</v>
      </c>
      <c r="AA825" s="37">
        <v>805</v>
      </c>
      <c r="AB825" s="37">
        <v>1.7376254925208283</v>
      </c>
      <c r="AC825" s="37">
        <v>2.8231002446990692</v>
      </c>
      <c r="AD825" s="37">
        <v>3.3067027092943722</v>
      </c>
    </row>
    <row r="826" spans="2:30" x14ac:dyDescent="0.3">
      <c r="B826" s="28">
        <v>43832</v>
      </c>
      <c r="C826" s="25">
        <v>35.360000999999997</v>
      </c>
      <c r="D826" s="18">
        <f t="shared" si="108"/>
        <v>1.3761467495370772E-2</v>
      </c>
      <c r="E826" s="32">
        <f t="shared" ca="1" si="109"/>
        <v>6.9303984276080149E-3</v>
      </c>
      <c r="F826" s="18">
        <f t="shared" ca="1" si="110"/>
        <v>58.714112539244226</v>
      </c>
      <c r="G826" s="19">
        <f t="shared" ca="1" si="111"/>
        <v>-0.40411153924422649</v>
      </c>
      <c r="H826" s="27">
        <v>53.970001000000003</v>
      </c>
      <c r="I826" s="19">
        <f t="shared" si="112"/>
        <v>4.0084834073710329E-2</v>
      </c>
      <c r="J826" s="19">
        <f t="shared" ca="1" si="113"/>
        <v>1.3308247731995987E-2</v>
      </c>
      <c r="K826" s="19">
        <f t="shared" ca="1" si="114"/>
        <v>84.601103576527848</v>
      </c>
      <c r="L826" s="19">
        <f t="shared" ca="1" si="115"/>
        <v>-1.1111055765278479</v>
      </c>
      <c r="M826" s="19">
        <f t="shared" ca="1" si="116"/>
        <v>-1.5152171157720744</v>
      </c>
      <c r="AA826" s="37">
        <v>806</v>
      </c>
      <c r="AB826" s="37">
        <v>1.8386653524397796</v>
      </c>
      <c r="AC826" s="37">
        <v>2.9306056470415824</v>
      </c>
      <c r="AD826" s="37">
        <v>3.6174812759136166</v>
      </c>
    </row>
    <row r="827" spans="2:30" x14ac:dyDescent="0.3">
      <c r="B827" s="28">
        <v>43833</v>
      </c>
      <c r="C827" s="25">
        <v>35.369999</v>
      </c>
      <c r="D827" s="18">
        <f t="shared" si="108"/>
        <v>2.827488607821671E-4</v>
      </c>
      <c r="E827" s="32">
        <f t="shared" ca="1" si="109"/>
        <v>3.5891098959181271E-3</v>
      </c>
      <c r="F827" s="18">
        <f t="shared" ca="1" si="110"/>
        <v>58.519282001620098</v>
      </c>
      <c r="G827" s="19">
        <f t="shared" ca="1" si="111"/>
        <v>-0.20928100162009855</v>
      </c>
      <c r="H827" s="27">
        <v>54.099997999999999</v>
      </c>
      <c r="I827" s="19">
        <f t="shared" si="112"/>
        <v>2.4086899683399832E-3</v>
      </c>
      <c r="J827" s="19">
        <f t="shared" ca="1" si="113"/>
        <v>2.5748559802690179E-2</v>
      </c>
      <c r="K827" s="19">
        <f t="shared" ca="1" si="114"/>
        <v>85.639745206429481</v>
      </c>
      <c r="L827" s="19">
        <f t="shared" ca="1" si="115"/>
        <v>-2.1497472064294811</v>
      </c>
      <c r="M827" s="19">
        <f t="shared" ca="1" si="116"/>
        <v>-2.3590282080495797</v>
      </c>
      <c r="AA827" s="37">
        <v>807</v>
      </c>
      <c r="AB827" s="37">
        <v>1.7842181981600365</v>
      </c>
      <c r="AC827" s="37">
        <v>2.9376225149063218</v>
      </c>
      <c r="AD827" s="37">
        <v>3.3695330602665532</v>
      </c>
    </row>
    <row r="828" spans="2:30" x14ac:dyDescent="0.3">
      <c r="B828" s="28">
        <v>43836</v>
      </c>
      <c r="C828" s="25">
        <v>35.525002000000001</v>
      </c>
      <c r="D828" s="18">
        <f t="shared" si="108"/>
        <v>4.3823297818017526E-3</v>
      </c>
      <c r="E828" s="32">
        <f t="shared" ca="1" si="109"/>
        <v>-5.8278319324694301E-3</v>
      </c>
      <c r="F828" s="18">
        <f t="shared" ca="1" si="110"/>
        <v>57.97018011418988</v>
      </c>
      <c r="G828" s="19">
        <f t="shared" ca="1" si="111"/>
        <v>0.33982088581011993</v>
      </c>
      <c r="H828" s="27">
        <v>52.825001</v>
      </c>
      <c r="I828" s="19">
        <f t="shared" si="112"/>
        <v>-2.3567413070884058E-2</v>
      </c>
      <c r="J828" s="19">
        <f t="shared" ca="1" si="113"/>
        <v>2.0786439218103487E-2</v>
      </c>
      <c r="K828" s="19">
        <f t="shared" ca="1" si="114"/>
        <v>85.22545776874658</v>
      </c>
      <c r="L828" s="19">
        <f t="shared" ca="1" si="115"/>
        <v>-1.7354597687465798</v>
      </c>
      <c r="M828" s="19">
        <f t="shared" ca="1" si="116"/>
        <v>-1.3956388829364599</v>
      </c>
      <c r="AA828" s="37">
        <v>808</v>
      </c>
      <c r="AB828" s="37">
        <v>1.8287080553768886</v>
      </c>
      <c r="AC828" s="37">
        <v>2.9819673178288917</v>
      </c>
      <c r="AD828" s="37">
        <v>3.2686702549234772</v>
      </c>
    </row>
    <row r="829" spans="2:30" x14ac:dyDescent="0.3">
      <c r="B829" s="28">
        <v>43837</v>
      </c>
      <c r="C829" s="25">
        <v>35.049999</v>
      </c>
      <c r="D829" s="18">
        <f t="shared" si="108"/>
        <v>-1.3370949282423661E-2</v>
      </c>
      <c r="E829" s="32">
        <f t="shared" ca="1" si="109"/>
        <v>-1.5550724155606085E-2</v>
      </c>
      <c r="F829" s="18">
        <f t="shared" ca="1" si="110"/>
        <v>57.403238258935886</v>
      </c>
      <c r="G829" s="19">
        <f t="shared" ca="1" si="111"/>
        <v>0.9067627410641137</v>
      </c>
      <c r="H829" s="27">
        <v>52.939999</v>
      </c>
      <c r="I829" s="19">
        <f t="shared" si="112"/>
        <v>2.1769616246671841E-3</v>
      </c>
      <c r="J829" s="19">
        <f t="shared" ca="1" si="113"/>
        <v>-4.4817576260669798E-3</v>
      </c>
      <c r="K829" s="19">
        <f t="shared" ca="1" si="114"/>
        <v>83.11581606476318</v>
      </c>
      <c r="L829" s="19">
        <f t="shared" ca="1" si="115"/>
        <v>0.37418193523681964</v>
      </c>
      <c r="M829" s="19">
        <f t="shared" ca="1" si="116"/>
        <v>1.2809446763009333</v>
      </c>
      <c r="AA829" s="37">
        <v>809</v>
      </c>
      <c r="AB829" s="37">
        <v>1.807799852768587</v>
      </c>
      <c r="AC829" s="37">
        <v>2.8238742347215671</v>
      </c>
      <c r="AD829" s="37">
        <v>3.2096242714534475</v>
      </c>
    </row>
    <row r="830" spans="2:30" x14ac:dyDescent="0.3">
      <c r="B830" s="28">
        <v>43838</v>
      </c>
      <c r="C830" s="25">
        <v>35.020000000000003</v>
      </c>
      <c r="D830" s="18">
        <f t="shared" si="108"/>
        <v>-8.5589160787125085E-4</v>
      </c>
      <c r="E830" s="32">
        <f t="shared" ca="1" si="109"/>
        <v>1.8182478018825127E-2</v>
      </c>
      <c r="F830" s="18">
        <f t="shared" ca="1" si="110"/>
        <v>59.37022131146017</v>
      </c>
      <c r="G830" s="19">
        <f t="shared" ca="1" si="111"/>
        <v>-1.0602203114601707</v>
      </c>
      <c r="H830" s="27">
        <v>54.360000999999997</v>
      </c>
      <c r="I830" s="19">
        <f t="shared" si="112"/>
        <v>2.6822856570133169E-2</v>
      </c>
      <c r="J830" s="19">
        <f t="shared" ca="1" si="113"/>
        <v>4.0371610371232193E-2</v>
      </c>
      <c r="K830" s="19">
        <f t="shared" ca="1" si="114"/>
        <v>86.860623669150954</v>
      </c>
      <c r="L830" s="19">
        <f t="shared" ca="1" si="115"/>
        <v>-3.3706256691509537</v>
      </c>
      <c r="M830" s="19">
        <f t="shared" ca="1" si="116"/>
        <v>-4.4308459806111244</v>
      </c>
      <c r="AA830" s="37">
        <v>810</v>
      </c>
      <c r="AB830" s="37">
        <v>1.885256299501241</v>
      </c>
      <c r="AC830" s="37">
        <v>2.8785073049665142</v>
      </c>
      <c r="AD830" s="37">
        <v>3.3371379878465088</v>
      </c>
    </row>
    <row r="831" spans="2:30" x14ac:dyDescent="0.3">
      <c r="B831" s="28">
        <v>43839</v>
      </c>
      <c r="C831" s="25">
        <v>35.830002</v>
      </c>
      <c r="D831" s="18">
        <f t="shared" si="108"/>
        <v>2.3129697315819486E-2</v>
      </c>
      <c r="E831" s="32">
        <f t="shared" ca="1" si="109"/>
        <v>1.4146318652937355E-2</v>
      </c>
      <c r="F831" s="18">
        <f t="shared" ca="1" si="110"/>
        <v>59.134872854799099</v>
      </c>
      <c r="G831" s="19">
        <f t="shared" ca="1" si="111"/>
        <v>-0.82487185479909897</v>
      </c>
      <c r="H831" s="27">
        <v>54.299999</v>
      </c>
      <c r="I831" s="19">
        <f t="shared" si="112"/>
        <v>-1.1037895308353418E-3</v>
      </c>
      <c r="J831" s="19">
        <f t="shared" ca="1" si="113"/>
        <v>4.0430046008451076E-4</v>
      </c>
      <c r="K831" s="19">
        <f t="shared" ca="1" si="114"/>
        <v>83.523753044603851</v>
      </c>
      <c r="L831" s="19">
        <f t="shared" ca="1" si="115"/>
        <v>-3.3755044603850592E-2</v>
      </c>
      <c r="M831" s="19">
        <f t="shared" ca="1" si="116"/>
        <v>-0.85862689940294956</v>
      </c>
      <c r="AA831" s="37">
        <v>811</v>
      </c>
      <c r="AB831" s="37">
        <v>1.7806870153664867</v>
      </c>
      <c r="AC831" s="37">
        <v>2.9624254724272894</v>
      </c>
      <c r="AD831" s="37">
        <v>3.535364281352483</v>
      </c>
    </row>
    <row r="832" spans="2:30" x14ac:dyDescent="0.3">
      <c r="B832" s="28">
        <v>43840</v>
      </c>
      <c r="C832" s="25">
        <v>35.689999</v>
      </c>
      <c r="D832" s="18">
        <f t="shared" si="108"/>
        <v>-3.9074237283045488E-3</v>
      </c>
      <c r="E832" s="32">
        <f t="shared" ca="1" si="109"/>
        <v>-1.8118536649302009E-2</v>
      </c>
      <c r="F832" s="18">
        <f t="shared" ca="1" si="110"/>
        <v>57.253509109860666</v>
      </c>
      <c r="G832" s="19">
        <f t="shared" ca="1" si="111"/>
        <v>1.0564918901393341</v>
      </c>
      <c r="H832" s="27">
        <v>55.43</v>
      </c>
      <c r="I832" s="19">
        <f t="shared" si="112"/>
        <v>2.0810331874960175E-2</v>
      </c>
      <c r="J832" s="19">
        <f t="shared" ca="1" si="113"/>
        <v>2.5476192485631953E-2</v>
      </c>
      <c r="K832" s="19">
        <f t="shared" ca="1" si="114"/>
        <v>85.617005259673022</v>
      </c>
      <c r="L832" s="19">
        <f t="shared" ca="1" si="115"/>
        <v>-2.1270072596730216</v>
      </c>
      <c r="M832" s="19">
        <f t="shared" ca="1" si="116"/>
        <v>-1.0705153695336875</v>
      </c>
      <c r="AA832" s="37">
        <v>812</v>
      </c>
      <c r="AB832" s="37">
        <v>1.7772880844521932</v>
      </c>
      <c r="AC832" s="37">
        <v>2.7861373077015155</v>
      </c>
      <c r="AD832" s="37">
        <v>3.6050819353811026</v>
      </c>
    </row>
    <row r="833" spans="2:30" x14ac:dyDescent="0.3">
      <c r="B833" s="28">
        <v>43843</v>
      </c>
      <c r="C833" s="25">
        <v>35.790000999999997</v>
      </c>
      <c r="D833" s="18">
        <f t="shared" si="108"/>
        <v>2.8019614122152259E-3</v>
      </c>
      <c r="E833" s="32">
        <f t="shared" ca="1" si="109"/>
        <v>4.4235897189517835E-2</v>
      </c>
      <c r="F833" s="18">
        <f t="shared" ca="1" si="110"/>
        <v>60.889396209356683</v>
      </c>
      <c r="G833" s="19">
        <f t="shared" ca="1" si="111"/>
        <v>-2.579395209356683</v>
      </c>
      <c r="H833" s="27">
        <v>56.919998</v>
      </c>
      <c r="I833" s="19">
        <f t="shared" si="112"/>
        <v>2.6880714414576845E-2</v>
      </c>
      <c r="J833" s="19">
        <f t="shared" ca="1" si="113"/>
        <v>-2.6907968956602281E-2</v>
      </c>
      <c r="K833" s="19">
        <f t="shared" ca="1" si="114"/>
        <v>81.243451725629214</v>
      </c>
      <c r="L833" s="19">
        <f t="shared" ca="1" si="115"/>
        <v>2.246546274370786</v>
      </c>
      <c r="M833" s="19">
        <f t="shared" ca="1" si="116"/>
        <v>-0.33284893498589696</v>
      </c>
      <c r="AA833" s="37">
        <v>813</v>
      </c>
      <c r="AB833" s="37">
        <v>1.8036669222813764</v>
      </c>
      <c r="AC833" s="37">
        <v>2.7651264769476209</v>
      </c>
      <c r="AD833" s="37">
        <v>3.5059676829008173</v>
      </c>
    </row>
    <row r="834" spans="2:30" x14ac:dyDescent="0.3">
      <c r="B834" s="28">
        <v>43844</v>
      </c>
      <c r="C834" s="25">
        <v>35.580002</v>
      </c>
      <c r="D834" s="18">
        <f t="shared" si="108"/>
        <v>-5.8675326664561211E-3</v>
      </c>
      <c r="E834" s="32">
        <f t="shared" ca="1" si="109"/>
        <v>6.4686570847483135E-3</v>
      </c>
      <c r="F834" s="18">
        <f t="shared" ca="1" si="110"/>
        <v>58.687188401080334</v>
      </c>
      <c r="G834" s="19">
        <f t="shared" ca="1" si="111"/>
        <v>-0.37718740108033444</v>
      </c>
      <c r="H834" s="27">
        <v>56.84</v>
      </c>
      <c r="I834" s="19">
        <f t="shared" si="112"/>
        <v>-1.4054462897205022E-3</v>
      </c>
      <c r="J834" s="19">
        <f t="shared" ca="1" si="113"/>
        <v>-8.4398594166335099E-3</v>
      </c>
      <c r="K834" s="19">
        <f t="shared" ca="1" si="114"/>
        <v>82.785354154184986</v>
      </c>
      <c r="L834" s="19">
        <f t="shared" ca="1" si="115"/>
        <v>0.70464384581501349</v>
      </c>
      <c r="M834" s="19">
        <f t="shared" ca="1" si="116"/>
        <v>0.32745644473467905</v>
      </c>
      <c r="AA834" s="37">
        <v>814</v>
      </c>
      <c r="AB834" s="37">
        <v>1.7229903949438947</v>
      </c>
      <c r="AC834" s="37">
        <v>2.9205284182029909</v>
      </c>
      <c r="AD834" s="37">
        <v>3.0785847911847695</v>
      </c>
    </row>
    <row r="835" spans="2:30" x14ac:dyDescent="0.3">
      <c r="B835" s="28">
        <v>43845</v>
      </c>
      <c r="C835" s="25">
        <v>34.979999999999997</v>
      </c>
      <c r="D835" s="18">
        <f t="shared" si="108"/>
        <v>-1.6863461671531188E-2</v>
      </c>
      <c r="E835" s="32">
        <f t="shared" ca="1" si="109"/>
        <v>1.2451156263604565E-2</v>
      </c>
      <c r="F835" s="18">
        <f t="shared" ca="1" si="110"/>
        <v>59.036027934181931</v>
      </c>
      <c r="G835" s="19">
        <f t="shared" ca="1" si="111"/>
        <v>-0.72602693418193098</v>
      </c>
      <c r="H835" s="27">
        <v>54.970001000000003</v>
      </c>
      <c r="I835" s="19">
        <f t="shared" si="112"/>
        <v>-3.2899349049964832E-2</v>
      </c>
      <c r="J835" s="19">
        <f t="shared" ca="1" si="113"/>
        <v>-3.0139404800982889E-2</v>
      </c>
      <c r="K835" s="19">
        <f t="shared" ca="1" si="114"/>
        <v>80.973659153444743</v>
      </c>
      <c r="L835" s="19">
        <f t="shared" ca="1" si="115"/>
        <v>2.5163388465552572</v>
      </c>
      <c r="M835" s="19">
        <f t="shared" ca="1" si="116"/>
        <v>1.7903119123733262</v>
      </c>
      <c r="AA835" s="37">
        <v>815</v>
      </c>
      <c r="AB835" s="37">
        <v>1.8088783481147783</v>
      </c>
      <c r="AC835" s="37">
        <v>2.8115051522110655</v>
      </c>
      <c r="AD835" s="37">
        <v>3.4515453800696725</v>
      </c>
    </row>
    <row r="836" spans="2:30" x14ac:dyDescent="0.3">
      <c r="B836" s="28">
        <v>43846</v>
      </c>
      <c r="C836" s="25">
        <v>35.299999</v>
      </c>
      <c r="D836" s="18">
        <f t="shared" si="108"/>
        <v>9.1480560320182924E-3</v>
      </c>
      <c r="E836" s="32">
        <f t="shared" ca="1" si="109"/>
        <v>4.9120315611716229E-3</v>
      </c>
      <c r="F836" s="18">
        <f t="shared" ca="1" si="110"/>
        <v>58.596421565243951</v>
      </c>
      <c r="G836" s="19">
        <f t="shared" ca="1" si="111"/>
        <v>-0.28642056524395088</v>
      </c>
      <c r="H836" s="27">
        <v>56.720001000000003</v>
      </c>
      <c r="I836" s="19">
        <f t="shared" si="112"/>
        <v>3.1835546082671584E-2</v>
      </c>
      <c r="J836" s="19">
        <f t="shared" ca="1" si="113"/>
        <v>5.8835905531163754E-4</v>
      </c>
      <c r="K836" s="19">
        <f t="shared" ca="1" si="114"/>
        <v>83.539120096351255</v>
      </c>
      <c r="L836" s="19">
        <f t="shared" ca="1" si="115"/>
        <v>-4.912209635125464E-2</v>
      </c>
      <c r="M836" s="19">
        <f t="shared" ca="1" si="116"/>
        <v>-0.33554266159520552</v>
      </c>
      <c r="AA836" s="37">
        <v>816</v>
      </c>
      <c r="AB836" s="37">
        <v>1.7582975618510808</v>
      </c>
      <c r="AC836" s="37">
        <v>3.0576470540305505</v>
      </c>
      <c r="AD836" s="37">
        <v>3.5570341884180148</v>
      </c>
    </row>
    <row r="837" spans="2:30" x14ac:dyDescent="0.3">
      <c r="B837" s="28">
        <v>43847</v>
      </c>
      <c r="C837" s="25">
        <v>35.689999</v>
      </c>
      <c r="D837" s="18">
        <f t="shared" si="108"/>
        <v>1.1048158953205656E-2</v>
      </c>
      <c r="E837" s="32">
        <f t="shared" ca="1" si="109"/>
        <v>1.7927809188589449E-2</v>
      </c>
      <c r="F837" s="18">
        <f t="shared" ca="1" si="110"/>
        <v>59.355371571714464</v>
      </c>
      <c r="G837" s="19">
        <f t="shared" ca="1" si="111"/>
        <v>-1.0453705717144643</v>
      </c>
      <c r="H837" s="27">
        <v>58.700001</v>
      </c>
      <c r="I837" s="19">
        <f t="shared" si="112"/>
        <v>3.4908320964239792E-2</v>
      </c>
      <c r="J837" s="19">
        <f t="shared" ca="1" si="113"/>
        <v>9.0805613057858177E-3</v>
      </c>
      <c r="K837" s="19">
        <f t="shared" ca="1" si="114"/>
        <v>84.248134045258936</v>
      </c>
      <c r="L837" s="19">
        <f t="shared" ca="1" si="115"/>
        <v>-0.75813604525893652</v>
      </c>
      <c r="M837" s="19">
        <f t="shared" ca="1" si="116"/>
        <v>-1.8035066169734009</v>
      </c>
      <c r="AA837" s="37">
        <v>817</v>
      </c>
      <c r="AB837" s="37">
        <v>1.8395751303881973</v>
      </c>
      <c r="AC837" s="37">
        <v>3.0495608426993241</v>
      </c>
      <c r="AD837" s="37">
        <v>3.4157507897432322</v>
      </c>
    </row>
    <row r="838" spans="2:30" x14ac:dyDescent="0.3">
      <c r="B838" s="28">
        <v>43850</v>
      </c>
      <c r="C838" s="25">
        <v>36.040000999999997</v>
      </c>
      <c r="D838" s="18">
        <f t="shared" si="108"/>
        <v>9.8067248474844604E-3</v>
      </c>
      <c r="E838" s="32">
        <f t="shared" ca="1" si="109"/>
        <v>2.8774872257565504E-3</v>
      </c>
      <c r="F838" s="18">
        <f t="shared" ca="1" si="110"/>
        <v>58.477787283011359</v>
      </c>
      <c r="G838" s="19">
        <f t="shared" ca="1" si="111"/>
        <v>-0.16778628301135967</v>
      </c>
      <c r="H838" s="27">
        <v>58.02</v>
      </c>
      <c r="I838" s="19">
        <f t="shared" si="112"/>
        <v>-1.1584343925309271E-2</v>
      </c>
      <c r="J838" s="19">
        <f t="shared" ca="1" si="113"/>
        <v>-2.7980653932364059E-3</v>
      </c>
      <c r="K838" s="19">
        <f t="shared" ca="1" si="114"/>
        <v>83.256387525914818</v>
      </c>
      <c r="L838" s="19">
        <f t="shared" ca="1" si="115"/>
        <v>0.23361047408518232</v>
      </c>
      <c r="M838" s="19">
        <f t="shared" ca="1" si="116"/>
        <v>6.5824191073822647E-2</v>
      </c>
      <c r="AA838" s="37">
        <v>818</v>
      </c>
      <c r="AB838" s="37">
        <v>1.8698745952359059</v>
      </c>
      <c r="AC838" s="37">
        <v>2.9740028841182151</v>
      </c>
      <c r="AD838" s="37">
        <v>3.3529525851468476</v>
      </c>
    </row>
    <row r="839" spans="2:30" x14ac:dyDescent="0.3">
      <c r="B839" s="28">
        <v>43851</v>
      </c>
      <c r="C839" s="25">
        <v>35.82</v>
      </c>
      <c r="D839" s="18">
        <f t="shared" si="108"/>
        <v>-6.1043561014328951E-3</v>
      </c>
      <c r="E839" s="32">
        <f t="shared" ca="1" si="109"/>
        <v>-2.1949860575858321E-2</v>
      </c>
      <c r="F839" s="18">
        <f t="shared" ca="1" si="110"/>
        <v>57.030104607871841</v>
      </c>
      <c r="G839" s="19">
        <f t="shared" ca="1" si="111"/>
        <v>1.2798963921281583</v>
      </c>
      <c r="H839" s="27">
        <v>57.220001000000003</v>
      </c>
      <c r="I839" s="19">
        <f t="shared" si="112"/>
        <v>-1.3788331609789761E-2</v>
      </c>
      <c r="J839" s="19">
        <f t="shared" ca="1" si="113"/>
        <v>-1.4367898928969189E-2</v>
      </c>
      <c r="K839" s="19">
        <f t="shared" ca="1" si="114"/>
        <v>82.290422147156164</v>
      </c>
      <c r="L839" s="19">
        <f t="shared" ca="1" si="115"/>
        <v>1.1995758528438358</v>
      </c>
      <c r="M839" s="19">
        <f t="shared" ca="1" si="116"/>
        <v>2.4794722449719941</v>
      </c>
      <c r="AA839" s="37">
        <v>819</v>
      </c>
      <c r="AB839" s="37">
        <v>1.73679950688942</v>
      </c>
      <c r="AC839" s="37">
        <v>3.0398616659403626</v>
      </c>
      <c r="AD839" s="37">
        <v>3.2301967051746545</v>
      </c>
    </row>
    <row r="840" spans="2:30" x14ac:dyDescent="0.3">
      <c r="B840" s="28">
        <v>43852</v>
      </c>
      <c r="C840" s="25">
        <v>34.810001</v>
      </c>
      <c r="D840" s="18">
        <f t="shared" ref="D840:D903" si="117">C840/C839-1</f>
        <v>-2.819651032942494E-2</v>
      </c>
      <c r="E840" s="32">
        <f t="shared" ref="E840:E903" ca="1" si="118">NORMINV(RAND(),$E$3,$E$4)</f>
        <v>5.2263620938182757E-2</v>
      </c>
      <c r="F840" s="18">
        <f t="shared" ref="F840:F903" ca="1" si="119">$C$1261*(1+E840)</f>
        <v>61.357492789169058</v>
      </c>
      <c r="G840" s="19">
        <f t="shared" ref="G840:G903" ca="1" si="120">$C$1261-F840</f>
        <v>-3.0474917891690581</v>
      </c>
      <c r="H840" s="27">
        <v>56.939999</v>
      </c>
      <c r="I840" s="19">
        <f t="shared" ref="I840:I903" si="121">H840/H839-1</f>
        <v>-4.8934287855045833E-3</v>
      </c>
      <c r="J840" s="19">
        <f t="shared" ref="J840:J903" ca="1" si="122">NORMINV(RAND(),$J$3,$J$4)</f>
        <v>-2.7358573963396526E-2</v>
      </c>
      <c r="K840" s="19">
        <f t="shared" ref="K840:K903" ca="1" si="123">$H$1261*(1+J840)</f>
        <v>81.205830714513169</v>
      </c>
      <c r="L840" s="19">
        <f t="shared" ref="L840:L903" ca="1" si="124">$H$1261-K840</f>
        <v>2.2841672854868307</v>
      </c>
      <c r="M840" s="19">
        <f t="shared" ref="M840:M903" ca="1" si="125">SUM(G840,L840)</f>
        <v>-0.76332450368222737</v>
      </c>
      <c r="AA840" s="37">
        <v>820</v>
      </c>
      <c r="AB840" s="37">
        <v>1.8227428195820852</v>
      </c>
      <c r="AC840" s="37">
        <v>2.7830371694723475</v>
      </c>
      <c r="AD840" s="37">
        <v>3.4624994968838529</v>
      </c>
    </row>
    <row r="841" spans="2:30" x14ac:dyDescent="0.3">
      <c r="B841" s="28">
        <v>43853</v>
      </c>
      <c r="C841" s="25">
        <v>34.529998999999997</v>
      </c>
      <c r="D841" s="18">
        <f t="shared" si="117"/>
        <v>-8.0437228370089375E-3</v>
      </c>
      <c r="E841" s="32">
        <f t="shared" ca="1" si="118"/>
        <v>-3.2269239929837538E-2</v>
      </c>
      <c r="F841" s="18">
        <f t="shared" ca="1" si="119"/>
        <v>56.428381587421931</v>
      </c>
      <c r="G841" s="19">
        <f t="shared" ca="1" si="120"/>
        <v>1.8816194125780683</v>
      </c>
      <c r="H841" s="27">
        <v>53.880001</v>
      </c>
      <c r="I841" s="19">
        <f t="shared" si="121"/>
        <v>-5.3740745587297911E-2</v>
      </c>
      <c r="J841" s="19">
        <f t="shared" ca="1" si="122"/>
        <v>2.7606324058183612E-2</v>
      </c>
      <c r="K841" s="19">
        <f t="shared" ca="1" si="123"/>
        <v>85.794849940405101</v>
      </c>
      <c r="L841" s="19">
        <f t="shared" ca="1" si="124"/>
        <v>-2.3048519404051007</v>
      </c>
      <c r="M841" s="19">
        <f t="shared" ca="1" si="125"/>
        <v>-0.42323252782703236</v>
      </c>
      <c r="AA841" s="37">
        <v>821</v>
      </c>
      <c r="AB841" s="37">
        <v>1.7828844065449871</v>
      </c>
      <c r="AC841" s="37">
        <v>2.8412359579586748</v>
      </c>
      <c r="AD841" s="37">
        <v>3.1207500103312338</v>
      </c>
    </row>
    <row r="842" spans="2:30" x14ac:dyDescent="0.3">
      <c r="B842" s="28">
        <v>43854</v>
      </c>
      <c r="C842" s="25">
        <v>33.5</v>
      </c>
      <c r="D842" s="18">
        <f t="shared" si="117"/>
        <v>-2.9829105989837901E-2</v>
      </c>
      <c r="E842" s="32">
        <f t="shared" ca="1" si="118"/>
        <v>4.8894150467442441E-3</v>
      </c>
      <c r="F842" s="18">
        <f t="shared" ca="1" si="119"/>
        <v>58.595102796265074</v>
      </c>
      <c r="G842" s="19">
        <f t="shared" ca="1" si="120"/>
        <v>-0.28510179626507437</v>
      </c>
      <c r="H842" s="27">
        <v>52.689999</v>
      </c>
      <c r="I842" s="19">
        <f t="shared" si="121"/>
        <v>-2.2086154007309733E-2</v>
      </c>
      <c r="J842" s="19">
        <f t="shared" ca="1" si="122"/>
        <v>2.4637460785092279E-2</v>
      </c>
      <c r="K842" s="19">
        <f t="shared" ca="1" si="123"/>
        <v>85.546979551672436</v>
      </c>
      <c r="L842" s="19">
        <f t="shared" ca="1" si="124"/>
        <v>-2.0569815516724361</v>
      </c>
      <c r="M842" s="19">
        <f t="shared" ca="1" si="125"/>
        <v>-2.3420833479375105</v>
      </c>
      <c r="AA842" s="37">
        <v>822</v>
      </c>
      <c r="AB842" s="37">
        <v>1.7599271905422569</v>
      </c>
      <c r="AC842" s="37">
        <v>3.0660289062108577</v>
      </c>
      <c r="AD842" s="37">
        <v>3.3905196914239077</v>
      </c>
    </row>
    <row r="843" spans="2:30" x14ac:dyDescent="0.3">
      <c r="B843" s="28">
        <v>43857</v>
      </c>
      <c r="C843" s="25">
        <v>32.724997999999999</v>
      </c>
      <c r="D843" s="18">
        <f t="shared" si="117"/>
        <v>-2.3134388059701472E-2</v>
      </c>
      <c r="E843" s="32">
        <f t="shared" ca="1" si="118"/>
        <v>-1.9252276506751061E-3</v>
      </c>
      <c r="F843" s="18">
        <f t="shared" ca="1" si="119"/>
        <v>58.197740973763906</v>
      </c>
      <c r="G843" s="19">
        <f t="shared" ca="1" si="120"/>
        <v>0.11226002623609332</v>
      </c>
      <c r="H843" s="27">
        <v>51.220001000000003</v>
      </c>
      <c r="I843" s="19">
        <f t="shared" si="121"/>
        <v>-2.7898994646023745E-2</v>
      </c>
      <c r="J843" s="19">
        <f t="shared" ca="1" si="122"/>
        <v>3.5032362861017207E-3</v>
      </c>
      <c r="K843" s="19">
        <f t="shared" ca="1" si="123"/>
        <v>83.782483190520168</v>
      </c>
      <c r="L843" s="19">
        <f t="shared" ca="1" si="124"/>
        <v>-0.29248519052016775</v>
      </c>
      <c r="M843" s="19">
        <f t="shared" ca="1" si="125"/>
        <v>-0.18022516428407442</v>
      </c>
      <c r="AA843" s="37">
        <v>823</v>
      </c>
      <c r="AB843" s="37">
        <v>1.8972558520475353</v>
      </c>
      <c r="AC843" s="37">
        <v>2.8546154229682954</v>
      </c>
      <c r="AD843" s="37">
        <v>3.5540039226430236</v>
      </c>
    </row>
    <row r="844" spans="2:30" x14ac:dyDescent="0.3">
      <c r="B844" s="28">
        <v>43858</v>
      </c>
      <c r="C844" s="25">
        <v>33.869999</v>
      </c>
      <c r="D844" s="18">
        <f t="shared" si="117"/>
        <v>3.4988573566910652E-2</v>
      </c>
      <c r="E844" s="32">
        <f t="shared" ca="1" si="118"/>
        <v>-3.1801563109628575E-2</v>
      </c>
      <c r="F844" s="18">
        <f t="shared" ca="1" si="119"/>
        <v>56.455651823275993</v>
      </c>
      <c r="G844" s="19">
        <f t="shared" ca="1" si="120"/>
        <v>1.854349176724007</v>
      </c>
      <c r="H844" s="27">
        <v>51.950001</v>
      </c>
      <c r="I844" s="19">
        <f t="shared" si="121"/>
        <v>1.4252244938456782E-2</v>
      </c>
      <c r="J844" s="19">
        <f t="shared" ca="1" si="122"/>
        <v>2.1744032244797498E-2</v>
      </c>
      <c r="K844" s="19">
        <f t="shared" ca="1" si="123"/>
        <v>85.305407208630072</v>
      </c>
      <c r="L844" s="19">
        <f t="shared" ca="1" si="124"/>
        <v>-1.8154092086300722</v>
      </c>
      <c r="M844" s="19">
        <f t="shared" ca="1" si="125"/>
        <v>3.8939968093934851E-2</v>
      </c>
      <c r="AA844" s="37">
        <v>824</v>
      </c>
      <c r="AB844" s="37">
        <v>1.8128254448437846</v>
      </c>
      <c r="AC844" s="37">
        <v>2.8496208621414563</v>
      </c>
      <c r="AD844" s="37">
        <v>3.3719743311509611</v>
      </c>
    </row>
    <row r="845" spans="2:30" x14ac:dyDescent="0.3">
      <c r="B845" s="28">
        <v>43859</v>
      </c>
      <c r="C845" s="25">
        <v>33.880001</v>
      </c>
      <c r="D845" s="18">
        <f t="shared" si="117"/>
        <v>2.953055888781364E-4</v>
      </c>
      <c r="E845" s="32">
        <f t="shared" ca="1" si="118"/>
        <v>2.9214279301464667E-3</v>
      </c>
      <c r="F845" s="18">
        <f t="shared" ca="1" si="119"/>
        <v>58.480349465528263</v>
      </c>
      <c r="G845" s="19">
        <f t="shared" ca="1" si="120"/>
        <v>-0.17034846552826366</v>
      </c>
      <c r="H845" s="27">
        <v>53.25</v>
      </c>
      <c r="I845" s="19">
        <f t="shared" si="121"/>
        <v>2.5024041866717139E-2</v>
      </c>
      <c r="J845" s="19">
        <f t="shared" ca="1" si="122"/>
        <v>5.3559069284083695E-2</v>
      </c>
      <c r="K845" s="19">
        <f t="shared" ca="1" si="123"/>
        <v>87.961644587410007</v>
      </c>
      <c r="L845" s="19">
        <f t="shared" ca="1" si="124"/>
        <v>-4.4716465874100066</v>
      </c>
      <c r="M845" s="19">
        <f t="shared" ca="1" si="125"/>
        <v>-4.6419950529382703</v>
      </c>
      <c r="AA845" s="37">
        <v>825</v>
      </c>
      <c r="AB845" s="37">
        <v>1.8454345514402293</v>
      </c>
      <c r="AC845" s="37">
        <v>2.9688287496364012</v>
      </c>
      <c r="AD845" s="37">
        <v>3.1345570650201831</v>
      </c>
    </row>
    <row r="846" spans="2:30" x14ac:dyDescent="0.3">
      <c r="B846" s="28">
        <v>43860</v>
      </c>
      <c r="C846" s="25">
        <v>34.049999</v>
      </c>
      <c r="D846" s="18">
        <f t="shared" si="117"/>
        <v>5.0176503831862451E-3</v>
      </c>
      <c r="E846" s="32">
        <f t="shared" ca="1" si="118"/>
        <v>-1.9423085190257684E-2</v>
      </c>
      <c r="F846" s="18">
        <f t="shared" ca="1" si="119"/>
        <v>57.177440883132988</v>
      </c>
      <c r="G846" s="19">
        <f t="shared" ca="1" si="120"/>
        <v>1.1325601168670119</v>
      </c>
      <c r="H846" s="27">
        <v>51.810001</v>
      </c>
      <c r="I846" s="19">
        <f t="shared" si="121"/>
        <v>-2.7042234741784021E-2</v>
      </c>
      <c r="J846" s="19">
        <f t="shared" ca="1" si="122"/>
        <v>-8.2886098671724714E-4</v>
      </c>
      <c r="K846" s="19">
        <f t="shared" ca="1" si="123"/>
        <v>83.4207963978767</v>
      </c>
      <c r="L846" s="19">
        <f t="shared" ca="1" si="124"/>
        <v>6.9201602123300177E-2</v>
      </c>
      <c r="M846" s="19">
        <f t="shared" ca="1" si="125"/>
        <v>1.201761718990312</v>
      </c>
      <c r="AA846" s="37">
        <v>826</v>
      </c>
      <c r="AB846" s="37">
        <v>1.7010252976870117</v>
      </c>
      <c r="AC846" s="37">
        <v>2.7154573591453803</v>
      </c>
      <c r="AD846" s="37">
        <v>3.5956755326865739</v>
      </c>
    </row>
    <row r="847" spans="2:30" x14ac:dyDescent="0.3">
      <c r="B847" s="28">
        <v>43861</v>
      </c>
      <c r="C847" s="25">
        <v>33.805</v>
      </c>
      <c r="D847" s="18">
        <f t="shared" si="117"/>
        <v>-7.195271870639397E-3</v>
      </c>
      <c r="E847" s="32">
        <f t="shared" ca="1" si="118"/>
        <v>-2.5056589772559801E-2</v>
      </c>
      <c r="F847" s="18">
        <f t="shared" ca="1" si="119"/>
        <v>56.848951225305449</v>
      </c>
      <c r="G847" s="19">
        <f t="shared" ca="1" si="120"/>
        <v>1.4610497746945512</v>
      </c>
      <c r="H847" s="27">
        <v>50.215000000000003</v>
      </c>
      <c r="I847" s="19">
        <f t="shared" si="121"/>
        <v>-3.0785581339787926E-2</v>
      </c>
      <c r="J847" s="19">
        <f t="shared" ca="1" si="122"/>
        <v>-2.0586420354954994E-2</v>
      </c>
      <c r="K847" s="19">
        <f t="shared" ca="1" si="123"/>
        <v>81.771237805737655</v>
      </c>
      <c r="L847" s="19">
        <f t="shared" ca="1" si="124"/>
        <v>1.7187601942623445</v>
      </c>
      <c r="M847" s="19">
        <f t="shared" ca="1" si="125"/>
        <v>3.1798099689568957</v>
      </c>
      <c r="AA847" s="37">
        <v>827</v>
      </c>
      <c r="AB847" s="37">
        <v>1.7382284937534549</v>
      </c>
      <c r="AC847" s="37">
        <v>2.7905398723237549</v>
      </c>
      <c r="AD847" s="37">
        <v>3.3133116292294513</v>
      </c>
    </row>
    <row r="848" spans="2:30" x14ac:dyDescent="0.3">
      <c r="B848" s="28">
        <v>43865</v>
      </c>
      <c r="C848" s="25">
        <v>34.284999999999997</v>
      </c>
      <c r="D848" s="18">
        <f t="shared" si="117"/>
        <v>1.419908297589112E-2</v>
      </c>
      <c r="E848" s="32">
        <f t="shared" ca="1" si="118"/>
        <v>1.5109786013090482E-2</v>
      </c>
      <c r="F848" s="18">
        <f t="shared" ca="1" si="119"/>
        <v>59.19105263753309</v>
      </c>
      <c r="G848" s="19">
        <f t="shared" ca="1" si="120"/>
        <v>-0.88105163753309057</v>
      </c>
      <c r="H848" s="27">
        <v>54.080002</v>
      </c>
      <c r="I848" s="19">
        <f t="shared" si="121"/>
        <v>7.6969072986159404E-2</v>
      </c>
      <c r="J848" s="19">
        <f t="shared" ca="1" si="122"/>
        <v>-1.62242447280408E-2</v>
      </c>
      <c r="K848" s="19">
        <f t="shared" ca="1" si="123"/>
        <v>82.135435840104364</v>
      </c>
      <c r="L848" s="19">
        <f t="shared" ca="1" si="124"/>
        <v>1.3545621598956359</v>
      </c>
      <c r="M848" s="19">
        <f t="shared" ca="1" si="125"/>
        <v>0.47351052236254532</v>
      </c>
      <c r="AA848" s="37">
        <v>828</v>
      </c>
      <c r="AB848" s="37">
        <v>1.7338299319945873</v>
      </c>
      <c r="AC848" s="37">
        <v>2.8686133781618492</v>
      </c>
      <c r="AD848" s="37">
        <v>3.3543860939197971</v>
      </c>
    </row>
    <row r="849" spans="2:30" x14ac:dyDescent="0.3">
      <c r="B849" s="28">
        <v>43866</v>
      </c>
      <c r="C849" s="25">
        <v>33.979999999999997</v>
      </c>
      <c r="D849" s="18">
        <f t="shared" si="117"/>
        <v>-8.896018667055583E-3</v>
      </c>
      <c r="E849" s="32">
        <f t="shared" ca="1" si="118"/>
        <v>9.3266613829542256E-3</v>
      </c>
      <c r="F849" s="18">
        <f t="shared" ca="1" si="119"/>
        <v>58.853838634566713</v>
      </c>
      <c r="G849" s="19">
        <f t="shared" ca="1" si="120"/>
        <v>-0.54383763456671375</v>
      </c>
      <c r="H849" s="27">
        <v>53.330002</v>
      </c>
      <c r="I849" s="19">
        <f t="shared" si="121"/>
        <v>-1.3868342682383794E-2</v>
      </c>
      <c r="J849" s="19">
        <f t="shared" ca="1" si="122"/>
        <v>5.1413376302889544E-2</v>
      </c>
      <c r="K849" s="19">
        <f t="shared" ca="1" si="123"/>
        <v>87.782500684701489</v>
      </c>
      <c r="L849" s="19">
        <f t="shared" ca="1" si="124"/>
        <v>-4.2925026847014891</v>
      </c>
      <c r="M849" s="19">
        <f t="shared" ca="1" si="125"/>
        <v>-4.8363403192682028</v>
      </c>
      <c r="AA849" s="37">
        <v>829</v>
      </c>
      <c r="AB849" s="37">
        <v>1.7216568717317002</v>
      </c>
      <c r="AC849" s="37">
        <v>2.7189965339984319</v>
      </c>
      <c r="AD849" s="37">
        <v>3.2857199545301197</v>
      </c>
    </row>
    <row r="850" spans="2:30" x14ac:dyDescent="0.3">
      <c r="B850" s="28">
        <v>43867</v>
      </c>
      <c r="C850" s="25">
        <v>33.130001</v>
      </c>
      <c r="D850" s="18">
        <f t="shared" si="117"/>
        <v>-2.5014685108887491E-2</v>
      </c>
      <c r="E850" s="32">
        <f t="shared" ca="1" si="118"/>
        <v>3.4252852428618683E-3</v>
      </c>
      <c r="F850" s="18">
        <f t="shared" ca="1" si="119"/>
        <v>58.509729385936559</v>
      </c>
      <c r="G850" s="19">
        <f t="shared" ca="1" si="120"/>
        <v>-0.1997283859365595</v>
      </c>
      <c r="H850" s="27">
        <v>52.400002000000001</v>
      </c>
      <c r="I850" s="19">
        <f t="shared" si="121"/>
        <v>-1.7438589257881554E-2</v>
      </c>
      <c r="J850" s="19">
        <f t="shared" ca="1" si="122"/>
        <v>-7.7085365690158725E-2</v>
      </c>
      <c r="K850" s="19">
        <f t="shared" ca="1" si="123"/>
        <v>77.054140972699386</v>
      </c>
      <c r="L850" s="19">
        <f t="shared" ca="1" si="124"/>
        <v>6.4358570273006137</v>
      </c>
      <c r="M850" s="19">
        <f t="shared" ca="1" si="125"/>
        <v>6.2361286413640542</v>
      </c>
      <c r="AA850" s="37">
        <v>830</v>
      </c>
      <c r="AB850" s="37">
        <v>1.8807486616308335</v>
      </c>
      <c r="AC850" s="37">
        <v>2.9894694214018749</v>
      </c>
      <c r="AD850" s="37">
        <v>3.5424988356339679</v>
      </c>
    </row>
    <row r="851" spans="2:30" x14ac:dyDescent="0.3">
      <c r="B851" s="28">
        <v>43868</v>
      </c>
      <c r="C851" s="25">
        <v>33.169998</v>
      </c>
      <c r="D851" s="18">
        <f t="shared" si="117"/>
        <v>1.2072743372388839E-3</v>
      </c>
      <c r="E851" s="32">
        <f t="shared" ca="1" si="118"/>
        <v>-5.1758229020595618E-2</v>
      </c>
      <c r="F851" s="18">
        <f t="shared" ca="1" si="119"/>
        <v>55.291978614050841</v>
      </c>
      <c r="G851" s="19">
        <f t="shared" ca="1" si="120"/>
        <v>3.0180223859491591</v>
      </c>
      <c r="H851" s="27">
        <v>51.84</v>
      </c>
      <c r="I851" s="19">
        <f t="shared" si="121"/>
        <v>-1.0687060660799164E-2</v>
      </c>
      <c r="J851" s="19">
        <f t="shared" ca="1" si="122"/>
        <v>1.4940548260069636E-2</v>
      </c>
      <c r="K851" s="19">
        <f t="shared" ca="1" si="123"/>
        <v>84.737384344352122</v>
      </c>
      <c r="L851" s="19">
        <f t="shared" ca="1" si="124"/>
        <v>-1.2473863443521225</v>
      </c>
      <c r="M851" s="19">
        <f t="shared" ca="1" si="125"/>
        <v>1.7706360415970366</v>
      </c>
      <c r="AA851" s="37">
        <v>831</v>
      </c>
      <c r="AB851" s="37">
        <v>1.8305971435557249</v>
      </c>
      <c r="AC851" s="37">
        <v>2.6737308819619625</v>
      </c>
      <c r="AD851" s="37">
        <v>3.3829285844354673</v>
      </c>
    </row>
    <row r="852" spans="2:30" x14ac:dyDescent="0.3">
      <c r="B852" s="28">
        <v>43871</v>
      </c>
      <c r="C852" s="25">
        <v>32.974997999999999</v>
      </c>
      <c r="D852" s="18">
        <f t="shared" si="117"/>
        <v>-5.8788065046009308E-3</v>
      </c>
      <c r="E852" s="32">
        <f t="shared" ca="1" si="118"/>
        <v>-8.662896228201664E-3</v>
      </c>
      <c r="F852" s="18">
        <f t="shared" ca="1" si="119"/>
        <v>57.804867512270661</v>
      </c>
      <c r="G852" s="19">
        <f t="shared" ca="1" si="120"/>
        <v>0.50513348772933853</v>
      </c>
      <c r="H852" s="27">
        <v>52.075001</v>
      </c>
      <c r="I852" s="19">
        <f t="shared" si="121"/>
        <v>4.5331983024690103E-3</v>
      </c>
      <c r="J852" s="19">
        <f t="shared" ca="1" si="122"/>
        <v>1.2178387893549089E-2</v>
      </c>
      <c r="K852" s="19">
        <f t="shared" ca="1" si="123"/>
        <v>84.506771580875636</v>
      </c>
      <c r="L852" s="19">
        <f t="shared" ca="1" si="124"/>
        <v>-1.0167735808756362</v>
      </c>
      <c r="M852" s="19">
        <f t="shared" ca="1" si="125"/>
        <v>-0.51164009314629766</v>
      </c>
      <c r="AA852" s="37">
        <v>832</v>
      </c>
      <c r="AB852" s="37">
        <v>1.8674956303004393</v>
      </c>
      <c r="AC852" s="37">
        <v>2.891695313345251</v>
      </c>
      <c r="AD852" s="37">
        <v>3.2819388720818039</v>
      </c>
    </row>
    <row r="853" spans="2:30" x14ac:dyDescent="0.3">
      <c r="B853" s="28">
        <v>43872</v>
      </c>
      <c r="C853" s="25">
        <v>33.849997999999999</v>
      </c>
      <c r="D853" s="18">
        <f t="shared" si="117"/>
        <v>2.6535255589704709E-2</v>
      </c>
      <c r="E853" s="32">
        <f t="shared" ca="1" si="118"/>
        <v>1.5640247729051992E-2</v>
      </c>
      <c r="F853" s="18">
        <f t="shared" ca="1" si="119"/>
        <v>59.221983860721274</v>
      </c>
      <c r="G853" s="19">
        <f t="shared" ca="1" si="120"/>
        <v>-0.91198286072127388</v>
      </c>
      <c r="H853" s="27">
        <v>52.509998000000003</v>
      </c>
      <c r="I853" s="19">
        <f t="shared" si="121"/>
        <v>8.3532787642193185E-3</v>
      </c>
      <c r="J853" s="19">
        <f t="shared" ca="1" si="122"/>
        <v>-2.6264158708425682E-3</v>
      </c>
      <c r="K853" s="19">
        <f t="shared" ca="1" si="123"/>
        <v>83.270718544196185</v>
      </c>
      <c r="L853" s="19">
        <f t="shared" ca="1" si="124"/>
        <v>0.21927945580381447</v>
      </c>
      <c r="M853" s="19">
        <f t="shared" ca="1" si="125"/>
        <v>-0.69270340491745941</v>
      </c>
      <c r="AA853" s="37">
        <v>833</v>
      </c>
      <c r="AB853" s="37">
        <v>1.7883228335416359</v>
      </c>
      <c r="AC853" s="37">
        <v>2.9423698503309361</v>
      </c>
      <c r="AD853" s="37">
        <v>3.1735702746131254</v>
      </c>
    </row>
    <row r="854" spans="2:30" x14ac:dyDescent="0.3">
      <c r="B854" s="28">
        <v>43873</v>
      </c>
      <c r="C854" s="25">
        <v>34.080002</v>
      </c>
      <c r="D854" s="18">
        <f t="shared" si="117"/>
        <v>6.7948009923073371E-3</v>
      </c>
      <c r="E854" s="32">
        <f t="shared" ca="1" si="118"/>
        <v>1.7233079521670105E-2</v>
      </c>
      <c r="F854" s="18">
        <f t="shared" ca="1" si="119"/>
        <v>59.314861884141671</v>
      </c>
      <c r="G854" s="19">
        <f t="shared" ca="1" si="120"/>
        <v>-1.0048608841416709</v>
      </c>
      <c r="H854" s="27">
        <v>51.389999000000003</v>
      </c>
      <c r="I854" s="19">
        <f t="shared" si="121"/>
        <v>-2.1329252383517461E-2</v>
      </c>
      <c r="J854" s="19">
        <f t="shared" ca="1" si="122"/>
        <v>-2.7088622933402123E-2</v>
      </c>
      <c r="K854" s="19">
        <f t="shared" ca="1" si="123"/>
        <v>81.228368925467507</v>
      </c>
      <c r="L854" s="19">
        <f t="shared" ca="1" si="124"/>
        <v>2.2616290745324932</v>
      </c>
      <c r="M854" s="19">
        <f t="shared" ca="1" si="125"/>
        <v>1.2567681903908223</v>
      </c>
      <c r="AA854" s="37">
        <v>834</v>
      </c>
      <c r="AB854" s="37">
        <v>1.7403805746859722</v>
      </c>
      <c r="AC854" s="37">
        <v>2.7600003662733537</v>
      </c>
      <c r="AD854" s="37">
        <v>3.1628830594011794</v>
      </c>
    </row>
    <row r="855" spans="2:30" x14ac:dyDescent="0.3">
      <c r="B855" s="28">
        <v>43874</v>
      </c>
      <c r="C855" s="25">
        <v>33.740001999999997</v>
      </c>
      <c r="D855" s="18">
        <f t="shared" si="117"/>
        <v>-9.9765252361194712E-3</v>
      </c>
      <c r="E855" s="32">
        <f t="shared" ca="1" si="118"/>
        <v>1.3562983235130667E-2</v>
      </c>
      <c r="F855" s="18">
        <f t="shared" ca="1" si="119"/>
        <v>59.100858566003453</v>
      </c>
      <c r="G855" s="19">
        <f t="shared" ca="1" si="120"/>
        <v>-0.79085756600345292</v>
      </c>
      <c r="H855" s="27">
        <v>51.490001999999997</v>
      </c>
      <c r="I855" s="19">
        <f t="shared" si="121"/>
        <v>1.9459622873312377E-3</v>
      </c>
      <c r="J855" s="19">
        <f t="shared" ca="1" si="122"/>
        <v>9.5157371321176829E-3</v>
      </c>
      <c r="K855" s="19">
        <f t="shared" ca="1" si="123"/>
        <v>84.284466874129038</v>
      </c>
      <c r="L855" s="19">
        <f t="shared" ca="1" si="124"/>
        <v>-0.79446887412903777</v>
      </c>
      <c r="M855" s="19">
        <f t="shared" ca="1" si="125"/>
        <v>-1.5853264401324907</v>
      </c>
      <c r="AA855" s="37">
        <v>835</v>
      </c>
      <c r="AB855" s="37">
        <v>1.8984758679360658</v>
      </c>
      <c r="AC855" s="37">
        <v>2.9426511633175378</v>
      </c>
      <c r="AD855" s="37">
        <v>3.2520248442918249</v>
      </c>
    </row>
    <row r="856" spans="2:30" x14ac:dyDescent="0.3">
      <c r="B856" s="28">
        <v>43875</v>
      </c>
      <c r="C856" s="25">
        <v>32.93</v>
      </c>
      <c r="D856" s="18">
        <f t="shared" si="117"/>
        <v>-2.4007171072485289E-2</v>
      </c>
      <c r="E856" s="32">
        <f t="shared" ca="1" si="118"/>
        <v>2.4121607788810226E-3</v>
      </c>
      <c r="F856" s="18">
        <f t="shared" ca="1" si="119"/>
        <v>58.450654097428711</v>
      </c>
      <c r="G856" s="19">
        <f t="shared" ca="1" si="120"/>
        <v>-0.14065309742871079</v>
      </c>
      <c r="H856" s="27">
        <v>52.130001</v>
      </c>
      <c r="I856" s="19">
        <f t="shared" si="121"/>
        <v>1.242957807614764E-2</v>
      </c>
      <c r="J856" s="19">
        <f t="shared" ca="1" si="122"/>
        <v>-1.6858271512436029E-2</v>
      </c>
      <c r="K856" s="19">
        <f t="shared" ca="1" si="123"/>
        <v>82.082500945143266</v>
      </c>
      <c r="L856" s="19">
        <f t="shared" ca="1" si="124"/>
        <v>1.4074970548567336</v>
      </c>
      <c r="M856" s="19">
        <f t="shared" ca="1" si="125"/>
        <v>1.2668439574280228</v>
      </c>
      <c r="AA856" s="37">
        <v>836</v>
      </c>
      <c r="AB856" s="37">
        <v>1.7261810465024119</v>
      </c>
      <c r="AC856" s="37">
        <v>2.7143792264002298</v>
      </c>
      <c r="AD856" s="37">
        <v>3.3727205935160014</v>
      </c>
    </row>
    <row r="857" spans="2:30" x14ac:dyDescent="0.3">
      <c r="B857" s="28">
        <v>43878</v>
      </c>
      <c r="C857" s="25">
        <v>32.900002000000001</v>
      </c>
      <c r="D857" s="18">
        <f t="shared" si="117"/>
        <v>-9.1096264804124694E-4</v>
      </c>
      <c r="E857" s="32">
        <f t="shared" ca="1" si="118"/>
        <v>4.2735362736788733E-2</v>
      </c>
      <c r="F857" s="18">
        <f t="shared" ca="1" si="119"/>
        <v>60.80190004391752</v>
      </c>
      <c r="G857" s="19">
        <f t="shared" ca="1" si="120"/>
        <v>-2.4918990439175204</v>
      </c>
      <c r="H857" s="27">
        <v>52.310001</v>
      </c>
      <c r="I857" s="19">
        <f t="shared" si="121"/>
        <v>3.4529061298118613E-3</v>
      </c>
      <c r="J857" s="19">
        <f t="shared" ca="1" si="122"/>
        <v>2.8844289237792694E-2</v>
      </c>
      <c r="K857" s="19">
        <f t="shared" ca="1" si="123"/>
        <v>85.898207650774737</v>
      </c>
      <c r="L857" s="19">
        <f t="shared" ca="1" si="124"/>
        <v>-2.4082096507747366</v>
      </c>
      <c r="M857" s="19">
        <f t="shared" ca="1" si="125"/>
        <v>-4.900108694692257</v>
      </c>
      <c r="AA857" s="37">
        <v>837</v>
      </c>
      <c r="AB857" s="37">
        <v>1.8109160424061252</v>
      </c>
      <c r="AC857" s="37">
        <v>2.9538681979219388</v>
      </c>
      <c r="AD857" s="37">
        <v>3.3174054101389716</v>
      </c>
    </row>
    <row r="858" spans="2:30" x14ac:dyDescent="0.3">
      <c r="B858" s="28">
        <v>43879</v>
      </c>
      <c r="C858" s="25">
        <v>32.419998</v>
      </c>
      <c r="D858" s="18">
        <f t="shared" si="117"/>
        <v>-1.4589786347125488E-2</v>
      </c>
      <c r="E858" s="32">
        <f t="shared" ca="1" si="118"/>
        <v>-8.1974405167036819E-3</v>
      </c>
      <c r="F858" s="18">
        <f t="shared" ca="1" si="119"/>
        <v>57.83200823527357</v>
      </c>
      <c r="G858" s="19">
        <f t="shared" ca="1" si="120"/>
        <v>0.47799276472643015</v>
      </c>
      <c r="H858" s="27">
        <v>52.389999000000003</v>
      </c>
      <c r="I858" s="19">
        <f t="shared" si="121"/>
        <v>1.5293060307914885E-3</v>
      </c>
      <c r="J858" s="19">
        <f t="shared" ca="1" si="122"/>
        <v>-1.5795965001781539E-2</v>
      </c>
      <c r="K858" s="19">
        <f t="shared" ca="1" si="123"/>
        <v>82.171192913593188</v>
      </c>
      <c r="L858" s="19">
        <f t="shared" ca="1" si="124"/>
        <v>1.3188050864068117</v>
      </c>
      <c r="M858" s="19">
        <f t="shared" ca="1" si="125"/>
        <v>1.7967978511332419</v>
      </c>
      <c r="AA858" s="37">
        <v>838</v>
      </c>
      <c r="AB858" s="37">
        <v>1.8440101484973175</v>
      </c>
      <c r="AC858" s="37">
        <v>2.6809702367191046</v>
      </c>
      <c r="AD858" s="37">
        <v>3.5728915976155879</v>
      </c>
    </row>
    <row r="859" spans="2:30" x14ac:dyDescent="0.3">
      <c r="B859" s="28">
        <v>43880</v>
      </c>
      <c r="C859" s="25">
        <v>31.73</v>
      </c>
      <c r="D859" s="18">
        <f t="shared" si="117"/>
        <v>-2.1283098166754999E-2</v>
      </c>
      <c r="E859" s="32">
        <f t="shared" ca="1" si="118"/>
        <v>2.072753574041917E-3</v>
      </c>
      <c r="F859" s="18">
        <f t="shared" ca="1" si="119"/>
        <v>58.430863262975137</v>
      </c>
      <c r="G859" s="19">
        <f t="shared" ca="1" si="120"/>
        <v>-0.12086226297513747</v>
      </c>
      <c r="H859" s="27">
        <v>51.16</v>
      </c>
      <c r="I859" s="19">
        <f t="shared" si="121"/>
        <v>-2.3477744292379255E-2</v>
      </c>
      <c r="J859" s="19">
        <f t="shared" ca="1" si="122"/>
        <v>1.0132358810139765E-2</v>
      </c>
      <c r="K859" s="19">
        <f t="shared" ca="1" si="123"/>
        <v>84.335948616793857</v>
      </c>
      <c r="L859" s="19">
        <f t="shared" ca="1" si="124"/>
        <v>-0.84595061679385708</v>
      </c>
      <c r="M859" s="19">
        <f t="shared" ca="1" si="125"/>
        <v>-0.96681287976899455</v>
      </c>
      <c r="AA859" s="37">
        <v>839</v>
      </c>
      <c r="AB859" s="37">
        <v>1.7431207161911744</v>
      </c>
      <c r="AC859" s="37">
        <v>2.95644643945902</v>
      </c>
      <c r="AD859" s="37">
        <v>3.5420082394352912</v>
      </c>
    </row>
    <row r="860" spans="2:30" x14ac:dyDescent="0.3">
      <c r="B860" s="28">
        <v>43881</v>
      </c>
      <c r="C860" s="25">
        <v>30.9</v>
      </c>
      <c r="D860" s="18">
        <f t="shared" si="117"/>
        <v>-2.6158209895997486E-2</v>
      </c>
      <c r="E860" s="32">
        <f t="shared" ca="1" si="118"/>
        <v>1.2313593312893351E-2</v>
      </c>
      <c r="F860" s="18">
        <f t="shared" ca="1" si="119"/>
        <v>59.028006638388398</v>
      </c>
      <c r="G860" s="19">
        <f t="shared" ca="1" si="120"/>
        <v>-0.71800563838839793</v>
      </c>
      <c r="H860" s="27">
        <v>50.299999</v>
      </c>
      <c r="I860" s="19">
        <f t="shared" si="121"/>
        <v>-1.6810027365128932E-2</v>
      </c>
      <c r="J860" s="19">
        <f t="shared" ca="1" si="122"/>
        <v>8.7182515485040857E-3</v>
      </c>
      <c r="K860" s="19">
        <f t="shared" ca="1" si="123"/>
        <v>84.217884804348103</v>
      </c>
      <c r="L860" s="19">
        <f t="shared" ca="1" si="124"/>
        <v>-0.7278868043481026</v>
      </c>
      <c r="M860" s="19">
        <f t="shared" ca="1" si="125"/>
        <v>-1.4458924427365005</v>
      </c>
      <c r="AA860" s="37">
        <v>840</v>
      </c>
      <c r="AB860" s="37">
        <v>1.7914705349093427</v>
      </c>
      <c r="AC860" s="37">
        <v>2.6436609156278008</v>
      </c>
      <c r="AD860" s="37">
        <v>3.2240175520852721</v>
      </c>
    </row>
    <row r="861" spans="2:30" x14ac:dyDescent="0.3">
      <c r="B861" s="28">
        <v>43882</v>
      </c>
      <c r="C861" s="25">
        <v>32.119999</v>
      </c>
      <c r="D861" s="18">
        <f t="shared" si="117"/>
        <v>3.9482168284789676E-2</v>
      </c>
      <c r="E861" s="32">
        <f t="shared" ca="1" si="118"/>
        <v>-1.1092095655156495E-2</v>
      </c>
      <c r="F861" s="18">
        <f t="shared" ca="1" si="119"/>
        <v>57.663220891255733</v>
      </c>
      <c r="G861" s="19">
        <f t="shared" ca="1" si="120"/>
        <v>0.64678010874426661</v>
      </c>
      <c r="H861" s="27">
        <v>49.939999</v>
      </c>
      <c r="I861" s="19">
        <f t="shared" si="121"/>
        <v>-7.1570577963629978E-3</v>
      </c>
      <c r="J861" s="19">
        <f t="shared" ca="1" si="122"/>
        <v>4.6499734589372954E-2</v>
      </c>
      <c r="K861" s="19">
        <f t="shared" ca="1" si="123"/>
        <v>87.372260747867273</v>
      </c>
      <c r="L861" s="19">
        <f t="shared" ca="1" si="124"/>
        <v>-3.8822627478672729</v>
      </c>
      <c r="M861" s="19">
        <f t="shared" ca="1" si="125"/>
        <v>-3.2354826391230063</v>
      </c>
      <c r="AA861" s="37">
        <v>841</v>
      </c>
      <c r="AB861" s="37">
        <v>1.7864567470039392</v>
      </c>
      <c r="AC861" s="37">
        <v>2.7810401507582934</v>
      </c>
      <c r="AD861" s="37">
        <v>3.1924834284369155</v>
      </c>
    </row>
    <row r="862" spans="2:30" x14ac:dyDescent="0.3">
      <c r="B862" s="28">
        <v>43885</v>
      </c>
      <c r="C862" s="25">
        <v>32.310001</v>
      </c>
      <c r="D862" s="18">
        <f t="shared" si="117"/>
        <v>5.915380009818838E-3</v>
      </c>
      <c r="E862" s="32">
        <f t="shared" ca="1" si="118"/>
        <v>2.4553952168193685E-2</v>
      </c>
      <c r="F862" s="18">
        <f t="shared" ca="1" si="119"/>
        <v>59.741741975481325</v>
      </c>
      <c r="G862" s="19">
        <f t="shared" ca="1" si="120"/>
        <v>-1.4317409754813255</v>
      </c>
      <c r="H862" s="27">
        <v>49.119999</v>
      </c>
      <c r="I862" s="19">
        <f t="shared" si="121"/>
        <v>-1.6419703973161837E-2</v>
      </c>
      <c r="J862" s="19">
        <f t="shared" ca="1" si="122"/>
        <v>-1.8283674439094809E-2</v>
      </c>
      <c r="K862" s="19">
        <f t="shared" ca="1" si="123"/>
        <v>81.963494057647324</v>
      </c>
      <c r="L862" s="19">
        <f t="shared" ca="1" si="124"/>
        <v>1.5265039423526758</v>
      </c>
      <c r="M862" s="19">
        <f t="shared" ca="1" si="125"/>
        <v>9.4762966871350329E-2</v>
      </c>
      <c r="AA862" s="37">
        <v>842</v>
      </c>
      <c r="AB862" s="37">
        <v>1.8771479259743207</v>
      </c>
      <c r="AC862" s="37">
        <v>2.7336451574905434</v>
      </c>
      <c r="AD862" s="37">
        <v>3.5117707091545651</v>
      </c>
    </row>
    <row r="863" spans="2:30" x14ac:dyDescent="0.3">
      <c r="B863" s="28">
        <v>43886</v>
      </c>
      <c r="C863" s="25">
        <v>31.4</v>
      </c>
      <c r="D863" s="18">
        <f t="shared" si="117"/>
        <v>-2.8164684984070432E-2</v>
      </c>
      <c r="E863" s="32">
        <f t="shared" ca="1" si="118"/>
        <v>-4.3990935118558387E-2</v>
      </c>
      <c r="F863" s="18">
        <f t="shared" ca="1" si="119"/>
        <v>55.744889529245931</v>
      </c>
      <c r="G863" s="19">
        <f t="shared" ca="1" si="120"/>
        <v>2.5651114707540685</v>
      </c>
      <c r="H863" s="27">
        <v>47.610000999999997</v>
      </c>
      <c r="I863" s="19">
        <f t="shared" si="121"/>
        <v>-3.0741002254499272E-2</v>
      </c>
      <c r="J863" s="19">
        <f t="shared" ca="1" si="122"/>
        <v>-1.4848624281953557E-2</v>
      </c>
      <c r="K863" s="19">
        <f t="shared" ca="1" si="123"/>
        <v>82.250286388396944</v>
      </c>
      <c r="L863" s="19">
        <f t="shared" ca="1" si="124"/>
        <v>1.239711611603056</v>
      </c>
      <c r="M863" s="19">
        <f t="shared" ca="1" si="125"/>
        <v>3.8048230823571245</v>
      </c>
      <c r="AA863" s="37">
        <v>843</v>
      </c>
      <c r="AB863" s="37">
        <v>1.7589963327898785</v>
      </c>
      <c r="AC863" s="37">
        <v>2.729311911569511</v>
      </c>
      <c r="AD863" s="37">
        <v>3.2486622866597226</v>
      </c>
    </row>
    <row r="864" spans="2:30" x14ac:dyDescent="0.3">
      <c r="B864" s="28">
        <v>43887</v>
      </c>
      <c r="C864" s="25">
        <v>31.530000999999999</v>
      </c>
      <c r="D864" s="18">
        <f t="shared" si="117"/>
        <v>4.1401592356686834E-3</v>
      </c>
      <c r="E864" s="32">
        <f t="shared" ca="1" si="118"/>
        <v>3.9515705479430924E-2</v>
      </c>
      <c r="F864" s="18">
        <f t="shared" ca="1" si="119"/>
        <v>60.614161826021316</v>
      </c>
      <c r="G864" s="19">
        <f t="shared" ca="1" si="120"/>
        <v>-2.3041608260213167</v>
      </c>
      <c r="H864" s="27">
        <v>45.73</v>
      </c>
      <c r="I864" s="19">
        <f t="shared" si="121"/>
        <v>-3.9487522800094044E-2</v>
      </c>
      <c r="J864" s="19">
        <f t="shared" ca="1" si="122"/>
        <v>1.7822882271086127E-2</v>
      </c>
      <c r="K864" s="19">
        <f t="shared" ca="1" si="123"/>
        <v>84.978030405167218</v>
      </c>
      <c r="L864" s="19">
        <f t="shared" ca="1" si="124"/>
        <v>-1.4880324051672176</v>
      </c>
      <c r="M864" s="19">
        <f t="shared" ca="1" si="125"/>
        <v>-3.7921932311885342</v>
      </c>
      <c r="AA864" s="37">
        <v>844</v>
      </c>
      <c r="AB864" s="37">
        <v>1.7323807751752436</v>
      </c>
      <c r="AC864" s="37">
        <v>2.8565803532108855</v>
      </c>
      <c r="AD864" s="37">
        <v>3.2098264794100593</v>
      </c>
    </row>
    <row r="865" spans="2:30" x14ac:dyDescent="0.3">
      <c r="B865" s="28">
        <v>43888</v>
      </c>
      <c r="C865" s="25">
        <v>30.129999000000002</v>
      </c>
      <c r="D865" s="18">
        <f t="shared" si="117"/>
        <v>-4.440221869958072E-2</v>
      </c>
      <c r="E865" s="32">
        <f t="shared" ca="1" si="118"/>
        <v>1.6422106297134899E-2</v>
      </c>
      <c r="F865" s="18">
        <f t="shared" ca="1" si="119"/>
        <v>59.267574034608039</v>
      </c>
      <c r="G865" s="19">
        <f t="shared" ca="1" si="120"/>
        <v>-0.95757303460803911</v>
      </c>
      <c r="H865" s="27">
        <v>44.810001</v>
      </c>
      <c r="I865" s="19">
        <f t="shared" si="121"/>
        <v>-2.0118062541001458E-2</v>
      </c>
      <c r="J865" s="19">
        <f t="shared" ca="1" si="122"/>
        <v>8.4020475470234068E-3</v>
      </c>
      <c r="K865" s="19">
        <f t="shared" ca="1" si="123"/>
        <v>84.191484932896898</v>
      </c>
      <c r="L865" s="19">
        <f t="shared" ca="1" si="124"/>
        <v>-0.70148693289689845</v>
      </c>
      <c r="M865" s="19">
        <f t="shared" ca="1" si="125"/>
        <v>-1.6590599675049376</v>
      </c>
      <c r="AA865" s="37">
        <v>845</v>
      </c>
      <c r="AB865" s="37">
        <v>1.7748059041124358</v>
      </c>
      <c r="AC865" s="37">
        <v>2.9437753992333238</v>
      </c>
      <c r="AD865" s="37">
        <v>3.3139525669825067</v>
      </c>
    </row>
    <row r="866" spans="2:30" x14ac:dyDescent="0.3">
      <c r="B866" s="28">
        <v>43889</v>
      </c>
      <c r="C866" s="25">
        <v>29.690000999999999</v>
      </c>
      <c r="D866" s="18">
        <f t="shared" si="117"/>
        <v>-1.4603319435888551E-2</v>
      </c>
      <c r="E866" s="32">
        <f t="shared" ca="1" si="118"/>
        <v>2.916168763743545E-2</v>
      </c>
      <c r="F866" s="18">
        <f t="shared" ca="1" si="119"/>
        <v>60.010419035300551</v>
      </c>
      <c r="G866" s="19">
        <f t="shared" ca="1" si="120"/>
        <v>-1.7004180353005509</v>
      </c>
      <c r="H866" s="27">
        <v>46.419998</v>
      </c>
      <c r="I866" s="19">
        <f t="shared" si="121"/>
        <v>3.5929412275621297E-2</v>
      </c>
      <c r="J866" s="19">
        <f t="shared" ca="1" si="122"/>
        <v>-1.2957111776468423E-3</v>
      </c>
      <c r="K866" s="19">
        <f t="shared" ca="1" si="123"/>
        <v>83.381819076369695</v>
      </c>
      <c r="L866" s="19">
        <f t="shared" ca="1" si="124"/>
        <v>0.10817892363030523</v>
      </c>
      <c r="M866" s="19">
        <f t="shared" ca="1" si="125"/>
        <v>-1.5922391116702457</v>
      </c>
      <c r="AA866" s="37">
        <v>846</v>
      </c>
      <c r="AB866" s="37">
        <v>1.7675370876617407</v>
      </c>
      <c r="AC866" s="37">
        <v>2.8299814657423705</v>
      </c>
      <c r="AD866" s="37">
        <v>3.1897197804640625</v>
      </c>
    </row>
    <row r="867" spans="2:30" x14ac:dyDescent="0.3">
      <c r="B867" s="28">
        <v>43892</v>
      </c>
      <c r="C867" s="25">
        <v>30.84</v>
      </c>
      <c r="D867" s="18">
        <f t="shared" si="117"/>
        <v>3.8733545344104225E-2</v>
      </c>
      <c r="E867" s="32">
        <f t="shared" ca="1" si="118"/>
        <v>-9.8052163336181629E-3</v>
      </c>
      <c r="F867" s="18">
        <f t="shared" ca="1" si="119"/>
        <v>57.738258825781507</v>
      </c>
      <c r="G867" s="19">
        <f t="shared" ca="1" si="120"/>
        <v>0.57174217421849249</v>
      </c>
      <c r="H867" s="27">
        <v>47.310001</v>
      </c>
      <c r="I867" s="19">
        <f t="shared" si="121"/>
        <v>1.9172835810979505E-2</v>
      </c>
      <c r="J867" s="19">
        <f t="shared" ca="1" si="122"/>
        <v>-2.6722219343424853E-2</v>
      </c>
      <c r="K867" s="19">
        <f t="shared" ca="1" si="123"/>
        <v>81.258959960461894</v>
      </c>
      <c r="L867" s="19">
        <f t="shared" ca="1" si="124"/>
        <v>2.231038039538106</v>
      </c>
      <c r="M867" s="19">
        <f t="shared" ca="1" si="125"/>
        <v>2.8027802137565985</v>
      </c>
      <c r="AA867" s="37">
        <v>847</v>
      </c>
      <c r="AB867" s="37">
        <v>1.7357393040927038</v>
      </c>
      <c r="AC867" s="37">
        <v>2.9101736994731331</v>
      </c>
      <c r="AD867" s="37">
        <v>3.5993083733012949</v>
      </c>
    </row>
    <row r="868" spans="2:30" x14ac:dyDescent="0.3">
      <c r="B868" s="28">
        <v>43893</v>
      </c>
      <c r="C868" s="25">
        <v>31.16</v>
      </c>
      <c r="D868" s="18">
        <f t="shared" si="117"/>
        <v>1.037613488975353E-2</v>
      </c>
      <c r="E868" s="32">
        <f t="shared" ca="1" si="118"/>
        <v>1.0640741133365638E-2</v>
      </c>
      <c r="F868" s="18">
        <f t="shared" ca="1" si="119"/>
        <v>58.930462626127287</v>
      </c>
      <c r="G868" s="19">
        <f t="shared" ca="1" si="120"/>
        <v>-0.6204616261272875</v>
      </c>
      <c r="H868" s="27">
        <v>49.380001</v>
      </c>
      <c r="I868" s="19">
        <f t="shared" si="121"/>
        <v>4.3753962296470883E-2</v>
      </c>
      <c r="J868" s="19">
        <f t="shared" ca="1" si="122"/>
        <v>-4.2585157638958156E-3</v>
      </c>
      <c r="K868" s="19">
        <f t="shared" ca="1" si="123"/>
        <v>83.134454527389366</v>
      </c>
      <c r="L868" s="19">
        <f t="shared" ca="1" si="124"/>
        <v>0.35554347261063413</v>
      </c>
      <c r="M868" s="19">
        <f t="shared" ca="1" si="125"/>
        <v>-0.26491815351665338</v>
      </c>
      <c r="AA868" s="37">
        <v>848</v>
      </c>
      <c r="AB868" s="37">
        <v>1.7436713727030566</v>
      </c>
      <c r="AC868" s="37">
        <v>2.9764377279759571</v>
      </c>
      <c r="AD868" s="37">
        <v>3.3511695970847408</v>
      </c>
    </row>
    <row r="869" spans="2:30" x14ac:dyDescent="0.3">
      <c r="B869" s="28">
        <v>43894</v>
      </c>
      <c r="C869" s="25">
        <v>32.020000000000003</v>
      </c>
      <c r="D869" s="18">
        <f t="shared" si="117"/>
        <v>2.7599486521181049E-2</v>
      </c>
      <c r="E869" s="32">
        <f t="shared" ca="1" si="118"/>
        <v>-5.4726837539022482E-4</v>
      </c>
      <c r="F869" s="18">
        <f t="shared" ca="1" si="119"/>
        <v>58.278089780483725</v>
      </c>
      <c r="G869" s="19">
        <f t="shared" ca="1" si="120"/>
        <v>3.1911219516274514E-2</v>
      </c>
      <c r="H869" s="27">
        <v>49.560001</v>
      </c>
      <c r="I869" s="19">
        <f t="shared" si="121"/>
        <v>3.6452004122073944E-3</v>
      </c>
      <c r="J869" s="19">
        <f t="shared" ca="1" si="122"/>
        <v>3.6741984460712758E-2</v>
      </c>
      <c r="K869" s="19">
        <f t="shared" ca="1" si="123"/>
        <v>86.55758620914095</v>
      </c>
      <c r="L869" s="19">
        <f t="shared" ca="1" si="124"/>
        <v>-3.0675882091409505</v>
      </c>
      <c r="M869" s="19">
        <f t="shared" ca="1" si="125"/>
        <v>-3.035676989624676</v>
      </c>
      <c r="AA869" s="37">
        <v>849</v>
      </c>
      <c r="AB869" s="37">
        <v>1.9407870380861267</v>
      </c>
      <c r="AC869" s="37">
        <v>2.7500422228858903</v>
      </c>
      <c r="AD869" s="37">
        <v>3.4526668525419537</v>
      </c>
    </row>
    <row r="870" spans="2:30" x14ac:dyDescent="0.3">
      <c r="B870" s="28">
        <v>43895</v>
      </c>
      <c r="C870" s="25">
        <v>30.940000999999999</v>
      </c>
      <c r="D870" s="18">
        <f t="shared" si="117"/>
        <v>-3.3728888194878293E-2</v>
      </c>
      <c r="E870" s="32">
        <f t="shared" ca="1" si="118"/>
        <v>5.612552622677975E-3</v>
      </c>
      <c r="F870" s="18">
        <f t="shared" ca="1" si="119"/>
        <v>58.637268949040909</v>
      </c>
      <c r="G870" s="19">
        <f t="shared" ca="1" si="120"/>
        <v>-0.32726794904090895</v>
      </c>
      <c r="H870" s="27">
        <v>48.959999000000003</v>
      </c>
      <c r="I870" s="19">
        <f t="shared" si="121"/>
        <v>-1.2106577641110117E-2</v>
      </c>
      <c r="J870" s="19">
        <f t="shared" ca="1" si="122"/>
        <v>1.1861967309196166E-2</v>
      </c>
      <c r="K870" s="19">
        <f t="shared" ca="1" si="123"/>
        <v>84.480353626920859</v>
      </c>
      <c r="L870" s="19">
        <f t="shared" ca="1" si="124"/>
        <v>-0.99035562692085932</v>
      </c>
      <c r="M870" s="19">
        <f t="shared" ca="1" si="125"/>
        <v>-1.3176235759617683</v>
      </c>
      <c r="AA870" s="37">
        <v>850</v>
      </c>
      <c r="AB870" s="37">
        <v>1.7049351556629497</v>
      </c>
      <c r="AC870" s="37">
        <v>2.9083544467169808</v>
      </c>
      <c r="AD870" s="37">
        <v>3.2341208422519325</v>
      </c>
    </row>
    <row r="871" spans="2:30" x14ac:dyDescent="0.3">
      <c r="B871" s="28">
        <v>43896</v>
      </c>
      <c r="C871" s="25">
        <v>29.9</v>
      </c>
      <c r="D871" s="18">
        <f t="shared" si="117"/>
        <v>-3.3613476612363358E-2</v>
      </c>
      <c r="E871" s="32">
        <f t="shared" ca="1" si="118"/>
        <v>-1.8172627879631031E-2</v>
      </c>
      <c r="F871" s="18">
        <f t="shared" ca="1" si="119"/>
        <v>57.250355050166085</v>
      </c>
      <c r="G871" s="19">
        <f t="shared" ca="1" si="120"/>
        <v>1.0596459498339144</v>
      </c>
      <c r="H871" s="27">
        <v>48.099997999999999</v>
      </c>
      <c r="I871" s="19">
        <f t="shared" si="121"/>
        <v>-1.7565380260730845E-2</v>
      </c>
      <c r="J871" s="19">
        <f t="shared" ca="1" si="122"/>
        <v>-7.2810408827344462E-3</v>
      </c>
      <c r="K871" s="19">
        <f t="shared" ca="1" si="123"/>
        <v>82.88210391126259</v>
      </c>
      <c r="L871" s="19">
        <f t="shared" ca="1" si="124"/>
        <v>0.60789408873741024</v>
      </c>
      <c r="M871" s="19">
        <f t="shared" ca="1" si="125"/>
        <v>1.6675400385713246</v>
      </c>
      <c r="AA871" s="37">
        <v>851</v>
      </c>
      <c r="AB871" s="37">
        <v>1.74792480251335</v>
      </c>
      <c r="AC871" s="37">
        <v>2.7624285830056361</v>
      </c>
      <c r="AD871" s="37">
        <v>3.4386865232089581</v>
      </c>
    </row>
    <row r="872" spans="2:30" x14ac:dyDescent="0.3">
      <c r="B872" s="28">
        <v>43899</v>
      </c>
      <c r="C872" s="25">
        <v>26.950001</v>
      </c>
      <c r="D872" s="18">
        <f t="shared" si="117"/>
        <v>-9.8662173913043438E-2</v>
      </c>
      <c r="E872" s="32">
        <f t="shared" ca="1" si="118"/>
        <v>-3.375707989935888E-3</v>
      </c>
      <c r="F872" s="18">
        <f t="shared" ca="1" si="119"/>
        <v>58.113163463731127</v>
      </c>
      <c r="G872" s="19">
        <f t="shared" ca="1" si="120"/>
        <v>0.19683753626887324</v>
      </c>
      <c r="H872" s="27">
        <v>43.959999000000003</v>
      </c>
      <c r="I872" s="19">
        <f t="shared" si="121"/>
        <v>-8.607066885948722E-2</v>
      </c>
      <c r="J872" s="19">
        <f t="shared" ca="1" si="122"/>
        <v>2.0334862149209678E-2</v>
      </c>
      <c r="K872" s="19">
        <f t="shared" ca="1" si="123"/>
        <v>85.18775560016779</v>
      </c>
      <c r="L872" s="19">
        <f t="shared" ca="1" si="124"/>
        <v>-1.6977576001677903</v>
      </c>
      <c r="M872" s="19">
        <f t="shared" ca="1" si="125"/>
        <v>-1.5009200638989171</v>
      </c>
      <c r="AA872" s="37">
        <v>852</v>
      </c>
      <c r="AB872" s="37">
        <v>1.817274853292737</v>
      </c>
      <c r="AC872" s="37">
        <v>2.7060902380587195</v>
      </c>
      <c r="AD872" s="37">
        <v>3.258167560619484</v>
      </c>
    </row>
    <row r="873" spans="2:30" x14ac:dyDescent="0.3">
      <c r="B873" s="28">
        <v>43900</v>
      </c>
      <c r="C873" s="25">
        <v>28.110001</v>
      </c>
      <c r="D873" s="18">
        <f t="shared" si="117"/>
        <v>4.3042670016969486E-2</v>
      </c>
      <c r="E873" s="32">
        <f t="shared" ca="1" si="118"/>
        <v>7.1097156201954601E-3</v>
      </c>
      <c r="F873" s="18">
        <f t="shared" ca="1" si="119"/>
        <v>58.724568524923306</v>
      </c>
      <c r="G873" s="19">
        <f t="shared" ca="1" si="120"/>
        <v>-0.41456752492330651</v>
      </c>
      <c r="H873" s="27">
        <v>45.509998000000003</v>
      </c>
      <c r="I873" s="19">
        <f t="shared" si="121"/>
        <v>3.5259304714724937E-2</v>
      </c>
      <c r="J873" s="19">
        <f t="shared" ca="1" si="122"/>
        <v>-1.0452254537291884E-2</v>
      </c>
      <c r="K873" s="19">
        <f t="shared" ca="1" si="123"/>
        <v>82.617339289585999</v>
      </c>
      <c r="L873" s="19">
        <f t="shared" ca="1" si="124"/>
        <v>0.87265871041400089</v>
      </c>
      <c r="M873" s="19">
        <f t="shared" ca="1" si="125"/>
        <v>0.45809118549069439</v>
      </c>
      <c r="AA873" s="37">
        <v>853</v>
      </c>
      <c r="AB873" s="37">
        <v>1.7398040571381361</v>
      </c>
      <c r="AC873" s="37">
        <v>2.7980055704427564</v>
      </c>
      <c r="AD873" s="37">
        <v>3.407113655181043</v>
      </c>
    </row>
    <row r="874" spans="2:30" x14ac:dyDescent="0.3">
      <c r="B874" s="28">
        <v>43901</v>
      </c>
      <c r="C874" s="25">
        <v>27.950001</v>
      </c>
      <c r="D874" s="18">
        <f t="shared" si="117"/>
        <v>-5.6919243795117147E-3</v>
      </c>
      <c r="E874" s="32">
        <f t="shared" ca="1" si="118"/>
        <v>3.4276230617519887E-2</v>
      </c>
      <c r="F874" s="18">
        <f t="shared" ca="1" si="119"/>
        <v>60.308648041583815</v>
      </c>
      <c r="G874" s="19">
        <f t="shared" ca="1" si="120"/>
        <v>-1.9986470415838156</v>
      </c>
      <c r="H874" s="27">
        <v>44.990001999999997</v>
      </c>
      <c r="I874" s="19">
        <f t="shared" si="121"/>
        <v>-1.1425972815907515E-2</v>
      </c>
      <c r="J874" s="19">
        <f t="shared" ca="1" si="122"/>
        <v>1.0789973184561673E-2</v>
      </c>
      <c r="K874" s="19">
        <f t="shared" ca="1" si="123"/>
        <v>84.39085283959912</v>
      </c>
      <c r="L874" s="19">
        <f t="shared" ca="1" si="124"/>
        <v>-0.90085483959911983</v>
      </c>
      <c r="M874" s="19">
        <f t="shared" ca="1" si="125"/>
        <v>-2.8995018811829354</v>
      </c>
      <c r="AA874" s="37">
        <v>854</v>
      </c>
      <c r="AB874" s="37">
        <v>1.8215846256715231</v>
      </c>
      <c r="AC874" s="37">
        <v>2.9011142313318983</v>
      </c>
      <c r="AD874" s="37">
        <v>3.1768635426432685</v>
      </c>
    </row>
    <row r="875" spans="2:30" x14ac:dyDescent="0.3">
      <c r="B875" s="28">
        <v>43902</v>
      </c>
      <c r="C875" s="25">
        <v>28.07</v>
      </c>
      <c r="D875" s="18">
        <f t="shared" si="117"/>
        <v>4.2933451057836081E-3</v>
      </c>
      <c r="E875" s="32">
        <f t="shared" ca="1" si="118"/>
        <v>1.4279565495197844E-2</v>
      </c>
      <c r="F875" s="18">
        <f t="shared" ca="1" si="119"/>
        <v>59.142642478304559</v>
      </c>
      <c r="G875" s="19">
        <f t="shared" ca="1" si="120"/>
        <v>-0.83264147830455926</v>
      </c>
      <c r="H875" s="27">
        <v>44.060001</v>
      </c>
      <c r="I875" s="19">
        <f t="shared" si="121"/>
        <v>-2.0671281588295898E-2</v>
      </c>
      <c r="J875" s="19">
        <f t="shared" ca="1" si="122"/>
        <v>-3.5142654691001085E-3</v>
      </c>
      <c r="K875" s="19">
        <f t="shared" ca="1" si="123"/>
        <v>83.196591983013363</v>
      </c>
      <c r="L875" s="19">
        <f t="shared" ca="1" si="124"/>
        <v>0.29340601698663704</v>
      </c>
      <c r="M875" s="19">
        <f t="shared" ca="1" si="125"/>
        <v>-0.53923546131792222</v>
      </c>
      <c r="AA875" s="37">
        <v>855</v>
      </c>
      <c r="AB875" s="37">
        <v>1.7453364417736859</v>
      </c>
      <c r="AC875" s="37">
        <v>2.7540476737750419</v>
      </c>
      <c r="AD875" s="37">
        <v>3.2087758088487761</v>
      </c>
    </row>
    <row r="876" spans="2:30" x14ac:dyDescent="0.3">
      <c r="B876" s="28">
        <v>43903</v>
      </c>
      <c r="C876" s="25">
        <v>29.49</v>
      </c>
      <c r="D876" s="18">
        <f t="shared" si="117"/>
        <v>5.0587816173851108E-2</v>
      </c>
      <c r="E876" s="32">
        <f t="shared" ca="1" si="118"/>
        <v>1.1472324907875283E-2</v>
      </c>
      <c r="F876" s="18">
        <f t="shared" ca="1" si="119"/>
        <v>58.978952276850528</v>
      </c>
      <c r="G876" s="19">
        <f t="shared" ca="1" si="120"/>
        <v>-0.66895127685052813</v>
      </c>
      <c r="H876" s="27">
        <v>43.200001</v>
      </c>
      <c r="I876" s="19">
        <f t="shared" si="121"/>
        <v>-1.9518837505246522E-2</v>
      </c>
      <c r="J876" s="19">
        <f t="shared" ca="1" si="122"/>
        <v>2.9523887140371782E-2</v>
      </c>
      <c r="K876" s="19">
        <f t="shared" ca="1" si="123"/>
        <v>85.954947278301873</v>
      </c>
      <c r="L876" s="19">
        <f t="shared" ca="1" si="124"/>
        <v>-2.4649492783018729</v>
      </c>
      <c r="M876" s="19">
        <f t="shared" ca="1" si="125"/>
        <v>-3.1339005551524011</v>
      </c>
      <c r="AA876" s="37">
        <v>856</v>
      </c>
      <c r="AB876" s="37">
        <v>1.8884581168137842</v>
      </c>
      <c r="AC876" s="37">
        <v>2.9094417588082053</v>
      </c>
      <c r="AD876" s="37">
        <v>3.1608568672584081</v>
      </c>
    </row>
    <row r="877" spans="2:30" x14ac:dyDescent="0.3">
      <c r="B877" s="28">
        <v>43907</v>
      </c>
      <c r="C877" s="25">
        <v>31.459999</v>
      </c>
      <c r="D877" s="18">
        <f t="shared" si="117"/>
        <v>6.6802271956595494E-2</v>
      </c>
      <c r="E877" s="32">
        <f t="shared" ca="1" si="118"/>
        <v>-2.4876617577073646E-2</v>
      </c>
      <c r="F877" s="18">
        <f t="shared" ca="1" si="119"/>
        <v>56.859445404204223</v>
      </c>
      <c r="G877" s="19">
        <f t="shared" ca="1" si="120"/>
        <v>1.4505555957957768</v>
      </c>
      <c r="H877" s="27">
        <v>42.09</v>
      </c>
      <c r="I877" s="19">
        <f t="shared" si="121"/>
        <v>-2.5694466997813192E-2</v>
      </c>
      <c r="J877" s="19">
        <f t="shared" ca="1" si="122"/>
        <v>3.3993449323748558E-2</v>
      </c>
      <c r="K877" s="19">
        <f t="shared" ca="1" si="123"/>
        <v>86.328111016052873</v>
      </c>
      <c r="L877" s="19">
        <f t="shared" ca="1" si="124"/>
        <v>-2.8381130160528727</v>
      </c>
      <c r="M877" s="19">
        <f t="shared" ca="1" si="125"/>
        <v>-1.3875574202570959</v>
      </c>
      <c r="AA877" s="37">
        <v>857</v>
      </c>
      <c r="AB877" s="37">
        <v>1.8359399626509123</v>
      </c>
      <c r="AC877" s="37">
        <v>2.9109199215060908</v>
      </c>
      <c r="AD877" s="37">
        <v>3.4016161573363752</v>
      </c>
    </row>
    <row r="878" spans="2:30" x14ac:dyDescent="0.3">
      <c r="B878" s="28">
        <v>43908</v>
      </c>
      <c r="C878" s="25">
        <v>31.030000999999999</v>
      </c>
      <c r="D878" s="18">
        <f t="shared" si="117"/>
        <v>-1.3668086893454778E-2</v>
      </c>
      <c r="E878" s="32">
        <f t="shared" ca="1" si="118"/>
        <v>3.1697952531520142E-2</v>
      </c>
      <c r="F878" s="18">
        <f t="shared" ca="1" si="119"/>
        <v>60.158308643810898</v>
      </c>
      <c r="G878" s="19">
        <f t="shared" ca="1" si="120"/>
        <v>-1.8483076438108981</v>
      </c>
      <c r="H878" s="27">
        <v>40.889999000000003</v>
      </c>
      <c r="I878" s="19">
        <f t="shared" si="121"/>
        <v>-2.8510358755048704E-2</v>
      </c>
      <c r="J878" s="19">
        <f t="shared" ca="1" si="122"/>
        <v>1.1198541770718788E-2</v>
      </c>
      <c r="K878" s="19">
        <f t="shared" ca="1" si="123"/>
        <v>84.424964230040231</v>
      </c>
      <c r="L878" s="19">
        <f t="shared" ca="1" si="124"/>
        <v>-0.93496623004023149</v>
      </c>
      <c r="M878" s="19">
        <f t="shared" ca="1" si="125"/>
        <v>-2.7832738738511296</v>
      </c>
      <c r="AA878" s="37">
        <v>858</v>
      </c>
      <c r="AB878" s="37">
        <v>1.7781611117252967</v>
      </c>
      <c r="AC878" s="37">
        <v>2.9758086748730967</v>
      </c>
      <c r="AD878" s="37">
        <v>3.3443928650030581</v>
      </c>
    </row>
    <row r="879" spans="2:30" x14ac:dyDescent="0.3">
      <c r="B879" s="28">
        <v>43909</v>
      </c>
      <c r="C879" s="25">
        <v>31.610001</v>
      </c>
      <c r="D879" s="18">
        <f t="shared" si="117"/>
        <v>1.8691588182675245E-2</v>
      </c>
      <c r="E879" s="32">
        <f t="shared" ca="1" si="118"/>
        <v>1.356049783853759E-2</v>
      </c>
      <c r="F879" s="18">
        <f t="shared" ca="1" si="119"/>
        <v>59.100713642525619</v>
      </c>
      <c r="G879" s="19">
        <f t="shared" ca="1" si="120"/>
        <v>-0.79071264252561946</v>
      </c>
      <c r="H879" s="27">
        <v>42.419998</v>
      </c>
      <c r="I879" s="19">
        <f t="shared" si="121"/>
        <v>3.7417437941243303E-2</v>
      </c>
      <c r="J879" s="19">
        <f t="shared" ca="1" si="122"/>
        <v>-1.1476968578041945E-2</v>
      </c>
      <c r="K879" s="19">
        <f t="shared" ca="1" si="123"/>
        <v>82.531785916373224</v>
      </c>
      <c r="L879" s="19">
        <f t="shared" ca="1" si="124"/>
        <v>0.95821208362677623</v>
      </c>
      <c r="M879" s="19">
        <f t="shared" ca="1" si="125"/>
        <v>0.16749944110115678</v>
      </c>
      <c r="AA879" s="37">
        <v>859</v>
      </c>
      <c r="AB879" s="37">
        <v>1.8770821198848529</v>
      </c>
      <c r="AC879" s="37">
        <v>2.8981621007350631</v>
      </c>
      <c r="AD879" s="37">
        <v>3.3313252733156071</v>
      </c>
    </row>
    <row r="880" spans="2:30" x14ac:dyDescent="0.3">
      <c r="B880" s="28">
        <v>43910</v>
      </c>
      <c r="C880" s="25">
        <v>30.4</v>
      </c>
      <c r="D880" s="18">
        <f t="shared" si="117"/>
        <v>-3.8279056049381421E-2</v>
      </c>
      <c r="E880" s="32">
        <f t="shared" ca="1" si="118"/>
        <v>-6.291458184617983E-3</v>
      </c>
      <c r="F880" s="18">
        <f t="shared" ca="1" si="119"/>
        <v>57.943146066963472</v>
      </c>
      <c r="G880" s="19">
        <f t="shared" ca="1" si="120"/>
        <v>0.36685493303652805</v>
      </c>
      <c r="H880" s="27">
        <v>40.020000000000003</v>
      </c>
      <c r="I880" s="19">
        <f t="shared" si="121"/>
        <v>-5.6577041799954708E-2</v>
      </c>
      <c r="J880" s="19">
        <f t="shared" ca="1" si="122"/>
        <v>2.2363687319765894E-2</v>
      </c>
      <c r="K880" s="19">
        <f t="shared" ca="1" si="123"/>
        <v>85.357142209599886</v>
      </c>
      <c r="L880" s="19">
        <f t="shared" ca="1" si="124"/>
        <v>-1.8671442095998856</v>
      </c>
      <c r="M880" s="19">
        <f t="shared" ca="1" si="125"/>
        <v>-1.5002892765633575</v>
      </c>
      <c r="AA880" s="37">
        <v>860</v>
      </c>
      <c r="AB880" s="37">
        <v>1.8177388108884556</v>
      </c>
      <c r="AC880" s="37">
        <v>2.6773457069069333</v>
      </c>
      <c r="AD880" s="37">
        <v>3.4370846925289635</v>
      </c>
    </row>
    <row r="881" spans="2:30" x14ac:dyDescent="0.3">
      <c r="B881" s="28">
        <v>43913</v>
      </c>
      <c r="C881" s="25">
        <v>29.549999</v>
      </c>
      <c r="D881" s="18">
        <f t="shared" si="117"/>
        <v>-2.7960559210526315E-2</v>
      </c>
      <c r="E881" s="32">
        <f t="shared" ca="1" si="118"/>
        <v>1.9310267212697418E-2</v>
      </c>
      <c r="F881" s="18">
        <f t="shared" ca="1" si="119"/>
        <v>59.435982700482654</v>
      </c>
      <c r="G881" s="19">
        <f t="shared" ca="1" si="120"/>
        <v>-1.1259817004826544</v>
      </c>
      <c r="H881" s="27">
        <v>37.509998000000003</v>
      </c>
      <c r="I881" s="19">
        <f t="shared" si="121"/>
        <v>-6.2718690654672615E-2</v>
      </c>
      <c r="J881" s="19">
        <f t="shared" ca="1" si="122"/>
        <v>-2.9542412146500899E-2</v>
      </c>
      <c r="K881" s="19">
        <f t="shared" ca="1" si="123"/>
        <v>81.023502068973471</v>
      </c>
      <c r="L881" s="19">
        <f t="shared" ca="1" si="124"/>
        <v>2.4664959310265289</v>
      </c>
      <c r="M881" s="19">
        <f t="shared" ca="1" si="125"/>
        <v>1.3405142305438744</v>
      </c>
      <c r="AA881" s="37">
        <v>861</v>
      </c>
      <c r="AB881" s="37">
        <v>1.7967051137483134</v>
      </c>
      <c r="AC881" s="37">
        <v>2.8813902208358071</v>
      </c>
      <c r="AD881" s="37">
        <v>3.4098482290193259</v>
      </c>
    </row>
    <row r="882" spans="2:30" x14ac:dyDescent="0.3">
      <c r="B882" s="28">
        <v>43914</v>
      </c>
      <c r="C882" s="25">
        <v>31.99</v>
      </c>
      <c r="D882" s="18">
        <f t="shared" si="117"/>
        <v>8.25719486487968E-2</v>
      </c>
      <c r="E882" s="32">
        <f t="shared" ca="1" si="118"/>
        <v>-5.7594399840945926E-4</v>
      </c>
      <c r="F882" s="18">
        <f t="shared" ca="1" si="119"/>
        <v>58.276417704876799</v>
      </c>
      <c r="G882" s="19">
        <f t="shared" ca="1" si="120"/>
        <v>3.3583295123200685E-2</v>
      </c>
      <c r="H882" s="27">
        <v>39.650002000000001</v>
      </c>
      <c r="I882" s="19">
        <f t="shared" si="121"/>
        <v>5.7051562626049712E-2</v>
      </c>
      <c r="J882" s="19">
        <f t="shared" ca="1" si="122"/>
        <v>-1.0803555048016427E-2</v>
      </c>
      <c r="K882" s="19">
        <f t="shared" ca="1" si="123"/>
        <v>82.588009210648224</v>
      </c>
      <c r="L882" s="19">
        <f t="shared" ca="1" si="124"/>
        <v>0.90198878935177618</v>
      </c>
      <c r="M882" s="19">
        <f t="shared" ca="1" si="125"/>
        <v>0.93557208447497686</v>
      </c>
      <c r="AA882" s="37">
        <v>862</v>
      </c>
      <c r="AB882" s="37">
        <v>1.6898969373535775</v>
      </c>
      <c r="AC882" s="37">
        <v>2.859715007426094</v>
      </c>
      <c r="AD882" s="37">
        <v>3.3833063326318715</v>
      </c>
    </row>
    <row r="883" spans="2:30" x14ac:dyDescent="0.3">
      <c r="B883" s="28">
        <v>43915</v>
      </c>
      <c r="C883" s="25">
        <v>34.400002000000001</v>
      </c>
      <c r="D883" s="18">
        <f t="shared" si="117"/>
        <v>7.5336105032822731E-2</v>
      </c>
      <c r="E883" s="32">
        <f t="shared" ca="1" si="118"/>
        <v>1.0925863839738309E-2</v>
      </c>
      <c r="F883" s="18">
        <f t="shared" ca="1" si="119"/>
        <v>58.947088131421005</v>
      </c>
      <c r="G883" s="19">
        <f t="shared" ca="1" si="120"/>
        <v>-0.63708713142100493</v>
      </c>
      <c r="H883" s="27">
        <v>43.299999</v>
      </c>
      <c r="I883" s="19">
        <f t="shared" si="121"/>
        <v>9.205540519266564E-2</v>
      </c>
      <c r="J883" s="19">
        <f t="shared" ca="1" si="122"/>
        <v>1.0883450051550148E-3</v>
      </c>
      <c r="K883" s="19">
        <f t="shared" ca="1" si="123"/>
        <v>83.580863922303706</v>
      </c>
      <c r="L883" s="19">
        <f t="shared" ca="1" si="124"/>
        <v>-9.086592230370627E-2</v>
      </c>
      <c r="M883" s="19">
        <f t="shared" ca="1" si="125"/>
        <v>-0.7279530537247112</v>
      </c>
      <c r="AA883" s="37">
        <v>863</v>
      </c>
      <c r="AB883" s="37">
        <v>1.7508246271496006</v>
      </c>
      <c r="AC883" s="37">
        <v>2.7609046979042646</v>
      </c>
      <c r="AD883" s="37">
        <v>3.2697685138968184</v>
      </c>
    </row>
    <row r="884" spans="2:30" x14ac:dyDescent="0.3">
      <c r="B884" s="28">
        <v>43916</v>
      </c>
      <c r="C884" s="25">
        <v>35.790000999999997</v>
      </c>
      <c r="D884" s="18">
        <f t="shared" si="117"/>
        <v>4.0406945325177412E-2</v>
      </c>
      <c r="E884" s="32">
        <f t="shared" ca="1" si="118"/>
        <v>1.348237811996815E-2</v>
      </c>
      <c r="F884" s="18">
        <f t="shared" ca="1" si="119"/>
        <v>59.096158481657724</v>
      </c>
      <c r="G884" s="19">
        <f t="shared" ca="1" si="120"/>
        <v>-0.78615748165772459</v>
      </c>
      <c r="H884" s="27">
        <v>44.290000999999997</v>
      </c>
      <c r="I884" s="19">
        <f t="shared" si="121"/>
        <v>2.2863788056900258E-2</v>
      </c>
      <c r="J884" s="19">
        <f t="shared" ca="1" si="122"/>
        <v>-4.6566661161984838E-2</v>
      </c>
      <c r="K884" s="19">
        <f t="shared" ca="1" si="123"/>
        <v>79.602147552719202</v>
      </c>
      <c r="L884" s="19">
        <f t="shared" ca="1" si="124"/>
        <v>3.8878504472807975</v>
      </c>
      <c r="M884" s="19">
        <f t="shared" ca="1" si="125"/>
        <v>3.101692965623073</v>
      </c>
      <c r="AA884" s="37">
        <v>864</v>
      </c>
      <c r="AB884" s="37">
        <v>1.7381743983609794</v>
      </c>
      <c r="AC884" s="37">
        <v>2.7532416960707264</v>
      </c>
      <c r="AD884" s="37">
        <v>3.3110284991223917</v>
      </c>
    </row>
    <row r="885" spans="2:30" x14ac:dyDescent="0.3">
      <c r="B885" s="28">
        <v>43917</v>
      </c>
      <c r="C885" s="25">
        <v>31.57</v>
      </c>
      <c r="D885" s="18">
        <f t="shared" si="117"/>
        <v>-0.11791005538111043</v>
      </c>
      <c r="E885" s="32">
        <f t="shared" ca="1" si="118"/>
        <v>2.462553439392183E-2</v>
      </c>
      <c r="F885" s="18">
        <f t="shared" ca="1" si="119"/>
        <v>59.745915935135123</v>
      </c>
      <c r="G885" s="19">
        <f t="shared" ca="1" si="120"/>
        <v>-1.4359149351351235</v>
      </c>
      <c r="H885" s="27">
        <v>40.650002000000001</v>
      </c>
      <c r="I885" s="19">
        <f t="shared" si="121"/>
        <v>-8.2185570508341077E-2</v>
      </c>
      <c r="J885" s="19">
        <f t="shared" ca="1" si="122"/>
        <v>1.151046806750956E-2</v>
      </c>
      <c r="K885" s="19">
        <f t="shared" ca="1" si="123"/>
        <v>84.451006955935441</v>
      </c>
      <c r="L885" s="19">
        <f t="shared" ca="1" si="124"/>
        <v>-0.96100895593544067</v>
      </c>
      <c r="M885" s="19">
        <f t="shared" ca="1" si="125"/>
        <v>-2.3969238910705641</v>
      </c>
      <c r="AA885" s="37">
        <v>865</v>
      </c>
      <c r="AB885" s="37">
        <v>1.8527576026542873</v>
      </c>
      <c r="AC885" s="37">
        <v>2.8417935254642637</v>
      </c>
      <c r="AD885" s="37">
        <v>3.4042190711570175</v>
      </c>
    </row>
    <row r="886" spans="2:30" x14ac:dyDescent="0.3">
      <c r="B886" s="28">
        <v>43920</v>
      </c>
      <c r="C886" s="25">
        <v>34.279998999999997</v>
      </c>
      <c r="D886" s="18">
        <f t="shared" si="117"/>
        <v>8.5840956604371188E-2</v>
      </c>
      <c r="E886" s="32">
        <f t="shared" ca="1" si="118"/>
        <v>3.73596733213327E-2</v>
      </c>
      <c r="F886" s="18">
        <f t="shared" ca="1" si="119"/>
        <v>60.488443588726575</v>
      </c>
      <c r="G886" s="19">
        <f t="shared" ca="1" si="120"/>
        <v>-2.1784425887265755</v>
      </c>
      <c r="H886" s="27">
        <v>40.740001999999997</v>
      </c>
      <c r="I886" s="19">
        <f t="shared" si="121"/>
        <v>2.2140220312902859E-3</v>
      </c>
      <c r="J886" s="19">
        <f t="shared" ca="1" si="122"/>
        <v>1.7980967384371542E-2</v>
      </c>
      <c r="K886" s="19">
        <f t="shared" ca="1" si="123"/>
        <v>84.991228930959252</v>
      </c>
      <c r="L886" s="19">
        <f t="shared" ca="1" si="124"/>
        <v>-1.5012309309592524</v>
      </c>
      <c r="M886" s="19">
        <f t="shared" ca="1" si="125"/>
        <v>-3.6796735196858279</v>
      </c>
      <c r="AA886" s="37">
        <v>866</v>
      </c>
      <c r="AB886" s="37">
        <v>1.8450447060641262</v>
      </c>
      <c r="AC886" s="37">
        <v>2.9075720344547475</v>
      </c>
      <c r="AD886" s="37">
        <v>3.3874371948277511</v>
      </c>
    </row>
    <row r="887" spans="2:30" x14ac:dyDescent="0.3">
      <c r="B887" s="28">
        <v>43921</v>
      </c>
      <c r="C887" s="25">
        <v>34.479999999999997</v>
      </c>
      <c r="D887" s="18">
        <f t="shared" si="117"/>
        <v>5.8343350593446086E-3</v>
      </c>
      <c r="E887" s="32">
        <f t="shared" ca="1" si="118"/>
        <v>-2.4653970384958235E-3</v>
      </c>
      <c r="F887" s="18">
        <f t="shared" ca="1" si="119"/>
        <v>58.166243696219915</v>
      </c>
      <c r="G887" s="19">
        <f t="shared" ca="1" si="120"/>
        <v>0.14375730378008456</v>
      </c>
      <c r="H887" s="27">
        <v>43.740001999999997</v>
      </c>
      <c r="I887" s="19">
        <f t="shared" si="121"/>
        <v>7.3637698888674663E-2</v>
      </c>
      <c r="J887" s="19">
        <f t="shared" ca="1" si="122"/>
        <v>2.7196450507637887E-2</v>
      </c>
      <c r="K887" s="19">
        <f t="shared" ca="1" si="123"/>
        <v>85.760629598489786</v>
      </c>
      <c r="L887" s="19">
        <f t="shared" ca="1" si="124"/>
        <v>-2.2706315984897856</v>
      </c>
      <c r="M887" s="19">
        <f t="shared" ca="1" si="125"/>
        <v>-2.126874294709701</v>
      </c>
      <c r="AA887" s="37">
        <v>867</v>
      </c>
      <c r="AB887" s="37">
        <v>1.7824141192280116</v>
      </c>
      <c r="AC887" s="37">
        <v>2.9583279682846748</v>
      </c>
      <c r="AD887" s="37">
        <v>3.1859032138391896</v>
      </c>
    </row>
    <row r="888" spans="2:30" x14ac:dyDescent="0.3">
      <c r="B888" s="28">
        <v>43922</v>
      </c>
      <c r="C888" s="25">
        <v>32.75</v>
      </c>
      <c r="D888" s="18">
        <f t="shared" si="117"/>
        <v>-5.0174013921113647E-2</v>
      </c>
      <c r="E888" s="32">
        <f t="shared" ca="1" si="118"/>
        <v>-1.4257791680136999E-2</v>
      </c>
      <c r="F888" s="18">
        <f t="shared" ca="1" si="119"/>
        <v>57.478629152873424</v>
      </c>
      <c r="G888" s="19">
        <f t="shared" ca="1" si="120"/>
        <v>0.83137184712657586</v>
      </c>
      <c r="H888" s="27">
        <v>40.970001000000003</v>
      </c>
      <c r="I888" s="19">
        <f t="shared" si="121"/>
        <v>-6.3328780826301556E-2</v>
      </c>
      <c r="J888" s="19">
        <f t="shared" ca="1" si="122"/>
        <v>-1.8158249630910256E-2</v>
      </c>
      <c r="K888" s="19">
        <f t="shared" ca="1" si="123"/>
        <v>81.973965774631793</v>
      </c>
      <c r="L888" s="19">
        <f t="shared" ca="1" si="124"/>
        <v>1.5160322253682068</v>
      </c>
      <c r="M888" s="19">
        <f t="shared" ca="1" si="125"/>
        <v>2.3474040724947827</v>
      </c>
      <c r="AA888" s="37">
        <v>868</v>
      </c>
      <c r="AB888" s="37">
        <v>1.8060981792537203</v>
      </c>
      <c r="AC888" s="37">
        <v>3.0387009957874178</v>
      </c>
      <c r="AD888" s="37">
        <v>3.2945148806828088</v>
      </c>
    </row>
    <row r="889" spans="2:30" x14ac:dyDescent="0.3">
      <c r="B889" s="28">
        <v>43923</v>
      </c>
      <c r="C889" s="25">
        <v>33.220001000000003</v>
      </c>
      <c r="D889" s="18">
        <f t="shared" si="117"/>
        <v>1.4351175572519193E-2</v>
      </c>
      <c r="E889" s="32">
        <f t="shared" ca="1" si="118"/>
        <v>9.6085189217495776E-3</v>
      </c>
      <c r="F889" s="18">
        <f t="shared" ca="1" si="119"/>
        <v>58.870273747935741</v>
      </c>
      <c r="G889" s="19">
        <f t="shared" ca="1" si="120"/>
        <v>-0.56027274793574122</v>
      </c>
      <c r="H889" s="27">
        <v>40.229999999999997</v>
      </c>
      <c r="I889" s="19">
        <f t="shared" si="121"/>
        <v>-1.8062020550109525E-2</v>
      </c>
      <c r="J889" s="19">
        <f t="shared" ca="1" si="122"/>
        <v>5.360283489517749E-2</v>
      </c>
      <c r="K889" s="19">
        <f t="shared" ca="1" si="123"/>
        <v>87.965298578192701</v>
      </c>
      <c r="L889" s="19">
        <f t="shared" ca="1" si="124"/>
        <v>-4.4753005781927016</v>
      </c>
      <c r="M889" s="19">
        <f t="shared" ca="1" si="125"/>
        <v>-5.0355733261284428</v>
      </c>
      <c r="AA889" s="37">
        <v>869</v>
      </c>
      <c r="AB889" s="37">
        <v>1.7434925762639091</v>
      </c>
      <c r="AC889" s="37">
        <v>3.1101124311736239</v>
      </c>
      <c r="AD889" s="37">
        <v>3.6520490686865852</v>
      </c>
    </row>
    <row r="890" spans="2:30" x14ac:dyDescent="0.3">
      <c r="B890" s="28">
        <v>43924</v>
      </c>
      <c r="C890" s="25">
        <v>31.51</v>
      </c>
      <c r="D890" s="18">
        <f t="shared" si="117"/>
        <v>-5.1475043604002346E-2</v>
      </c>
      <c r="E890" s="32">
        <f t="shared" ca="1" si="118"/>
        <v>3.2013963261054088E-2</v>
      </c>
      <c r="F890" s="18">
        <f t="shared" ca="1" si="119"/>
        <v>60.176735229766031</v>
      </c>
      <c r="G890" s="19">
        <f t="shared" ca="1" si="120"/>
        <v>-1.8667342297660312</v>
      </c>
      <c r="H890" s="27">
        <v>41.290000999999997</v>
      </c>
      <c r="I890" s="19">
        <f t="shared" si="121"/>
        <v>2.63485210042258E-2</v>
      </c>
      <c r="J890" s="19">
        <f t="shared" ca="1" si="122"/>
        <v>2.4852947029366582E-2</v>
      </c>
      <c r="K890" s="19">
        <f t="shared" ca="1" si="123"/>
        <v>85.564970497775917</v>
      </c>
      <c r="L890" s="19">
        <f t="shared" ca="1" si="124"/>
        <v>-2.0749724977759172</v>
      </c>
      <c r="M890" s="19">
        <f t="shared" ca="1" si="125"/>
        <v>-3.9417067275419484</v>
      </c>
      <c r="AA890" s="37">
        <v>870</v>
      </c>
      <c r="AB890" s="37">
        <v>1.7586379482336341</v>
      </c>
      <c r="AC890" s="37">
        <v>2.8306529636520223</v>
      </c>
      <c r="AD890" s="37">
        <v>3.3051767600156357</v>
      </c>
    </row>
    <row r="891" spans="2:30" x14ac:dyDescent="0.3">
      <c r="B891" s="28">
        <v>43927</v>
      </c>
      <c r="C891" s="25">
        <v>31.67</v>
      </c>
      <c r="D891" s="18">
        <f t="shared" si="117"/>
        <v>5.0777530942558435E-3</v>
      </c>
      <c r="E891" s="32">
        <f t="shared" ca="1" si="118"/>
        <v>3.2995889398102642E-2</v>
      </c>
      <c r="F891" s="18">
        <f t="shared" ca="1" si="119"/>
        <v>60.233991343799254</v>
      </c>
      <c r="G891" s="19">
        <f t="shared" ca="1" si="120"/>
        <v>-1.9239903437992538</v>
      </c>
      <c r="H891" s="27">
        <v>43.07</v>
      </c>
      <c r="I891" s="19">
        <f t="shared" si="121"/>
        <v>4.31096865316134E-2</v>
      </c>
      <c r="J891" s="19">
        <f t="shared" ca="1" si="122"/>
        <v>1.0807945084952487E-2</v>
      </c>
      <c r="K891" s="19">
        <f t="shared" ca="1" si="123"/>
        <v>84.392353313526797</v>
      </c>
      <c r="L891" s="19">
        <f t="shared" ca="1" si="124"/>
        <v>-0.90235531352679743</v>
      </c>
      <c r="M891" s="19">
        <f t="shared" ca="1" si="125"/>
        <v>-2.8263456573260513</v>
      </c>
      <c r="AA891" s="37">
        <v>871</v>
      </c>
      <c r="AB891" s="37">
        <v>1.7451774230448704</v>
      </c>
      <c r="AC891" s="37">
        <v>2.9344682484940976</v>
      </c>
      <c r="AD891" s="37">
        <v>3.2582244105621085</v>
      </c>
    </row>
    <row r="892" spans="2:30" x14ac:dyDescent="0.3">
      <c r="B892" s="28">
        <v>43928</v>
      </c>
      <c r="C892" s="25">
        <v>32.720001000000003</v>
      </c>
      <c r="D892" s="18">
        <f t="shared" si="117"/>
        <v>3.315443637511839E-2</v>
      </c>
      <c r="E892" s="32">
        <f t="shared" ca="1" si="118"/>
        <v>-1.1855468013221184E-2</v>
      </c>
      <c r="F892" s="18">
        <f t="shared" ca="1" si="119"/>
        <v>57.618708648293598</v>
      </c>
      <c r="G892" s="19">
        <f t="shared" ca="1" si="120"/>
        <v>0.69129235170640158</v>
      </c>
      <c r="H892" s="27">
        <v>43.27</v>
      </c>
      <c r="I892" s="19">
        <f t="shared" si="121"/>
        <v>4.6436034362666856E-3</v>
      </c>
      <c r="J892" s="19">
        <f t="shared" ca="1" si="122"/>
        <v>-9.6693773402096242E-3</v>
      </c>
      <c r="K892" s="19">
        <f t="shared" ca="1" si="123"/>
        <v>82.68270170520465</v>
      </c>
      <c r="L892" s="19">
        <f t="shared" ca="1" si="124"/>
        <v>0.80729629479534992</v>
      </c>
      <c r="M892" s="19">
        <f t="shared" ca="1" si="125"/>
        <v>1.4985886465017515</v>
      </c>
      <c r="AA892" s="37">
        <v>872</v>
      </c>
      <c r="AB892" s="37">
        <v>1.7692847701687411</v>
      </c>
      <c r="AC892" s="37">
        <v>2.7638604142044594</v>
      </c>
      <c r="AD892" s="37">
        <v>3.333730342424408</v>
      </c>
    </row>
    <row r="893" spans="2:30" x14ac:dyDescent="0.3">
      <c r="B893" s="28">
        <v>43929</v>
      </c>
      <c r="C893" s="25">
        <v>33.459999000000003</v>
      </c>
      <c r="D893" s="18">
        <f t="shared" si="117"/>
        <v>2.2616075103420785E-2</v>
      </c>
      <c r="E893" s="32">
        <f t="shared" ca="1" si="118"/>
        <v>-1.1962931392019956E-2</v>
      </c>
      <c r="F893" s="18">
        <f t="shared" ca="1" si="119"/>
        <v>57.612442458568381</v>
      </c>
      <c r="G893" s="19">
        <f t="shared" ca="1" si="120"/>
        <v>0.69755854143161855</v>
      </c>
      <c r="H893" s="27">
        <v>42.400002000000001</v>
      </c>
      <c r="I893" s="19">
        <f t="shared" si="121"/>
        <v>-2.010626299976892E-2</v>
      </c>
      <c r="J893" s="19">
        <f t="shared" ca="1" si="122"/>
        <v>6.9607935786896221E-3</v>
      </c>
      <c r="K893" s="19">
        <f t="shared" ca="1" si="123"/>
        <v>84.071154641963219</v>
      </c>
      <c r="L893" s="19">
        <f t="shared" ca="1" si="124"/>
        <v>-0.58115664196321859</v>
      </c>
      <c r="M893" s="19">
        <f t="shared" ca="1" si="125"/>
        <v>0.11640189946839996</v>
      </c>
      <c r="AA893" s="37">
        <v>873</v>
      </c>
      <c r="AB893" s="37">
        <v>1.7383526568756358</v>
      </c>
      <c r="AC893" s="37">
        <v>2.7833027669923438</v>
      </c>
      <c r="AD893" s="37">
        <v>3.3938214794187074</v>
      </c>
    </row>
    <row r="894" spans="2:30" x14ac:dyDescent="0.3">
      <c r="B894" s="28">
        <v>43934</v>
      </c>
      <c r="C894" s="25">
        <v>32.290000999999997</v>
      </c>
      <c r="D894" s="18">
        <f t="shared" si="117"/>
        <v>-3.4967066197461816E-2</v>
      </c>
      <c r="E894" s="32">
        <f t="shared" ca="1" si="118"/>
        <v>1.450386110468993E-2</v>
      </c>
      <c r="F894" s="18">
        <f t="shared" ca="1" si="119"/>
        <v>59.155721155518329</v>
      </c>
      <c r="G894" s="19">
        <f t="shared" ca="1" si="120"/>
        <v>-0.84572015551832891</v>
      </c>
      <c r="H894" s="27">
        <v>44.669998</v>
      </c>
      <c r="I894" s="19">
        <f t="shared" si="121"/>
        <v>5.3537638984073599E-2</v>
      </c>
      <c r="J894" s="19">
        <f t="shared" ca="1" si="122"/>
        <v>1.8738233066705981E-2</v>
      </c>
      <c r="K894" s="19">
        <f t="shared" ca="1" si="123"/>
        <v>85.054453041262818</v>
      </c>
      <c r="L894" s="19">
        <f t="shared" ca="1" si="124"/>
        <v>-1.5644550412628178</v>
      </c>
      <c r="M894" s="19">
        <f t="shared" ca="1" si="125"/>
        <v>-2.4101751967811467</v>
      </c>
      <c r="AA894" s="37">
        <v>874</v>
      </c>
      <c r="AB894" s="37">
        <v>1.72469457976054</v>
      </c>
      <c r="AC894" s="37">
        <v>2.8797626299684422</v>
      </c>
      <c r="AD894" s="37">
        <v>3.4290030234382245</v>
      </c>
    </row>
    <row r="895" spans="2:30" x14ac:dyDescent="0.3">
      <c r="B895" s="28">
        <v>43935</v>
      </c>
      <c r="C895" s="25">
        <v>33.650002000000001</v>
      </c>
      <c r="D895" s="18">
        <f t="shared" si="117"/>
        <v>4.2118332545112214E-2</v>
      </c>
      <c r="E895" s="32">
        <f t="shared" ca="1" si="118"/>
        <v>2.621057798867637E-3</v>
      </c>
      <c r="F895" s="18">
        <f t="shared" ca="1" si="119"/>
        <v>58.462834882873032</v>
      </c>
      <c r="G895" s="19">
        <f t="shared" ca="1" si="120"/>
        <v>-0.15283388287303268</v>
      </c>
      <c r="H895" s="27">
        <v>46.220001000000003</v>
      </c>
      <c r="I895" s="19">
        <f t="shared" si="121"/>
        <v>3.4698971779671961E-2</v>
      </c>
      <c r="J895" s="19">
        <f t="shared" ca="1" si="122"/>
        <v>2.834502148265472E-2</v>
      </c>
      <c r="K895" s="19">
        <f t="shared" ca="1" si="123"/>
        <v>85.856523786896787</v>
      </c>
      <c r="L895" s="19">
        <f t="shared" ca="1" si="124"/>
        <v>-2.3665257868967871</v>
      </c>
      <c r="M895" s="19">
        <f t="shared" ca="1" si="125"/>
        <v>-2.5193596697698197</v>
      </c>
      <c r="AA895" s="37">
        <v>875</v>
      </c>
      <c r="AB895" s="37">
        <v>1.8388679893936575</v>
      </c>
      <c r="AC895" s="37">
        <v>2.9531392995807662</v>
      </c>
      <c r="AD895" s="37">
        <v>3.4141443859286387</v>
      </c>
    </row>
    <row r="896" spans="2:30" x14ac:dyDescent="0.3">
      <c r="B896" s="28">
        <v>43936</v>
      </c>
      <c r="C896" s="25">
        <v>32.509998000000003</v>
      </c>
      <c r="D896" s="18">
        <f t="shared" si="117"/>
        <v>-3.3878274360875205E-2</v>
      </c>
      <c r="E896" s="32">
        <f t="shared" ca="1" si="118"/>
        <v>-3.6983060520665224E-2</v>
      </c>
      <c r="F896" s="18">
        <f t="shared" ca="1" si="119"/>
        <v>56.15351870405695</v>
      </c>
      <c r="G896" s="19">
        <f t="shared" ca="1" si="120"/>
        <v>2.1564822959430501</v>
      </c>
      <c r="H896" s="27">
        <v>43.990001999999997</v>
      </c>
      <c r="I896" s="19">
        <f t="shared" si="121"/>
        <v>-4.8247489220089035E-2</v>
      </c>
      <c r="J896" s="19">
        <f t="shared" ca="1" si="122"/>
        <v>1.1438430839867987E-2</v>
      </c>
      <c r="K896" s="19">
        <f t="shared" ca="1" si="123"/>
        <v>84.444992567943729</v>
      </c>
      <c r="L896" s="19">
        <f t="shared" ca="1" si="124"/>
        <v>-0.95499456794372861</v>
      </c>
      <c r="M896" s="19">
        <f t="shared" ca="1" si="125"/>
        <v>1.2014877279993215</v>
      </c>
      <c r="AA896" s="37">
        <v>876</v>
      </c>
      <c r="AB896" s="37">
        <v>1.8575918928207213</v>
      </c>
      <c r="AC896" s="37">
        <v>2.8292432514956221</v>
      </c>
      <c r="AD896" s="37">
        <v>3.2588444592633703</v>
      </c>
    </row>
    <row r="897" spans="2:30" x14ac:dyDescent="0.3">
      <c r="B897" s="28">
        <v>43937</v>
      </c>
      <c r="C897" s="25">
        <v>32.229999999999997</v>
      </c>
      <c r="D897" s="18">
        <f t="shared" si="117"/>
        <v>-8.6126735535329013E-3</v>
      </c>
      <c r="E897" s="32">
        <f t="shared" ca="1" si="118"/>
        <v>-1.6265749486418141E-2</v>
      </c>
      <c r="F897" s="18">
        <f t="shared" ca="1" si="119"/>
        <v>57.361545131181209</v>
      </c>
      <c r="G897" s="19">
        <f t="shared" ca="1" si="120"/>
        <v>0.94845586881879029</v>
      </c>
      <c r="H897" s="27">
        <v>44</v>
      </c>
      <c r="I897" s="19">
        <f t="shared" si="121"/>
        <v>2.2727891669571676E-4</v>
      </c>
      <c r="J897" s="19">
        <f t="shared" ca="1" si="122"/>
        <v>-1.7344072393912682E-2</v>
      </c>
      <c r="K897" s="19">
        <f t="shared" ca="1" si="123"/>
        <v>82.041941430520382</v>
      </c>
      <c r="L897" s="19">
        <f t="shared" ca="1" si="124"/>
        <v>1.4480565694796184</v>
      </c>
      <c r="M897" s="19">
        <f t="shared" ca="1" si="125"/>
        <v>2.3965124382984087</v>
      </c>
      <c r="AA897" s="37">
        <v>877</v>
      </c>
      <c r="AB897" s="37">
        <v>1.7336386821506216</v>
      </c>
      <c r="AC897" s="37">
        <v>2.8174803130212709</v>
      </c>
      <c r="AD897" s="37">
        <v>3.5416218556515706</v>
      </c>
    </row>
    <row r="898" spans="2:30" x14ac:dyDescent="0.3">
      <c r="B898" s="28">
        <v>43938</v>
      </c>
      <c r="C898" s="25">
        <v>33.470001000000003</v>
      </c>
      <c r="D898" s="18">
        <f t="shared" si="117"/>
        <v>3.8473502947564686E-2</v>
      </c>
      <c r="E898" s="32">
        <f t="shared" ca="1" si="118"/>
        <v>-1.7627535249622656E-2</v>
      </c>
      <c r="F898" s="18">
        <f t="shared" ca="1" si="119"/>
        <v>57.282139401966965</v>
      </c>
      <c r="G898" s="19">
        <f t="shared" ca="1" si="120"/>
        <v>1.0278615980330343</v>
      </c>
      <c r="H898" s="27">
        <v>44.66</v>
      </c>
      <c r="I898" s="19">
        <f t="shared" si="121"/>
        <v>1.4999999999999902E-2</v>
      </c>
      <c r="J898" s="19">
        <f t="shared" ca="1" si="122"/>
        <v>1.1553261404255364E-2</v>
      </c>
      <c r="K898" s="19">
        <f t="shared" ca="1" si="123"/>
        <v>84.454579771534753</v>
      </c>
      <c r="L898" s="19">
        <f t="shared" ca="1" si="124"/>
        <v>-0.96458177153475333</v>
      </c>
      <c r="M898" s="19">
        <f t="shared" ca="1" si="125"/>
        <v>6.3279826498281011E-2</v>
      </c>
      <c r="AA898" s="37">
        <v>878</v>
      </c>
      <c r="AB898" s="37">
        <v>1.7368670617447197</v>
      </c>
      <c r="AC898" s="37">
        <v>2.8510154829035579</v>
      </c>
      <c r="AD898" s="37">
        <v>3.3666947926646724</v>
      </c>
    </row>
    <row r="899" spans="2:30" x14ac:dyDescent="0.3">
      <c r="B899" s="28">
        <v>43941</v>
      </c>
      <c r="C899" s="25">
        <v>31.92</v>
      </c>
      <c r="D899" s="18">
        <f t="shared" si="117"/>
        <v>-4.6310156967130145E-2</v>
      </c>
      <c r="E899" s="32">
        <f t="shared" ca="1" si="118"/>
        <v>-2.0244866365233169E-3</v>
      </c>
      <c r="F899" s="18">
        <f t="shared" ca="1" si="119"/>
        <v>58.191953182199839</v>
      </c>
      <c r="G899" s="19">
        <f t="shared" ca="1" si="120"/>
        <v>0.11804781780016071</v>
      </c>
      <c r="H899" s="27">
        <v>44.990001999999997</v>
      </c>
      <c r="I899" s="19">
        <f t="shared" si="121"/>
        <v>7.3892073443797557E-3</v>
      </c>
      <c r="J899" s="19">
        <f t="shared" ca="1" si="122"/>
        <v>-1.1042273029201149E-3</v>
      </c>
      <c r="K899" s="19">
        <f t="shared" ca="1" si="123"/>
        <v>83.397806064687657</v>
      </c>
      <c r="L899" s="19">
        <f t="shared" ca="1" si="124"/>
        <v>9.2191935312342821E-2</v>
      </c>
      <c r="M899" s="19">
        <f t="shared" ca="1" si="125"/>
        <v>0.21023975311250354</v>
      </c>
      <c r="AA899" s="37">
        <v>879</v>
      </c>
      <c r="AB899" s="37">
        <v>1.8420812596381237</v>
      </c>
      <c r="AC899" s="37">
        <v>2.8801568363597174</v>
      </c>
      <c r="AD899" s="37">
        <v>3.3103298167796393</v>
      </c>
    </row>
    <row r="900" spans="2:30" x14ac:dyDescent="0.3">
      <c r="B900" s="28">
        <v>43942</v>
      </c>
      <c r="C900" s="25">
        <v>32.380001</v>
      </c>
      <c r="D900" s="18">
        <f t="shared" si="117"/>
        <v>1.4411058897243034E-2</v>
      </c>
      <c r="E900" s="32">
        <f t="shared" ca="1" si="118"/>
        <v>3.5318001430528684E-2</v>
      </c>
      <c r="F900" s="18">
        <f t="shared" ca="1" si="119"/>
        <v>60.369393698732132</v>
      </c>
      <c r="G900" s="19">
        <f t="shared" ca="1" si="120"/>
        <v>-2.0593926987321325</v>
      </c>
      <c r="H900" s="27">
        <v>44.790000999999997</v>
      </c>
      <c r="I900" s="19">
        <f t="shared" si="121"/>
        <v>-4.4454543478349429E-3</v>
      </c>
      <c r="J900" s="19">
        <f t="shared" ca="1" si="122"/>
        <v>-7.681661302757146E-3</v>
      </c>
      <c r="K900" s="19">
        <f t="shared" ca="1" si="123"/>
        <v>82.848656113196128</v>
      </c>
      <c r="L900" s="19">
        <f t="shared" ca="1" si="124"/>
        <v>0.64134188680387183</v>
      </c>
      <c r="M900" s="19">
        <f t="shared" ca="1" si="125"/>
        <v>-1.4180508119282607</v>
      </c>
      <c r="AA900" s="37">
        <v>880</v>
      </c>
      <c r="AB900" s="37">
        <v>1.8968829580628341</v>
      </c>
      <c r="AC900" s="37">
        <v>2.7695278367305853</v>
      </c>
      <c r="AD900" s="37">
        <v>3.3472664671809671</v>
      </c>
    </row>
    <row r="901" spans="2:30" x14ac:dyDescent="0.3">
      <c r="B901" s="28">
        <v>43943</v>
      </c>
      <c r="C901" s="25">
        <v>32.75</v>
      </c>
      <c r="D901" s="18">
        <f t="shared" si="117"/>
        <v>1.1426775434627112E-2</v>
      </c>
      <c r="E901" s="32">
        <f t="shared" ca="1" si="118"/>
        <v>3.2419122334945063E-3</v>
      </c>
      <c r="F901" s="18">
        <f t="shared" ca="1" si="119"/>
        <v>58.499036905576979</v>
      </c>
      <c r="G901" s="19">
        <f t="shared" ca="1" si="120"/>
        <v>-0.18903590557697925</v>
      </c>
      <c r="H901" s="27">
        <v>45.549999</v>
      </c>
      <c r="I901" s="19">
        <f t="shared" si="121"/>
        <v>1.6968028198972362E-2</v>
      </c>
      <c r="J901" s="19">
        <f t="shared" ca="1" si="122"/>
        <v>1.5679185438828545E-2</v>
      </c>
      <c r="K901" s="19">
        <f t="shared" ca="1" si="123"/>
        <v>84.799053160929418</v>
      </c>
      <c r="L901" s="19">
        <f t="shared" ca="1" si="124"/>
        <v>-1.3090551609294181</v>
      </c>
      <c r="M901" s="19">
        <f t="shared" ca="1" si="125"/>
        <v>-1.4980910665063973</v>
      </c>
      <c r="AA901" s="37">
        <v>881</v>
      </c>
      <c r="AB901" s="37">
        <v>1.7862778640456014</v>
      </c>
      <c r="AC901" s="37">
        <v>2.8638755604895501</v>
      </c>
      <c r="AD901" s="37">
        <v>3.3593556955724591</v>
      </c>
    </row>
    <row r="902" spans="2:30" x14ac:dyDescent="0.3">
      <c r="B902" s="28">
        <v>43944</v>
      </c>
      <c r="C902" s="25">
        <v>31.91</v>
      </c>
      <c r="D902" s="18">
        <f t="shared" si="117"/>
        <v>-2.5648854961832002E-2</v>
      </c>
      <c r="E902" s="32">
        <f t="shared" ca="1" si="118"/>
        <v>-5.176906764162257E-2</v>
      </c>
      <c r="F902" s="18">
        <f t="shared" ca="1" si="119"/>
        <v>55.291346614047917</v>
      </c>
      <c r="G902" s="19">
        <f t="shared" ca="1" si="120"/>
        <v>3.0186543859520825</v>
      </c>
      <c r="H902" s="27">
        <v>47.889999000000003</v>
      </c>
      <c r="I902" s="19">
        <f t="shared" si="121"/>
        <v>5.1372119678861017E-2</v>
      </c>
      <c r="J902" s="19">
        <f t="shared" ca="1" si="122"/>
        <v>1.5547988634508597E-2</v>
      </c>
      <c r="K902" s="19">
        <f t="shared" ca="1" si="123"/>
        <v>84.788099539999152</v>
      </c>
      <c r="L902" s="19">
        <f t="shared" ca="1" si="124"/>
        <v>-1.298101539999152</v>
      </c>
      <c r="M902" s="19">
        <f t="shared" ca="1" si="125"/>
        <v>1.7205528459529305</v>
      </c>
      <c r="AA902" s="37">
        <v>882</v>
      </c>
      <c r="AB902" s="37">
        <v>1.8396694335855064</v>
      </c>
      <c r="AC902" s="37">
        <v>3.0067963600448531</v>
      </c>
      <c r="AD902" s="37">
        <v>3.3086079234117385</v>
      </c>
    </row>
    <row r="903" spans="2:30" x14ac:dyDescent="0.3">
      <c r="B903" s="28">
        <v>43945</v>
      </c>
      <c r="C903" s="25">
        <v>32.630001</v>
      </c>
      <c r="D903" s="18">
        <f t="shared" si="117"/>
        <v>2.2563491068630537E-2</v>
      </c>
      <c r="E903" s="32">
        <f t="shared" ca="1" si="118"/>
        <v>-2.2715469317737769E-2</v>
      </c>
      <c r="F903" s="18">
        <f t="shared" ca="1" si="119"/>
        <v>56.985461961367236</v>
      </c>
      <c r="G903" s="19">
        <f t="shared" ca="1" si="120"/>
        <v>1.3245390386327642</v>
      </c>
      <c r="H903" s="27">
        <v>47.220001000000003</v>
      </c>
      <c r="I903" s="19">
        <f t="shared" si="121"/>
        <v>-1.3990353184179405E-2</v>
      </c>
      <c r="J903" s="19">
        <f t="shared" ca="1" si="122"/>
        <v>-8.6061552888288349E-3</v>
      </c>
      <c r="K903" s="19">
        <f t="shared" ca="1" si="123"/>
        <v>82.771470112147995</v>
      </c>
      <c r="L903" s="19">
        <f t="shared" ca="1" si="124"/>
        <v>0.71852788785200516</v>
      </c>
      <c r="M903" s="19">
        <f t="shared" ca="1" si="125"/>
        <v>2.0430669264847694</v>
      </c>
      <c r="AA903" s="37">
        <v>883</v>
      </c>
      <c r="AB903" s="37">
        <v>1.7447388138675537</v>
      </c>
      <c r="AC903" s="37">
        <v>2.8356381572211147</v>
      </c>
      <c r="AD903" s="37">
        <v>3.3951528386334413</v>
      </c>
    </row>
    <row r="904" spans="2:30" x14ac:dyDescent="0.3">
      <c r="B904" s="28">
        <v>43948</v>
      </c>
      <c r="C904" s="25">
        <v>33.150002000000001</v>
      </c>
      <c r="D904" s="18">
        <f t="shared" ref="D904:D967" si="126">C904/C903-1</f>
        <v>1.5936285138330231E-2</v>
      </c>
      <c r="E904" s="32">
        <f t="shared" ref="E904:E967" ca="1" si="127">NORMINV(RAND(),$E$3,$E$4)</f>
        <v>1.8643036813383443E-3</v>
      </c>
      <c r="F904" s="18">
        <f t="shared" ref="F904:F967" ca="1" si="128">$C$1261*(1+E904)</f>
        <v>58.418708549523146</v>
      </c>
      <c r="G904" s="19">
        <f t="shared" ref="G904:G967" ca="1" si="129">$C$1261-F904</f>
        <v>-0.10870754952314599</v>
      </c>
      <c r="H904" s="27">
        <v>48.68</v>
      </c>
      <c r="I904" s="19">
        <f t="shared" ref="I904:I967" si="130">H904/H903-1</f>
        <v>3.0919080243136721E-2</v>
      </c>
      <c r="J904" s="19">
        <f t="shared" ref="J904:J967" ca="1" si="131">NORMINV(RAND(),$J$3,$J$4)</f>
        <v>-1.5629525327249306E-2</v>
      </c>
      <c r="K904" s="19">
        <f t="shared" ref="K904:K967" ca="1" si="132">$H$1261*(1+J904)</f>
        <v>82.185088961687015</v>
      </c>
      <c r="L904" s="19">
        <f t="shared" ref="L904:L967" ca="1" si="133">$H$1261-K904</f>
        <v>1.3049090383129851</v>
      </c>
      <c r="M904" s="19">
        <f t="shared" ref="M904:M967" ca="1" si="134">SUM(G904,L904)</f>
        <v>1.1962014887898391</v>
      </c>
      <c r="AA904" s="37">
        <v>884</v>
      </c>
      <c r="AB904" s="37">
        <v>1.8975521179894375</v>
      </c>
      <c r="AC904" s="37">
        <v>2.7737377113050465</v>
      </c>
      <c r="AD904" s="37">
        <v>3.4092035501257958</v>
      </c>
    </row>
    <row r="905" spans="2:30" x14ac:dyDescent="0.3">
      <c r="B905" s="28">
        <v>43949</v>
      </c>
      <c r="C905" s="25">
        <v>36.479999999999997</v>
      </c>
      <c r="D905" s="18">
        <f t="shared" si="126"/>
        <v>0.10045242229547968</v>
      </c>
      <c r="E905" s="32">
        <f t="shared" ca="1" si="127"/>
        <v>-7.2118982799551238E-3</v>
      </c>
      <c r="F905" s="18">
        <f t="shared" ca="1" si="128"/>
        <v>57.889475204083915</v>
      </c>
      <c r="G905" s="19">
        <f t="shared" ca="1" si="129"/>
        <v>0.42052579591608463</v>
      </c>
      <c r="H905" s="27">
        <v>49.990001999999997</v>
      </c>
      <c r="I905" s="19">
        <f t="shared" si="130"/>
        <v>2.6910476581758269E-2</v>
      </c>
      <c r="J905" s="19">
        <f t="shared" ca="1" si="131"/>
        <v>2.3464663208298899E-2</v>
      </c>
      <c r="K905" s="19">
        <f t="shared" ca="1" si="132"/>
        <v>85.449062684331551</v>
      </c>
      <c r="L905" s="19">
        <f t="shared" ca="1" si="133"/>
        <v>-1.9590646843315511</v>
      </c>
      <c r="M905" s="19">
        <f t="shared" ca="1" si="134"/>
        <v>-1.5385388884154665</v>
      </c>
      <c r="AA905" s="37">
        <v>885</v>
      </c>
      <c r="AB905" s="37">
        <v>1.7684959611738889</v>
      </c>
      <c r="AC905" s="37">
        <v>2.8289881914985231</v>
      </c>
      <c r="AD905" s="37">
        <v>3.3910785218518931</v>
      </c>
    </row>
    <row r="906" spans="2:30" x14ac:dyDescent="0.3">
      <c r="B906" s="28">
        <v>43950</v>
      </c>
      <c r="C906" s="25">
        <v>34.909999999999997</v>
      </c>
      <c r="D906" s="18">
        <f t="shared" si="126"/>
        <v>-4.3037280701754388E-2</v>
      </c>
      <c r="E906" s="32">
        <f t="shared" ca="1" si="127"/>
        <v>-4.6428857585894698E-2</v>
      </c>
      <c r="F906" s="18">
        <f t="shared" ca="1" si="128"/>
        <v>55.602734267737624</v>
      </c>
      <c r="G906" s="19">
        <f t="shared" ca="1" si="129"/>
        <v>2.7072667322623758</v>
      </c>
      <c r="H906" s="27">
        <v>51.93</v>
      </c>
      <c r="I906" s="19">
        <f t="shared" si="130"/>
        <v>3.8807719991689638E-2</v>
      </c>
      <c r="J906" s="19">
        <f t="shared" ca="1" si="131"/>
        <v>1.2572675604686766E-2</v>
      </c>
      <c r="K906" s="19">
        <f t="shared" ca="1" si="132"/>
        <v>84.539690661089935</v>
      </c>
      <c r="L906" s="19">
        <f t="shared" ca="1" si="133"/>
        <v>-1.0496926610899351</v>
      </c>
      <c r="M906" s="19">
        <f t="shared" ca="1" si="134"/>
        <v>1.6575740711724407</v>
      </c>
      <c r="AA906" s="37">
        <v>886</v>
      </c>
      <c r="AB906" s="37">
        <v>1.7917960897571827</v>
      </c>
      <c r="AC906" s="37">
        <v>2.7360870361543306</v>
      </c>
      <c r="AD906" s="37">
        <v>3.2587833964020909</v>
      </c>
    </row>
    <row r="907" spans="2:30" x14ac:dyDescent="0.3">
      <c r="B907" s="28">
        <v>43951</v>
      </c>
      <c r="C907" s="25">
        <v>35.590000000000003</v>
      </c>
      <c r="D907" s="18">
        <f t="shared" si="126"/>
        <v>1.9478659409911447E-2</v>
      </c>
      <c r="E907" s="32">
        <f t="shared" ca="1" si="127"/>
        <v>1.0193346194636804E-2</v>
      </c>
      <c r="F907" s="18">
        <f t="shared" ca="1" si="128"/>
        <v>58.904375026802619</v>
      </c>
      <c r="G907" s="19">
        <f t="shared" ca="1" si="129"/>
        <v>-0.59437402680261897</v>
      </c>
      <c r="H907" s="27">
        <v>51.400002000000001</v>
      </c>
      <c r="I907" s="19">
        <f t="shared" si="130"/>
        <v>-1.020600808781047E-2</v>
      </c>
      <c r="J907" s="19">
        <f t="shared" ca="1" si="131"/>
        <v>-1.9749465984402893E-2</v>
      </c>
      <c r="K907" s="19">
        <f t="shared" ca="1" si="132"/>
        <v>81.84111512446114</v>
      </c>
      <c r="L907" s="19">
        <f t="shared" ca="1" si="133"/>
        <v>1.6488828755388596</v>
      </c>
      <c r="M907" s="19">
        <f t="shared" ca="1" si="134"/>
        <v>1.0545088487362406</v>
      </c>
      <c r="AA907" s="37">
        <v>887</v>
      </c>
      <c r="AB907" s="37">
        <v>1.7965231280796761</v>
      </c>
      <c r="AC907" s="37">
        <v>2.9175806961718393</v>
      </c>
      <c r="AD907" s="37">
        <v>3.4111850775979828</v>
      </c>
    </row>
    <row r="908" spans="2:30" x14ac:dyDescent="0.3">
      <c r="B908" s="28">
        <v>43955</v>
      </c>
      <c r="C908" s="25">
        <v>36.099997999999999</v>
      </c>
      <c r="D908" s="18">
        <f t="shared" si="126"/>
        <v>1.4329811744872023E-2</v>
      </c>
      <c r="E908" s="32">
        <f t="shared" ca="1" si="127"/>
        <v>-6.9183164816084917E-3</v>
      </c>
      <c r="F908" s="18">
        <f t="shared" ca="1" si="128"/>
        <v>57.906593959039093</v>
      </c>
      <c r="G908" s="19">
        <f t="shared" ca="1" si="129"/>
        <v>0.40340704096090718</v>
      </c>
      <c r="H908" s="27">
        <v>50.959999000000003</v>
      </c>
      <c r="I908" s="19">
        <f t="shared" si="130"/>
        <v>-8.5603693167171091E-3</v>
      </c>
      <c r="J908" s="19">
        <f t="shared" ca="1" si="131"/>
        <v>1.5611326625201177E-2</v>
      </c>
      <c r="K908" s="19">
        <f t="shared" ca="1" si="132"/>
        <v>84.793387628715394</v>
      </c>
      <c r="L908" s="19">
        <f t="shared" ca="1" si="133"/>
        <v>-1.3033896287153937</v>
      </c>
      <c r="M908" s="19">
        <f t="shared" ca="1" si="134"/>
        <v>-0.89998258775448647</v>
      </c>
      <c r="AA908" s="37">
        <v>888</v>
      </c>
      <c r="AB908" s="37">
        <v>1.678295692267384</v>
      </c>
      <c r="AC908" s="37">
        <v>2.9130222199228166</v>
      </c>
      <c r="AD908" s="37">
        <v>3.3381205418054236</v>
      </c>
    </row>
    <row r="909" spans="2:30" x14ac:dyDescent="0.3">
      <c r="B909" s="28">
        <v>43956</v>
      </c>
      <c r="C909" s="25">
        <v>35.68</v>
      </c>
      <c r="D909" s="18">
        <f t="shared" si="126"/>
        <v>-1.163429427336804E-2</v>
      </c>
      <c r="E909" s="32">
        <f t="shared" ca="1" si="127"/>
        <v>3.3259127028069688E-3</v>
      </c>
      <c r="F909" s="18">
        <f t="shared" ca="1" si="128"/>
        <v>58.503934973026581</v>
      </c>
      <c r="G909" s="19">
        <f t="shared" ca="1" si="129"/>
        <v>-0.19393397302658144</v>
      </c>
      <c r="H909" s="27">
        <v>51.040000999999997</v>
      </c>
      <c r="I909" s="19">
        <f t="shared" si="130"/>
        <v>1.5698979899900767E-3</v>
      </c>
      <c r="J909" s="19">
        <f t="shared" ca="1" si="131"/>
        <v>-2.1148034072448574E-2</v>
      </c>
      <c r="K909" s="19">
        <f t="shared" ca="1" si="132"/>
        <v>81.724348677587329</v>
      </c>
      <c r="L909" s="19">
        <f t="shared" ca="1" si="133"/>
        <v>1.7656493224126706</v>
      </c>
      <c r="M909" s="19">
        <f t="shared" ca="1" si="134"/>
        <v>1.5717153493860891</v>
      </c>
      <c r="AA909" s="37">
        <v>889</v>
      </c>
      <c r="AB909" s="37">
        <v>1.7566744065631803</v>
      </c>
      <c r="AC909" s="37">
        <v>2.8064007167013814</v>
      </c>
      <c r="AD909" s="37">
        <v>3.4541862876596223</v>
      </c>
    </row>
    <row r="910" spans="2:30" x14ac:dyDescent="0.3">
      <c r="B910" s="28">
        <v>43957</v>
      </c>
      <c r="C910" s="25">
        <v>34.950001</v>
      </c>
      <c r="D910" s="18">
        <f t="shared" si="126"/>
        <v>-2.0459613228699491E-2</v>
      </c>
      <c r="E910" s="32">
        <f t="shared" ca="1" si="127"/>
        <v>-7.2638121940229363E-3</v>
      </c>
      <c r="F910" s="18">
        <f t="shared" ca="1" si="128"/>
        <v>57.886448103702712</v>
      </c>
      <c r="G910" s="19">
        <f t="shared" ca="1" si="129"/>
        <v>0.42355289629728787</v>
      </c>
      <c r="H910" s="27">
        <v>51.990001999999997</v>
      </c>
      <c r="I910" s="19">
        <f t="shared" si="130"/>
        <v>1.8612871892381033E-2</v>
      </c>
      <c r="J910" s="19">
        <f t="shared" ca="1" si="131"/>
        <v>-3.9083465925782976E-2</v>
      </c>
      <c r="K910" s="19">
        <f t="shared" ca="1" si="132"/>
        <v>80.226919508023315</v>
      </c>
      <c r="L910" s="19">
        <f t="shared" ca="1" si="133"/>
        <v>3.2630784919766853</v>
      </c>
      <c r="M910" s="19">
        <f t="shared" ca="1" si="134"/>
        <v>3.6866313882739732</v>
      </c>
      <c r="AA910" s="37">
        <v>890</v>
      </c>
      <c r="AB910" s="37">
        <v>1.8244097507588251</v>
      </c>
      <c r="AC910" s="37">
        <v>2.8815927844236859</v>
      </c>
      <c r="AD910" s="37">
        <v>3.2781156088313881</v>
      </c>
    </row>
    <row r="911" spans="2:30" x14ac:dyDescent="0.3">
      <c r="B911" s="28">
        <v>43958</v>
      </c>
      <c r="C911" s="25">
        <v>34.869999</v>
      </c>
      <c r="D911" s="18">
        <f t="shared" si="126"/>
        <v>-2.289041422344984E-3</v>
      </c>
      <c r="E911" s="32">
        <f t="shared" ca="1" si="127"/>
        <v>-8.6675464169538776E-3</v>
      </c>
      <c r="F911" s="18">
        <f t="shared" ca="1" si="128"/>
        <v>57.80459635975987</v>
      </c>
      <c r="G911" s="19">
        <f t="shared" ca="1" si="129"/>
        <v>0.50540464024012977</v>
      </c>
      <c r="H911" s="27">
        <v>52</v>
      </c>
      <c r="I911" s="19">
        <f t="shared" si="130"/>
        <v>1.923062053355018E-4</v>
      </c>
      <c r="J911" s="19">
        <f t="shared" ca="1" si="131"/>
        <v>-4.0884375144529167E-2</v>
      </c>
      <c r="K911" s="19">
        <f t="shared" ca="1" si="132"/>
        <v>80.076561600952019</v>
      </c>
      <c r="L911" s="19">
        <f t="shared" ca="1" si="133"/>
        <v>3.4134363990479812</v>
      </c>
      <c r="M911" s="19">
        <f t="shared" ca="1" si="134"/>
        <v>3.918841039288111</v>
      </c>
      <c r="AA911" s="37">
        <v>891</v>
      </c>
      <c r="AB911" s="37">
        <v>1.6421502444195664</v>
      </c>
      <c r="AC911" s="37">
        <v>2.8816329130421385</v>
      </c>
      <c r="AD911" s="37">
        <v>3.4810674566770348</v>
      </c>
    </row>
    <row r="912" spans="2:30" x14ac:dyDescent="0.3">
      <c r="B912" s="28">
        <v>43959</v>
      </c>
      <c r="C912" s="25">
        <v>34.5</v>
      </c>
      <c r="D912" s="18">
        <f t="shared" si="126"/>
        <v>-1.0610811890186755E-2</v>
      </c>
      <c r="E912" s="32">
        <f t="shared" ca="1" si="127"/>
        <v>-5.7883168710520256E-3</v>
      </c>
      <c r="F912" s="18">
        <f t="shared" ca="1" si="128"/>
        <v>57.972484237460634</v>
      </c>
      <c r="G912" s="19">
        <f t="shared" ca="1" si="129"/>
        <v>0.3375167625393658</v>
      </c>
      <c r="H912" s="27">
        <v>52.91</v>
      </c>
      <c r="I912" s="19">
        <f t="shared" si="130"/>
        <v>1.7499999999999849E-2</v>
      </c>
      <c r="J912" s="19">
        <f t="shared" ca="1" si="131"/>
        <v>1.5599454152818661E-2</v>
      </c>
      <c r="K912" s="19">
        <f t="shared" ca="1" si="132"/>
        <v>84.79239639601991</v>
      </c>
      <c r="L912" s="19">
        <f t="shared" ca="1" si="133"/>
        <v>-1.3023983960199104</v>
      </c>
      <c r="M912" s="19">
        <f t="shared" ca="1" si="134"/>
        <v>-0.96488163348054456</v>
      </c>
      <c r="AA912" s="37">
        <v>892</v>
      </c>
      <c r="AB912" s="37">
        <v>1.7998870195772334</v>
      </c>
      <c r="AC912" s="37">
        <v>2.8120325502947208</v>
      </c>
      <c r="AD912" s="37">
        <v>3.5766399651921588</v>
      </c>
    </row>
    <row r="913" spans="2:30" x14ac:dyDescent="0.3">
      <c r="B913" s="28">
        <v>43962</v>
      </c>
      <c r="C913" s="25">
        <v>36.330002</v>
      </c>
      <c r="D913" s="18">
        <f t="shared" si="126"/>
        <v>5.3043536231883959E-2</v>
      </c>
      <c r="E913" s="32">
        <f t="shared" ca="1" si="127"/>
        <v>-6.3666645583352948E-3</v>
      </c>
      <c r="F913" s="18">
        <f t="shared" ca="1" si="128"/>
        <v>57.938760783236802</v>
      </c>
      <c r="G913" s="19">
        <f t="shared" ca="1" si="129"/>
        <v>0.37124021676319785</v>
      </c>
      <c r="H913" s="27">
        <v>52.18</v>
      </c>
      <c r="I913" s="19">
        <f t="shared" si="130"/>
        <v>-1.3797013797013702E-2</v>
      </c>
      <c r="J913" s="19">
        <f t="shared" ca="1" si="131"/>
        <v>-1.1507851952184771E-2</v>
      </c>
      <c r="K913" s="19">
        <f t="shared" ca="1" si="132"/>
        <v>82.529207463527797</v>
      </c>
      <c r="L913" s="19">
        <f t="shared" ca="1" si="133"/>
        <v>0.96079053647220292</v>
      </c>
      <c r="M913" s="19">
        <f t="shared" ca="1" si="134"/>
        <v>1.3320307532354008</v>
      </c>
      <c r="AA913" s="37">
        <v>893</v>
      </c>
      <c r="AB913" s="37">
        <v>1.7527307180581704</v>
      </c>
      <c r="AC913" s="37">
        <v>2.6766963995970086</v>
      </c>
      <c r="AD913" s="37">
        <v>3.2609133174595644</v>
      </c>
    </row>
    <row r="914" spans="2:30" x14ac:dyDescent="0.3">
      <c r="B914" s="28">
        <v>43963</v>
      </c>
      <c r="C914" s="25">
        <v>37.110000999999997</v>
      </c>
      <c r="D914" s="18">
        <f t="shared" si="126"/>
        <v>2.1469830912753451E-2</v>
      </c>
      <c r="E914" s="32">
        <f t="shared" ca="1" si="127"/>
        <v>2.8916001912399483E-2</v>
      </c>
      <c r="F914" s="18">
        <f t="shared" ca="1" si="128"/>
        <v>59.99609310042802</v>
      </c>
      <c r="G914" s="19">
        <f t="shared" ca="1" si="129"/>
        <v>-1.68609210042802</v>
      </c>
      <c r="H914" s="27">
        <v>51.779998999999997</v>
      </c>
      <c r="I914" s="19">
        <f t="shared" si="130"/>
        <v>-7.6657914909927793E-3</v>
      </c>
      <c r="J914" s="19">
        <f t="shared" ca="1" si="131"/>
        <v>-7.4287331741872782E-3</v>
      </c>
      <c r="K914" s="19">
        <f t="shared" ca="1" si="132"/>
        <v>82.869773082144576</v>
      </c>
      <c r="L914" s="19">
        <f t="shared" ca="1" si="133"/>
        <v>0.620224917855424</v>
      </c>
      <c r="M914" s="19">
        <f t="shared" ca="1" si="134"/>
        <v>-1.0658671825725961</v>
      </c>
      <c r="AA914" s="37">
        <v>894</v>
      </c>
      <c r="AB914" s="37">
        <v>1.9126874202018362</v>
      </c>
      <c r="AC914" s="37">
        <v>2.8465630241519007</v>
      </c>
      <c r="AD914" s="37">
        <v>3.5935704404912752</v>
      </c>
    </row>
    <row r="915" spans="2:30" x14ac:dyDescent="0.3">
      <c r="B915" s="28">
        <v>43964</v>
      </c>
      <c r="C915" s="25">
        <v>36.610000999999997</v>
      </c>
      <c r="D915" s="18">
        <f t="shared" si="126"/>
        <v>-1.3473456926072269E-2</v>
      </c>
      <c r="E915" s="32">
        <f t="shared" ca="1" si="127"/>
        <v>-1.1213618105814461E-2</v>
      </c>
      <c r="F915" s="18">
        <f t="shared" ca="1" si="128"/>
        <v>57.65613491703634</v>
      </c>
      <c r="G915" s="19">
        <f t="shared" ca="1" si="129"/>
        <v>0.65386608296365978</v>
      </c>
      <c r="H915" s="27">
        <v>48.970001000000003</v>
      </c>
      <c r="I915" s="19">
        <f t="shared" si="130"/>
        <v>-5.4268019588026517E-2</v>
      </c>
      <c r="J915" s="19">
        <f t="shared" ca="1" si="131"/>
        <v>1.3969576249137292E-2</v>
      </c>
      <c r="K915" s="19">
        <f t="shared" ca="1" si="132"/>
        <v>84.656317893101317</v>
      </c>
      <c r="L915" s="19">
        <f t="shared" ca="1" si="133"/>
        <v>-1.166319893101317</v>
      </c>
      <c r="M915" s="19">
        <f t="shared" ca="1" si="134"/>
        <v>-0.51245381013765723</v>
      </c>
      <c r="AA915" s="37">
        <v>895</v>
      </c>
      <c r="AB915" s="37">
        <v>1.9614834926833733</v>
      </c>
      <c r="AC915" s="37">
        <v>2.932724246422306</v>
      </c>
      <c r="AD915" s="37">
        <v>3.3027282639341529</v>
      </c>
    </row>
    <row r="916" spans="2:30" x14ac:dyDescent="0.3">
      <c r="B916" s="28">
        <v>43965</v>
      </c>
      <c r="C916" s="25">
        <v>35.669998</v>
      </c>
      <c r="D916" s="18">
        <f t="shared" si="126"/>
        <v>-2.5676126039985592E-2</v>
      </c>
      <c r="E916" s="32">
        <f t="shared" ca="1" si="127"/>
        <v>2.4490684038417122E-2</v>
      </c>
      <c r="F916" s="18">
        <f t="shared" ca="1" si="128"/>
        <v>59.738052810770789</v>
      </c>
      <c r="G916" s="19">
        <f t="shared" ca="1" si="129"/>
        <v>-1.4280518107707891</v>
      </c>
      <c r="H916" s="27">
        <v>48.52</v>
      </c>
      <c r="I916" s="19">
        <f t="shared" si="130"/>
        <v>-9.1893198041796964E-3</v>
      </c>
      <c r="J916" s="19">
        <f t="shared" ca="1" si="131"/>
        <v>-1.8880033170572925E-2</v>
      </c>
      <c r="K916" s="19">
        <f t="shared" ca="1" si="132"/>
        <v>81.913704068348935</v>
      </c>
      <c r="L916" s="19">
        <f t="shared" ca="1" si="133"/>
        <v>1.5762939316510653</v>
      </c>
      <c r="M916" s="19">
        <f t="shared" ca="1" si="134"/>
        <v>0.14824212088027622</v>
      </c>
      <c r="AA916" s="37">
        <v>896</v>
      </c>
      <c r="AB916" s="37">
        <v>1.7784899315192213</v>
      </c>
      <c r="AC916" s="37">
        <v>2.6991545573142823</v>
      </c>
      <c r="AD916" s="37">
        <v>3.3065929498199296</v>
      </c>
    </row>
    <row r="917" spans="2:30" x14ac:dyDescent="0.3">
      <c r="B917" s="28">
        <v>43966</v>
      </c>
      <c r="C917" s="25">
        <v>35.599997999999999</v>
      </c>
      <c r="D917" s="18">
        <f t="shared" si="126"/>
        <v>-1.9624335274703864E-3</v>
      </c>
      <c r="E917" s="32">
        <f t="shared" ca="1" si="127"/>
        <v>-2.4881552277635308E-2</v>
      </c>
      <c r="F917" s="18">
        <f t="shared" ca="1" si="128"/>
        <v>56.859157661809533</v>
      </c>
      <c r="G917" s="19">
        <f t="shared" ca="1" si="129"/>
        <v>1.4508433381904666</v>
      </c>
      <c r="H917" s="27">
        <v>48.380001</v>
      </c>
      <c r="I917" s="19">
        <f t="shared" si="130"/>
        <v>-2.8853874690849546E-3</v>
      </c>
      <c r="J917" s="19">
        <f t="shared" ca="1" si="131"/>
        <v>1.605964128306148E-2</v>
      </c>
      <c r="K917" s="19">
        <f t="shared" ca="1" si="132"/>
        <v>84.83081741860353</v>
      </c>
      <c r="L917" s="19">
        <f t="shared" ca="1" si="133"/>
        <v>-1.3408194186035303</v>
      </c>
      <c r="M917" s="19">
        <f t="shared" ca="1" si="134"/>
        <v>0.11002391958693636</v>
      </c>
      <c r="AA917" s="37">
        <v>897</v>
      </c>
      <c r="AB917" s="37">
        <v>1.7516762778893364</v>
      </c>
      <c r="AC917" s="37">
        <v>2.7257867879416544</v>
      </c>
      <c r="AD917" s="37">
        <v>3.3962338089516608</v>
      </c>
    </row>
    <row r="918" spans="2:30" x14ac:dyDescent="0.3">
      <c r="B918" s="28">
        <v>43969</v>
      </c>
      <c r="C918" s="25">
        <v>37</v>
      </c>
      <c r="D918" s="18">
        <f t="shared" si="126"/>
        <v>3.9325901085724757E-2</v>
      </c>
      <c r="E918" s="32">
        <f t="shared" ca="1" si="127"/>
        <v>1.8915441174855194E-2</v>
      </c>
      <c r="F918" s="18">
        <f t="shared" ca="1" si="128"/>
        <v>59.412960393821244</v>
      </c>
      <c r="G918" s="19">
        <f t="shared" ca="1" si="129"/>
        <v>-1.1029593938212443</v>
      </c>
      <c r="H918" s="27">
        <v>50.400002000000001</v>
      </c>
      <c r="I918" s="19">
        <f t="shared" si="130"/>
        <v>4.175281021594035E-2</v>
      </c>
      <c r="J918" s="19">
        <f t="shared" ca="1" si="131"/>
        <v>4.1420726070172413E-3</v>
      </c>
      <c r="K918" s="19">
        <f t="shared" ca="1" si="132"/>
        <v>83.835819633675712</v>
      </c>
      <c r="L918" s="19">
        <f t="shared" ca="1" si="133"/>
        <v>-0.34582163367571184</v>
      </c>
      <c r="M918" s="19">
        <f t="shared" ca="1" si="134"/>
        <v>-1.4487810274969561</v>
      </c>
      <c r="AA918" s="37">
        <v>898</v>
      </c>
      <c r="AB918" s="37">
        <v>1.7834916913907672</v>
      </c>
      <c r="AC918" s="37">
        <v>2.6906619606352034</v>
      </c>
      <c r="AD918" s="37">
        <v>3.268948485878965</v>
      </c>
    </row>
    <row r="919" spans="2:30" x14ac:dyDescent="0.3">
      <c r="B919" s="28">
        <v>43970</v>
      </c>
      <c r="C919" s="25">
        <v>35.990001999999997</v>
      </c>
      <c r="D919" s="18">
        <f t="shared" si="126"/>
        <v>-2.7297243243243341E-2</v>
      </c>
      <c r="E919" s="32">
        <f t="shared" ca="1" si="127"/>
        <v>-3.5813780165019674E-3</v>
      </c>
      <c r="F919" s="18">
        <f t="shared" ca="1" si="128"/>
        <v>58.101170844276396</v>
      </c>
      <c r="G919" s="19">
        <f t="shared" ca="1" si="129"/>
        <v>0.20883015572360364</v>
      </c>
      <c r="H919" s="27">
        <v>49.73</v>
      </c>
      <c r="I919" s="19">
        <f t="shared" si="130"/>
        <v>-1.3293689948663201E-2</v>
      </c>
      <c r="J919" s="19">
        <f t="shared" ca="1" si="131"/>
        <v>-1.8215046893530384E-2</v>
      </c>
      <c r="K919" s="19">
        <f t="shared" ca="1" si="132"/>
        <v>81.969223771289236</v>
      </c>
      <c r="L919" s="19">
        <f t="shared" ca="1" si="133"/>
        <v>1.5207742287107635</v>
      </c>
      <c r="M919" s="19">
        <f t="shared" ca="1" si="134"/>
        <v>1.7296043844343671</v>
      </c>
      <c r="AA919" s="37">
        <v>899</v>
      </c>
      <c r="AB919" s="37">
        <v>1.8245201450840915</v>
      </c>
      <c r="AC919" s="37">
        <v>2.6903199793160804</v>
      </c>
      <c r="AD919" s="37">
        <v>3.2691338219690884</v>
      </c>
    </row>
    <row r="920" spans="2:30" x14ac:dyDescent="0.3">
      <c r="B920" s="28">
        <v>43971</v>
      </c>
      <c r="C920" s="25">
        <v>35.880001</v>
      </c>
      <c r="D920" s="18">
        <f t="shared" si="126"/>
        <v>-3.0564321724682042E-3</v>
      </c>
      <c r="E920" s="32">
        <f t="shared" ca="1" si="127"/>
        <v>-2.5388567402769183E-2</v>
      </c>
      <c r="F920" s="18">
        <f t="shared" ca="1" si="128"/>
        <v>56.82959360935596</v>
      </c>
      <c r="G920" s="19">
        <f t="shared" ca="1" si="129"/>
        <v>1.4804073906440394</v>
      </c>
      <c r="H920" s="27">
        <v>50.650002000000001</v>
      </c>
      <c r="I920" s="19">
        <f t="shared" si="130"/>
        <v>1.8499939674240906E-2</v>
      </c>
      <c r="J920" s="19">
        <f t="shared" ca="1" si="131"/>
        <v>-2.2742343261374347E-3</v>
      </c>
      <c r="K920" s="19">
        <f t="shared" ca="1" si="132"/>
        <v>83.300122180659258</v>
      </c>
      <c r="L920" s="19">
        <f t="shared" ca="1" si="133"/>
        <v>0.18987581934074171</v>
      </c>
      <c r="M920" s="19">
        <f t="shared" ca="1" si="134"/>
        <v>1.6702832099847811</v>
      </c>
      <c r="AA920" s="37">
        <v>900</v>
      </c>
      <c r="AB920" s="37">
        <v>1.7342084914043303</v>
      </c>
      <c r="AC920" s="37">
        <v>2.8148660448405698</v>
      </c>
      <c r="AD920" s="37">
        <v>3.3805141765556646</v>
      </c>
    </row>
    <row r="921" spans="2:30" x14ac:dyDescent="0.3">
      <c r="B921" s="28">
        <v>43972</v>
      </c>
      <c r="C921" s="25">
        <v>35.689999</v>
      </c>
      <c r="D921" s="18">
        <f t="shared" si="126"/>
        <v>-5.2954848022439549E-3</v>
      </c>
      <c r="E921" s="32">
        <f t="shared" ca="1" si="127"/>
        <v>2.687971835144053E-2</v>
      </c>
      <c r="F921" s="18">
        <f t="shared" ca="1" si="128"/>
        <v>59.87735740395221</v>
      </c>
      <c r="G921" s="19">
        <f t="shared" ca="1" si="129"/>
        <v>-1.5673564039522105</v>
      </c>
      <c r="H921" s="27">
        <v>50.68</v>
      </c>
      <c r="I921" s="19">
        <f t="shared" si="130"/>
        <v>5.9226058865702313E-4</v>
      </c>
      <c r="J921" s="19">
        <f t="shared" ca="1" si="131"/>
        <v>1.9843626165713633E-2</v>
      </c>
      <c r="K921" s="19">
        <f t="shared" ca="1" si="132"/>
        <v>85.146742308888179</v>
      </c>
      <c r="L921" s="19">
        <f t="shared" ca="1" si="133"/>
        <v>-1.6567443088881788</v>
      </c>
      <c r="M921" s="19">
        <f t="shared" ca="1" si="134"/>
        <v>-3.2241007128403893</v>
      </c>
      <c r="AA921" s="37">
        <v>901</v>
      </c>
      <c r="AB921" s="37">
        <v>1.7878264772478847</v>
      </c>
      <c r="AC921" s="37">
        <v>2.8783913574462945</v>
      </c>
      <c r="AD921" s="37">
        <v>3.5745451745736685</v>
      </c>
    </row>
    <row r="922" spans="2:30" x14ac:dyDescent="0.3">
      <c r="B922" s="28">
        <v>43973</v>
      </c>
      <c r="C922" s="25">
        <v>35.540000999999997</v>
      </c>
      <c r="D922" s="18">
        <f t="shared" si="126"/>
        <v>-4.2028020230542307E-3</v>
      </c>
      <c r="E922" s="32">
        <f t="shared" ca="1" si="127"/>
        <v>-1.2081010552827011E-2</v>
      </c>
      <c r="F922" s="18">
        <f t="shared" ca="1" si="128"/>
        <v>57.605557262583645</v>
      </c>
      <c r="G922" s="19">
        <f t="shared" ca="1" si="129"/>
        <v>0.70444373741635502</v>
      </c>
      <c r="H922" s="27">
        <v>50.509998000000003</v>
      </c>
      <c r="I922" s="19">
        <f t="shared" si="130"/>
        <v>-3.3544198895026911E-3</v>
      </c>
      <c r="J922" s="19">
        <f t="shared" ca="1" si="131"/>
        <v>-3.675099220896004E-3</v>
      </c>
      <c r="K922" s="19">
        <f t="shared" ca="1" si="132"/>
        <v>83.183163973397583</v>
      </c>
      <c r="L922" s="19">
        <f t="shared" ca="1" si="133"/>
        <v>0.30683402660241654</v>
      </c>
      <c r="M922" s="19">
        <f t="shared" ca="1" si="134"/>
        <v>1.0112777640187716</v>
      </c>
      <c r="AA922" s="37">
        <v>902</v>
      </c>
      <c r="AB922" s="37">
        <v>1.8411441238877841</v>
      </c>
      <c r="AC922" s="37">
        <v>2.8141021824157249</v>
      </c>
      <c r="AD922" s="37">
        <v>3.5695856869826312</v>
      </c>
    </row>
    <row r="923" spans="2:30" x14ac:dyDescent="0.3">
      <c r="B923" s="28">
        <v>43976</v>
      </c>
      <c r="C923" s="25">
        <v>35.259998000000003</v>
      </c>
      <c r="D923" s="18">
        <f t="shared" si="126"/>
        <v>-7.8785310107333251E-3</v>
      </c>
      <c r="E923" s="32">
        <f t="shared" ca="1" si="127"/>
        <v>-2.5361333868731982E-2</v>
      </c>
      <c r="F923" s="18">
        <f t="shared" ca="1" si="128"/>
        <v>56.831181596752906</v>
      </c>
      <c r="G923" s="19">
        <f t="shared" ca="1" si="129"/>
        <v>1.478819403247094</v>
      </c>
      <c r="H923" s="27">
        <v>49.790000999999997</v>
      </c>
      <c r="I923" s="19">
        <f t="shared" si="130"/>
        <v>-1.4254544219146625E-2</v>
      </c>
      <c r="J923" s="19">
        <f t="shared" ca="1" si="131"/>
        <v>4.3041009571859093E-2</v>
      </c>
      <c r="K923" s="19">
        <f t="shared" ca="1" si="132"/>
        <v>87.083491803072505</v>
      </c>
      <c r="L923" s="19">
        <f t="shared" ca="1" si="133"/>
        <v>-3.593493803072505</v>
      </c>
      <c r="M923" s="19">
        <f t="shared" ca="1" si="134"/>
        <v>-2.1146743998254109</v>
      </c>
      <c r="AA923" s="37">
        <v>903</v>
      </c>
      <c r="AB923" s="37">
        <v>1.7345583010599461</v>
      </c>
      <c r="AC923" s="37">
        <v>2.9790696154773775</v>
      </c>
      <c r="AD923" s="37">
        <v>3.2584610008181714</v>
      </c>
    </row>
    <row r="924" spans="2:30" x14ac:dyDescent="0.3">
      <c r="B924" s="28">
        <v>43977</v>
      </c>
      <c r="C924" s="25">
        <v>35.830002</v>
      </c>
      <c r="D924" s="18">
        <f t="shared" si="126"/>
        <v>1.61657411324867E-2</v>
      </c>
      <c r="E924" s="32">
        <f t="shared" ca="1" si="127"/>
        <v>-8.7847375602512451E-4</v>
      </c>
      <c r="F924" s="18">
        <f t="shared" ca="1" si="128"/>
        <v>58.258777194407699</v>
      </c>
      <c r="G924" s="19">
        <f t="shared" ca="1" si="129"/>
        <v>5.1223805592300664E-2</v>
      </c>
      <c r="H924" s="27">
        <v>49</v>
      </c>
      <c r="I924" s="19">
        <f t="shared" si="130"/>
        <v>-1.5866659653210213E-2</v>
      </c>
      <c r="J924" s="19">
        <f t="shared" ca="1" si="131"/>
        <v>5.0060179394046398E-3</v>
      </c>
      <c r="K924" s="19">
        <f t="shared" ca="1" si="132"/>
        <v>83.907950427748858</v>
      </c>
      <c r="L924" s="19">
        <f t="shared" ca="1" si="133"/>
        <v>-0.41795242774885821</v>
      </c>
      <c r="M924" s="19">
        <f t="shared" ca="1" si="134"/>
        <v>-0.36672862215655755</v>
      </c>
      <c r="AA924" s="37">
        <v>904</v>
      </c>
      <c r="AB924" s="37">
        <v>1.7220905827899888</v>
      </c>
      <c r="AC924" s="37">
        <v>2.983221699520791</v>
      </c>
      <c r="AD924" s="37">
        <v>3.1355118199840546</v>
      </c>
    </row>
    <row r="925" spans="2:30" x14ac:dyDescent="0.3">
      <c r="B925" s="28">
        <v>43978</v>
      </c>
      <c r="C925" s="25">
        <v>36.029998999999997</v>
      </c>
      <c r="D925" s="18">
        <f t="shared" si="126"/>
        <v>5.5818305564145909E-3</v>
      </c>
      <c r="E925" s="32">
        <f t="shared" ca="1" si="127"/>
        <v>4.6365190149313448E-3</v>
      </c>
      <c r="F925" s="18">
        <f t="shared" ca="1" si="128"/>
        <v>58.580356428397167</v>
      </c>
      <c r="G925" s="19">
        <f t="shared" ca="1" si="129"/>
        <v>-0.27035542839716697</v>
      </c>
      <c r="H925" s="27">
        <v>49.5</v>
      </c>
      <c r="I925" s="19">
        <f t="shared" si="130"/>
        <v>1.0204081632652962E-2</v>
      </c>
      <c r="J925" s="19">
        <f t="shared" ca="1" si="131"/>
        <v>3.0865533871009883E-2</v>
      </c>
      <c r="K925" s="19">
        <f t="shared" ca="1" si="132"/>
        <v>86.066961361159557</v>
      </c>
      <c r="L925" s="19">
        <f t="shared" ca="1" si="133"/>
        <v>-2.5769633611595566</v>
      </c>
      <c r="M925" s="19">
        <f t="shared" ca="1" si="134"/>
        <v>-2.8473187895567236</v>
      </c>
      <c r="AA925" s="37">
        <v>905</v>
      </c>
      <c r="AB925" s="37">
        <v>1.779426937331122</v>
      </c>
      <c r="AC925" s="37">
        <v>2.7734962815048845</v>
      </c>
      <c r="AD925" s="37">
        <v>3.3095008909361248</v>
      </c>
    </row>
    <row r="926" spans="2:30" x14ac:dyDescent="0.3">
      <c r="B926" s="28">
        <v>43979</v>
      </c>
      <c r="C926" s="25">
        <v>35.130001</v>
      </c>
      <c r="D926" s="18">
        <f t="shared" si="126"/>
        <v>-2.4979129197311267E-2</v>
      </c>
      <c r="E926" s="32">
        <f t="shared" ca="1" si="127"/>
        <v>1.2327346762347506E-2</v>
      </c>
      <c r="F926" s="18">
        <f t="shared" ca="1" si="128"/>
        <v>59.028808602039831</v>
      </c>
      <c r="G926" s="19">
        <f t="shared" ca="1" si="129"/>
        <v>-0.71880760203983129</v>
      </c>
      <c r="H926" s="27">
        <v>49.130001</v>
      </c>
      <c r="I926" s="19">
        <f t="shared" si="130"/>
        <v>-7.474727272727244E-3</v>
      </c>
      <c r="J926" s="19">
        <f t="shared" ca="1" si="131"/>
        <v>2.0044227654810562E-3</v>
      </c>
      <c r="K926" s="19">
        <f t="shared" ca="1" si="132"/>
        <v>83.657347252681163</v>
      </c>
      <c r="L926" s="19">
        <f t="shared" ca="1" si="133"/>
        <v>-0.16734925268116285</v>
      </c>
      <c r="M926" s="19">
        <f t="shared" ca="1" si="134"/>
        <v>-0.88615685472099415</v>
      </c>
      <c r="AA926" s="37">
        <v>906</v>
      </c>
      <c r="AB926" s="37">
        <v>1.8715713573089729</v>
      </c>
      <c r="AC926" s="37">
        <v>2.8217699682295359</v>
      </c>
      <c r="AD926" s="37">
        <v>3.3942648204682588</v>
      </c>
    </row>
    <row r="927" spans="2:30" x14ac:dyDescent="0.3">
      <c r="B927" s="28">
        <v>43980</v>
      </c>
      <c r="C927" s="25">
        <v>34.669998</v>
      </c>
      <c r="D927" s="18">
        <f t="shared" si="126"/>
        <v>-1.3094306487494878E-2</v>
      </c>
      <c r="E927" s="32">
        <f t="shared" ca="1" si="127"/>
        <v>1.3384560862262874E-2</v>
      </c>
      <c r="F927" s="18">
        <f t="shared" ca="1" si="128"/>
        <v>59.09045475726311</v>
      </c>
      <c r="G927" s="19">
        <f t="shared" ca="1" si="129"/>
        <v>-0.7804537572631105</v>
      </c>
      <c r="H927" s="27">
        <v>47.48</v>
      </c>
      <c r="I927" s="19">
        <f t="shared" si="130"/>
        <v>-3.3584387673837091E-2</v>
      </c>
      <c r="J927" s="19">
        <f t="shared" ca="1" si="131"/>
        <v>-9.483490406130949E-3</v>
      </c>
      <c r="K927" s="19">
        <f t="shared" ca="1" si="132"/>
        <v>82.698221404959114</v>
      </c>
      <c r="L927" s="19">
        <f t="shared" ca="1" si="133"/>
        <v>0.79177659504088638</v>
      </c>
      <c r="M927" s="19">
        <f t="shared" ca="1" si="134"/>
        <v>1.1322837777775874E-2</v>
      </c>
      <c r="AA927" s="37">
        <v>907</v>
      </c>
      <c r="AB927" s="37">
        <v>1.8813977723968676</v>
      </c>
      <c r="AC927" s="37">
        <v>2.9133815678025825</v>
      </c>
      <c r="AD927" s="37">
        <v>3.1053426742413266</v>
      </c>
    </row>
    <row r="928" spans="2:30" x14ac:dyDescent="0.3">
      <c r="B928" s="28">
        <v>43983</v>
      </c>
      <c r="C928" s="25">
        <v>36.389999000000003</v>
      </c>
      <c r="D928" s="18">
        <f t="shared" si="126"/>
        <v>4.9610646069261577E-2</v>
      </c>
      <c r="E928" s="32">
        <f t="shared" ca="1" si="127"/>
        <v>3.6456025251287036E-2</v>
      </c>
      <c r="F928" s="18">
        <f t="shared" ca="1" si="128"/>
        <v>60.435751868858574</v>
      </c>
      <c r="G928" s="19">
        <f t="shared" ca="1" si="129"/>
        <v>-2.1257508688585744</v>
      </c>
      <c r="H928" s="27">
        <v>49.84</v>
      </c>
      <c r="I928" s="19">
        <f t="shared" si="130"/>
        <v>4.9705139005897347E-2</v>
      </c>
      <c r="J928" s="19">
        <f t="shared" ca="1" si="131"/>
        <v>-2.0631152633407594E-2</v>
      </c>
      <c r="K928" s="19">
        <f t="shared" ca="1" si="132"/>
        <v>81.767503107899103</v>
      </c>
      <c r="L928" s="19">
        <f t="shared" ca="1" si="133"/>
        <v>1.7224948921008973</v>
      </c>
      <c r="M928" s="19">
        <f t="shared" ca="1" si="134"/>
        <v>-0.4032559767576771</v>
      </c>
      <c r="AA928" s="37">
        <v>908</v>
      </c>
      <c r="AB928" s="37">
        <v>1.8119753719089122</v>
      </c>
      <c r="AC928" s="37">
        <v>3.0213459398626616</v>
      </c>
      <c r="AD928" s="37">
        <v>3.288165639276702</v>
      </c>
    </row>
    <row r="929" spans="2:30" x14ac:dyDescent="0.3">
      <c r="B929" s="28">
        <v>43984</v>
      </c>
      <c r="C929" s="25">
        <v>37.040000999999997</v>
      </c>
      <c r="D929" s="18">
        <f t="shared" si="126"/>
        <v>1.786210546474587E-2</v>
      </c>
      <c r="E929" s="32">
        <f t="shared" ca="1" si="127"/>
        <v>-3.5779714083300787E-2</v>
      </c>
      <c r="F929" s="18">
        <f t="shared" ca="1" si="128"/>
        <v>56.223685836023016</v>
      </c>
      <c r="G929" s="19">
        <f t="shared" ca="1" si="129"/>
        <v>2.0863151639769839</v>
      </c>
      <c r="H929" s="27">
        <v>51.209999000000003</v>
      </c>
      <c r="I929" s="19">
        <f t="shared" si="130"/>
        <v>2.7487941412519978E-2</v>
      </c>
      <c r="J929" s="19">
        <f t="shared" ca="1" si="131"/>
        <v>-3.0283833936855351E-3</v>
      </c>
      <c r="K929" s="19">
        <f t="shared" ca="1" si="132"/>
        <v>83.23715827651796</v>
      </c>
      <c r="L929" s="19">
        <f t="shared" ca="1" si="133"/>
        <v>0.25283972348204031</v>
      </c>
      <c r="M929" s="19">
        <f t="shared" ca="1" si="134"/>
        <v>2.3391548874590242</v>
      </c>
      <c r="AA929" s="37">
        <v>909</v>
      </c>
      <c r="AB929" s="37">
        <v>1.873574314540758</v>
      </c>
      <c r="AC929" s="37">
        <v>2.6389797860028508</v>
      </c>
      <c r="AD929" s="37">
        <v>3.1573528489040759</v>
      </c>
    </row>
    <row r="930" spans="2:30" x14ac:dyDescent="0.3">
      <c r="B930" s="28">
        <v>43985</v>
      </c>
      <c r="C930" s="25">
        <v>36.560001</v>
      </c>
      <c r="D930" s="18">
        <f t="shared" si="126"/>
        <v>-1.2958962933073304E-2</v>
      </c>
      <c r="E930" s="32">
        <f t="shared" ca="1" si="127"/>
        <v>-8.5794602706625173E-3</v>
      </c>
      <c r="F930" s="18">
        <f t="shared" ca="1" si="128"/>
        <v>57.809732663038211</v>
      </c>
      <c r="G930" s="19">
        <f t="shared" ca="1" si="129"/>
        <v>0.50026833696178841</v>
      </c>
      <c r="H930" s="27">
        <v>50.790000999999997</v>
      </c>
      <c r="I930" s="19">
        <f t="shared" si="130"/>
        <v>-8.2014842452937664E-3</v>
      </c>
      <c r="J930" s="19">
        <f t="shared" ca="1" si="131"/>
        <v>2.752721355540156E-2</v>
      </c>
      <c r="K930" s="19">
        <f t="shared" ca="1" si="132"/>
        <v>85.788245004686061</v>
      </c>
      <c r="L930" s="19">
        <f t="shared" ca="1" si="133"/>
        <v>-2.2982470046860612</v>
      </c>
      <c r="M930" s="19">
        <f t="shared" ca="1" si="134"/>
        <v>-1.7979786677242728</v>
      </c>
      <c r="AA930" s="37">
        <v>910</v>
      </c>
      <c r="AB930" s="37">
        <v>1.6353951333763077</v>
      </c>
      <c r="AC930" s="37">
        <v>2.7169311050575389</v>
      </c>
      <c r="AD930" s="37">
        <v>3.2747388452665573</v>
      </c>
    </row>
    <row r="931" spans="2:30" x14ac:dyDescent="0.3">
      <c r="B931" s="28">
        <v>43986</v>
      </c>
      <c r="C931" s="25">
        <v>35.860000999999997</v>
      </c>
      <c r="D931" s="18">
        <f t="shared" si="126"/>
        <v>-1.9146607791394876E-2</v>
      </c>
      <c r="E931" s="32">
        <f t="shared" ca="1" si="127"/>
        <v>-3.452436961277907E-2</v>
      </c>
      <c r="F931" s="18">
        <f t="shared" ca="1" si="128"/>
        <v>56.296884973354487</v>
      </c>
      <c r="G931" s="19">
        <f t="shared" ca="1" si="129"/>
        <v>2.0131160266455126</v>
      </c>
      <c r="H931" s="27">
        <v>50.529998999999997</v>
      </c>
      <c r="I931" s="19">
        <f t="shared" si="130"/>
        <v>-5.1191572136413122E-3</v>
      </c>
      <c r="J931" s="19">
        <f t="shared" ca="1" si="131"/>
        <v>3.144828008083473E-2</v>
      </c>
      <c r="K931" s="19">
        <f t="shared" ca="1" si="132"/>
        <v>86.11561484105232</v>
      </c>
      <c r="L931" s="19">
        <f t="shared" ca="1" si="133"/>
        <v>-2.6256168410523202</v>
      </c>
      <c r="M931" s="19">
        <f t="shared" ca="1" si="134"/>
        <v>-0.61250081440680759</v>
      </c>
      <c r="AA931" s="37">
        <v>911</v>
      </c>
      <c r="AB931" s="37">
        <v>1.761779892444217</v>
      </c>
      <c r="AC931" s="37">
        <v>3.0805230189524679</v>
      </c>
      <c r="AD931" s="37">
        <v>3.1076009611368955</v>
      </c>
    </row>
    <row r="932" spans="2:30" x14ac:dyDescent="0.3">
      <c r="B932" s="28">
        <v>43987</v>
      </c>
      <c r="C932" s="25">
        <v>35.270000000000003</v>
      </c>
      <c r="D932" s="18">
        <f t="shared" si="126"/>
        <v>-1.645289970850794E-2</v>
      </c>
      <c r="E932" s="32">
        <f t="shared" ca="1" si="127"/>
        <v>-1.4634719773002777E-2</v>
      </c>
      <c r="F932" s="18">
        <f t="shared" ca="1" si="128"/>
        <v>57.456650475401489</v>
      </c>
      <c r="G932" s="19">
        <f t="shared" ca="1" si="129"/>
        <v>0.85335052459851113</v>
      </c>
      <c r="H932" s="27">
        <v>52.689999</v>
      </c>
      <c r="I932" s="19">
        <f t="shared" si="130"/>
        <v>4.2746883885748765E-2</v>
      </c>
      <c r="J932" s="19">
        <f t="shared" ca="1" si="131"/>
        <v>-1.0554962856162449E-2</v>
      </c>
      <c r="K932" s="19">
        <f t="shared" ca="1" si="132"/>
        <v>82.608764172248925</v>
      </c>
      <c r="L932" s="19">
        <f t="shared" ca="1" si="133"/>
        <v>0.88123382775107473</v>
      </c>
      <c r="M932" s="19">
        <f t="shared" ca="1" si="134"/>
        <v>1.7345843523495859</v>
      </c>
      <c r="AA932" s="37">
        <v>912</v>
      </c>
      <c r="AB932" s="37">
        <v>1.7134274146142434</v>
      </c>
      <c r="AC932" s="37">
        <v>2.9444183079893631</v>
      </c>
      <c r="AD932" s="37">
        <v>3.2067760799865201</v>
      </c>
    </row>
    <row r="933" spans="2:30" x14ac:dyDescent="0.3">
      <c r="B933" s="28">
        <v>43990</v>
      </c>
      <c r="C933" s="25">
        <v>36.259998000000003</v>
      </c>
      <c r="D933" s="18">
        <f t="shared" si="126"/>
        <v>2.8069123901332649E-2</v>
      </c>
      <c r="E933" s="32">
        <f t="shared" ca="1" si="127"/>
        <v>-1.9448535795182067E-3</v>
      </c>
      <c r="F933" s="18">
        <f t="shared" ca="1" si="128"/>
        <v>58.19659658583344</v>
      </c>
      <c r="G933" s="19">
        <f t="shared" ca="1" si="129"/>
        <v>0.11340441416655977</v>
      </c>
      <c r="H933" s="27">
        <v>53.470001000000003</v>
      </c>
      <c r="I933" s="19">
        <f t="shared" si="130"/>
        <v>1.4803606278299686E-2</v>
      </c>
      <c r="J933" s="19">
        <f t="shared" ca="1" si="131"/>
        <v>1.0875664201017283E-2</v>
      </c>
      <c r="K933" s="19">
        <f t="shared" ca="1" si="132"/>
        <v>84.398007182391609</v>
      </c>
      <c r="L933" s="19">
        <f t="shared" ca="1" si="133"/>
        <v>-0.90800918239160922</v>
      </c>
      <c r="M933" s="19">
        <f t="shared" ca="1" si="134"/>
        <v>-0.79460476822504944</v>
      </c>
      <c r="AA933" s="37">
        <v>913</v>
      </c>
      <c r="AB933" s="37">
        <v>1.7992942841020627</v>
      </c>
      <c r="AC933" s="37">
        <v>2.7605092616472326</v>
      </c>
      <c r="AD933" s="37">
        <v>3.3035753738619942</v>
      </c>
    </row>
    <row r="934" spans="2:30" x14ac:dyDescent="0.3">
      <c r="B934" s="28">
        <v>43991</v>
      </c>
      <c r="C934" s="25">
        <v>35.560001</v>
      </c>
      <c r="D934" s="18">
        <f t="shared" si="126"/>
        <v>-1.9304937634028629E-2</v>
      </c>
      <c r="E934" s="32">
        <f t="shared" ca="1" si="127"/>
        <v>3.0762780237432261E-2</v>
      </c>
      <c r="F934" s="18">
        <f t="shared" ca="1" si="128"/>
        <v>60.10377874640745</v>
      </c>
      <c r="G934" s="19">
        <f t="shared" ca="1" si="129"/>
        <v>-1.79377774640745</v>
      </c>
      <c r="H934" s="27">
        <v>52.869999</v>
      </c>
      <c r="I934" s="19">
        <f t="shared" si="130"/>
        <v>-1.1221282752547634E-2</v>
      </c>
      <c r="J934" s="19">
        <f t="shared" ca="1" si="131"/>
        <v>-5.1483933461740142E-2</v>
      </c>
      <c r="K934" s="19">
        <f t="shared" ca="1" si="132"/>
        <v>79.191604498247173</v>
      </c>
      <c r="L934" s="19">
        <f t="shared" ca="1" si="133"/>
        <v>4.2983935017528268</v>
      </c>
      <c r="M934" s="19">
        <f t="shared" ca="1" si="134"/>
        <v>2.5046157553453767</v>
      </c>
      <c r="AA934" s="37">
        <v>914</v>
      </c>
      <c r="AB934" s="37">
        <v>1.6914251594206298</v>
      </c>
      <c r="AC934" s="37">
        <v>2.9446172705488292</v>
      </c>
      <c r="AD934" s="37">
        <v>3.4591369472383002</v>
      </c>
    </row>
    <row r="935" spans="2:30" x14ac:dyDescent="0.3">
      <c r="B935" s="28">
        <v>43992</v>
      </c>
      <c r="C935" s="25">
        <v>35.330002</v>
      </c>
      <c r="D935" s="18">
        <f t="shared" si="126"/>
        <v>-6.4679132039394682E-3</v>
      </c>
      <c r="E935" s="32">
        <f t="shared" ca="1" si="127"/>
        <v>-7.9806842392482966E-3</v>
      </c>
      <c r="F935" s="18">
        <f t="shared" ca="1" si="128"/>
        <v>57.844647294028753</v>
      </c>
      <c r="G935" s="19">
        <f t="shared" ca="1" si="129"/>
        <v>0.46535370597124626</v>
      </c>
      <c r="H935" s="27">
        <v>52.830002</v>
      </c>
      <c r="I935" s="19">
        <f t="shared" si="130"/>
        <v>-7.5651599690784721E-4</v>
      </c>
      <c r="J935" s="19">
        <f t="shared" ca="1" si="131"/>
        <v>-4.7406424980815244E-2</v>
      </c>
      <c r="K935" s="19">
        <f t="shared" ca="1" si="132"/>
        <v>79.532035673164586</v>
      </c>
      <c r="L935" s="19">
        <f t="shared" ca="1" si="133"/>
        <v>3.957962326835414</v>
      </c>
      <c r="M935" s="19">
        <f t="shared" ca="1" si="134"/>
        <v>4.4233160328066603</v>
      </c>
      <c r="AA935" s="37">
        <v>915</v>
      </c>
      <c r="AB935" s="37">
        <v>1.8762247363818283</v>
      </c>
      <c r="AC935" s="37">
        <v>2.863388381708083</v>
      </c>
      <c r="AD935" s="37">
        <v>3.3966462039817076</v>
      </c>
    </row>
    <row r="936" spans="2:30" x14ac:dyDescent="0.3">
      <c r="B936" s="28">
        <v>43993</v>
      </c>
      <c r="C936" s="25">
        <v>34.509998000000003</v>
      </c>
      <c r="D936" s="18">
        <f t="shared" si="126"/>
        <v>-2.3209848671958633E-2</v>
      </c>
      <c r="E936" s="32">
        <f t="shared" ca="1" si="127"/>
        <v>-4.7186064612147815E-4</v>
      </c>
      <c r="F936" s="18">
        <f t="shared" ca="1" si="128"/>
        <v>58.282486805252795</v>
      </c>
      <c r="G936" s="19">
        <f t="shared" ca="1" si="129"/>
        <v>2.7514194747205067E-2</v>
      </c>
      <c r="H936" s="27">
        <v>52.139999000000003</v>
      </c>
      <c r="I936" s="19">
        <f t="shared" si="130"/>
        <v>-1.3060817222759091E-2</v>
      </c>
      <c r="J936" s="19">
        <f t="shared" ca="1" si="131"/>
        <v>5.2608834148611533E-3</v>
      </c>
      <c r="K936" s="19">
        <f t="shared" ca="1" si="132"/>
        <v>83.929229145784987</v>
      </c>
      <c r="L936" s="19">
        <f t="shared" ca="1" si="133"/>
        <v>-0.43923114578498712</v>
      </c>
      <c r="M936" s="19">
        <f t="shared" ca="1" si="134"/>
        <v>-0.41171695103778205</v>
      </c>
      <c r="AA936" s="37">
        <v>916</v>
      </c>
      <c r="AB936" s="37">
        <v>1.8228998030320802</v>
      </c>
      <c r="AC936" s="37">
        <v>2.9070462455892678</v>
      </c>
      <c r="AD936" s="37">
        <v>3.055244507097477</v>
      </c>
    </row>
    <row r="937" spans="2:30" x14ac:dyDescent="0.3">
      <c r="B937" s="28">
        <v>43994</v>
      </c>
      <c r="C937" s="25">
        <v>35.090000000000003</v>
      </c>
      <c r="D937" s="18">
        <f t="shared" si="126"/>
        <v>1.6806781617315636E-2</v>
      </c>
      <c r="E937" s="32">
        <f t="shared" ca="1" si="127"/>
        <v>-4.4889615380849679E-2</v>
      </c>
      <c r="F937" s="18">
        <f t="shared" ca="1" si="128"/>
        <v>55.692487482253043</v>
      </c>
      <c r="G937" s="19">
        <f t="shared" ca="1" si="129"/>
        <v>2.6175135177469571</v>
      </c>
      <c r="H937" s="27">
        <v>53.209999000000003</v>
      </c>
      <c r="I937" s="19">
        <f t="shared" si="130"/>
        <v>2.0521672813994529E-2</v>
      </c>
      <c r="J937" s="19">
        <f t="shared" ca="1" si="131"/>
        <v>-1.7723531471087829E-2</v>
      </c>
      <c r="K937" s="19">
        <f t="shared" ca="1" si="132"/>
        <v>82.010260392925943</v>
      </c>
      <c r="L937" s="19">
        <f t="shared" ca="1" si="133"/>
        <v>1.4797376070740569</v>
      </c>
      <c r="M937" s="19">
        <f t="shared" ca="1" si="134"/>
        <v>4.0972511248210139</v>
      </c>
      <c r="AA937" s="37">
        <v>917</v>
      </c>
      <c r="AB937" s="37">
        <v>1.7770934807365566</v>
      </c>
      <c r="AC937" s="37">
        <v>2.8635194807127315</v>
      </c>
      <c r="AD937" s="37">
        <v>3.4823004327410003</v>
      </c>
    </row>
    <row r="938" spans="2:30" x14ac:dyDescent="0.3">
      <c r="B938" s="28">
        <v>43997</v>
      </c>
      <c r="C938" s="25">
        <v>35.159999999999997</v>
      </c>
      <c r="D938" s="18">
        <f t="shared" si="126"/>
        <v>1.9948703334280449E-3</v>
      </c>
      <c r="E938" s="32">
        <f t="shared" ca="1" si="127"/>
        <v>-1.5322673851369303E-2</v>
      </c>
      <c r="F938" s="18">
        <f t="shared" ca="1" si="128"/>
        <v>57.416535872403983</v>
      </c>
      <c r="G938" s="19">
        <f t="shared" ca="1" si="129"/>
        <v>0.89346512759601637</v>
      </c>
      <c r="H938" s="27">
        <v>50.529998999999997</v>
      </c>
      <c r="I938" s="19">
        <f t="shared" si="130"/>
        <v>-5.0366473414141688E-2</v>
      </c>
      <c r="J938" s="19">
        <f t="shared" ca="1" si="131"/>
        <v>1.773885759955894E-3</v>
      </c>
      <c r="K938" s="19">
        <f t="shared" ca="1" si="132"/>
        <v>83.638099718550947</v>
      </c>
      <c r="L938" s="19">
        <f t="shared" ca="1" si="133"/>
        <v>-0.14810171855094723</v>
      </c>
      <c r="M938" s="19">
        <f t="shared" ca="1" si="134"/>
        <v>0.74536340904506915</v>
      </c>
      <c r="AA938" s="37">
        <v>918</v>
      </c>
      <c r="AB938" s="37">
        <v>1.8047497416277958</v>
      </c>
      <c r="AC938" s="37">
        <v>2.7436583297297741</v>
      </c>
      <c r="AD938" s="37">
        <v>3.3748262336829944</v>
      </c>
    </row>
    <row r="939" spans="2:30" x14ac:dyDescent="0.3">
      <c r="B939" s="28">
        <v>43998</v>
      </c>
      <c r="C939" s="25">
        <v>35.650002000000001</v>
      </c>
      <c r="D939" s="18">
        <f t="shared" si="126"/>
        <v>1.3936348122866926E-2</v>
      </c>
      <c r="E939" s="32">
        <f t="shared" ca="1" si="127"/>
        <v>7.0057483640115397E-3</v>
      </c>
      <c r="F939" s="18">
        <f t="shared" ca="1" si="128"/>
        <v>58.718506194111264</v>
      </c>
      <c r="G939" s="19">
        <f t="shared" ca="1" si="129"/>
        <v>-0.40850519411126385</v>
      </c>
      <c r="H939" s="27">
        <v>52.189999</v>
      </c>
      <c r="I939" s="19">
        <f t="shared" si="130"/>
        <v>3.2851771875158864E-2</v>
      </c>
      <c r="J939" s="19">
        <f t="shared" ca="1" si="131"/>
        <v>-1.7613220749001218E-2</v>
      </c>
      <c r="K939" s="19">
        <f t="shared" ca="1" si="132"/>
        <v>82.019470234892339</v>
      </c>
      <c r="L939" s="19">
        <f t="shared" ca="1" si="133"/>
        <v>1.4705277651076614</v>
      </c>
      <c r="M939" s="19">
        <f t="shared" ca="1" si="134"/>
        <v>1.0620225709963975</v>
      </c>
      <c r="AA939" s="37">
        <v>919</v>
      </c>
      <c r="AB939" s="37">
        <v>1.8645158884931148</v>
      </c>
      <c r="AC939" s="37">
        <v>2.8798076549474323</v>
      </c>
      <c r="AD939" s="37">
        <v>3.2807821042177627</v>
      </c>
    </row>
    <row r="940" spans="2:30" x14ac:dyDescent="0.3">
      <c r="B940" s="28">
        <v>43999</v>
      </c>
      <c r="C940" s="25">
        <v>37.540000999999997</v>
      </c>
      <c r="D940" s="18">
        <f t="shared" si="126"/>
        <v>5.3015396745279109E-2</v>
      </c>
      <c r="E940" s="32">
        <f t="shared" ca="1" si="127"/>
        <v>1.2468523085702246E-2</v>
      </c>
      <c r="F940" s="18">
        <f t="shared" ca="1" si="128"/>
        <v>59.037040593595819</v>
      </c>
      <c r="G940" s="19">
        <f t="shared" ca="1" si="129"/>
        <v>-0.72703959359581916</v>
      </c>
      <c r="H940" s="27">
        <v>51.439999</v>
      </c>
      <c r="I940" s="19">
        <f t="shared" si="130"/>
        <v>-1.4370569349886342E-2</v>
      </c>
      <c r="J940" s="19">
        <f t="shared" ca="1" si="131"/>
        <v>9.0930201708724293E-3</v>
      </c>
      <c r="K940" s="19">
        <f t="shared" ca="1" si="132"/>
        <v>84.249174235880091</v>
      </c>
      <c r="L940" s="19">
        <f t="shared" ca="1" si="133"/>
        <v>-0.75917623588009064</v>
      </c>
      <c r="M940" s="19">
        <f t="shared" ca="1" si="134"/>
        <v>-1.4862158294759098</v>
      </c>
      <c r="AA940" s="37">
        <v>920</v>
      </c>
      <c r="AB940" s="37">
        <v>1.8137719210818271</v>
      </c>
      <c r="AC940" s="37">
        <v>2.8296708322088966</v>
      </c>
      <c r="AD940" s="37">
        <v>3.2542518266004778</v>
      </c>
    </row>
    <row r="941" spans="2:30" x14ac:dyDescent="0.3">
      <c r="B941" s="28">
        <v>44000</v>
      </c>
      <c r="C941" s="25">
        <v>37.020000000000003</v>
      </c>
      <c r="D941" s="18">
        <f t="shared" si="126"/>
        <v>-1.3851917585191109E-2</v>
      </c>
      <c r="E941" s="32">
        <f t="shared" ca="1" si="127"/>
        <v>-9.5026860875921382E-3</v>
      </c>
      <c r="F941" s="18">
        <f t="shared" ca="1" si="128"/>
        <v>57.755899364729814</v>
      </c>
      <c r="G941" s="19">
        <f t="shared" ca="1" si="129"/>
        <v>0.55410163527018597</v>
      </c>
      <c r="H941" s="27">
        <v>50.240001999999997</v>
      </c>
      <c r="I941" s="19">
        <f t="shared" si="130"/>
        <v>-2.3328091433283293E-2</v>
      </c>
      <c r="J941" s="19">
        <f t="shared" ca="1" si="131"/>
        <v>-2.1525363717507552E-2</v>
      </c>
      <c r="K941" s="19">
        <f t="shared" ca="1" si="132"/>
        <v>81.692845426276023</v>
      </c>
      <c r="L941" s="19">
        <f t="shared" ca="1" si="133"/>
        <v>1.7971525737239773</v>
      </c>
      <c r="M941" s="19">
        <f t="shared" ca="1" si="134"/>
        <v>2.3512542089941633</v>
      </c>
      <c r="AA941" s="37">
        <v>921</v>
      </c>
      <c r="AB941" s="37">
        <v>1.8696747956655571</v>
      </c>
      <c r="AC941" s="37">
        <v>2.8111125125836773</v>
      </c>
      <c r="AD941" s="37">
        <v>3.1118011588527725</v>
      </c>
    </row>
    <row r="942" spans="2:30" x14ac:dyDescent="0.3">
      <c r="B942" s="28">
        <v>44001</v>
      </c>
      <c r="C942" s="25">
        <v>37.830002</v>
      </c>
      <c r="D942" s="18">
        <f t="shared" si="126"/>
        <v>2.1880118854673114E-2</v>
      </c>
      <c r="E942" s="32">
        <f t="shared" ca="1" si="127"/>
        <v>-2.6477101433700256E-2</v>
      </c>
      <c r="F942" s="18">
        <f t="shared" ca="1" si="128"/>
        <v>56.766121188923833</v>
      </c>
      <c r="G942" s="19">
        <f t="shared" ca="1" si="129"/>
        <v>1.5438798110761667</v>
      </c>
      <c r="H942" s="27">
        <v>53.23</v>
      </c>
      <c r="I942" s="19">
        <f t="shared" si="130"/>
        <v>5.9514289032074563E-2</v>
      </c>
      <c r="J942" s="19">
        <f t="shared" ca="1" si="131"/>
        <v>1.0316340404185425E-2</v>
      </c>
      <c r="K942" s="19">
        <f t="shared" ca="1" si="132"/>
        <v>84.351309239712762</v>
      </c>
      <c r="L942" s="19">
        <f t="shared" ca="1" si="133"/>
        <v>-0.86131123971276224</v>
      </c>
      <c r="M942" s="19">
        <f t="shared" ca="1" si="134"/>
        <v>0.68256857136340443</v>
      </c>
      <c r="AA942" s="37">
        <v>922</v>
      </c>
      <c r="AB942" s="37">
        <v>1.8028442004726255</v>
      </c>
      <c r="AC942" s="37">
        <v>2.8965452763886161</v>
      </c>
      <c r="AD942" s="37">
        <v>3.3409569195892868</v>
      </c>
    </row>
    <row r="943" spans="2:30" x14ac:dyDescent="0.3">
      <c r="B943" s="28">
        <v>44004</v>
      </c>
      <c r="C943" s="25">
        <v>38.520000000000003</v>
      </c>
      <c r="D943" s="18">
        <f t="shared" si="126"/>
        <v>1.8239438633918192E-2</v>
      </c>
      <c r="E943" s="32">
        <f t="shared" ca="1" si="127"/>
        <v>-1.6720493009867249E-2</v>
      </c>
      <c r="F943" s="18">
        <f t="shared" ca="1" si="128"/>
        <v>57.33502903587415</v>
      </c>
      <c r="G943" s="19">
        <f t="shared" ca="1" si="129"/>
        <v>0.97497196412584941</v>
      </c>
      <c r="H943" s="27">
        <v>52.740001999999997</v>
      </c>
      <c r="I943" s="19">
        <f t="shared" si="130"/>
        <v>-9.2052977644185852E-3</v>
      </c>
      <c r="J943" s="19">
        <f t="shared" ca="1" si="131"/>
        <v>-2.0692514824685485E-2</v>
      </c>
      <c r="K943" s="19">
        <f t="shared" ca="1" si="132"/>
        <v>81.762379978672044</v>
      </c>
      <c r="L943" s="19">
        <f t="shared" ca="1" si="133"/>
        <v>1.7276180213279559</v>
      </c>
      <c r="M943" s="19">
        <f t="shared" ca="1" si="134"/>
        <v>2.7025899854538054</v>
      </c>
      <c r="AA943" s="37">
        <v>923</v>
      </c>
      <c r="AB943" s="37">
        <v>1.781040240727356</v>
      </c>
      <c r="AC943" s="37">
        <v>2.6969284924520567</v>
      </c>
      <c r="AD943" s="37">
        <v>3.3611621690962679</v>
      </c>
    </row>
    <row r="944" spans="2:30" x14ac:dyDescent="0.3">
      <c r="B944" s="28">
        <v>44005</v>
      </c>
      <c r="C944" s="25">
        <v>39.479999999999997</v>
      </c>
      <c r="D944" s="18">
        <f t="shared" si="126"/>
        <v>2.4922118380062086E-2</v>
      </c>
      <c r="E944" s="32">
        <f t="shared" ca="1" si="127"/>
        <v>-2.6931139619526839E-2</v>
      </c>
      <c r="F944" s="18">
        <f t="shared" ca="1" si="128"/>
        <v>56.739646221854251</v>
      </c>
      <c r="G944" s="19">
        <f t="shared" ca="1" si="129"/>
        <v>1.5703547781457488</v>
      </c>
      <c r="H944" s="27">
        <v>52.900002000000001</v>
      </c>
      <c r="I944" s="19">
        <f t="shared" si="130"/>
        <v>3.0337503589781267E-3</v>
      </c>
      <c r="J944" s="19">
        <f t="shared" ca="1" si="131"/>
        <v>1.7959538432910475E-2</v>
      </c>
      <c r="K944" s="19">
        <f t="shared" ca="1" si="132"/>
        <v>84.98943982784462</v>
      </c>
      <c r="L944" s="19">
        <f t="shared" ca="1" si="133"/>
        <v>-1.4994418278446204</v>
      </c>
      <c r="M944" s="19">
        <f t="shared" ca="1" si="134"/>
        <v>7.0912950301128319E-2</v>
      </c>
      <c r="AA944" s="37">
        <v>924</v>
      </c>
      <c r="AB944" s="37">
        <v>1.7445567585455402</v>
      </c>
      <c r="AC944" s="37">
        <v>2.7854037160553049</v>
      </c>
      <c r="AD944" s="37">
        <v>3.363876759334826</v>
      </c>
    </row>
    <row r="945" spans="2:30" x14ac:dyDescent="0.3">
      <c r="B945" s="28">
        <v>44006</v>
      </c>
      <c r="C945" s="25">
        <v>38.990001999999997</v>
      </c>
      <c r="D945" s="18">
        <f t="shared" si="126"/>
        <v>-1.2411296859169196E-2</v>
      </c>
      <c r="E945" s="32">
        <f t="shared" ca="1" si="127"/>
        <v>-2.4921694206603187E-2</v>
      </c>
      <c r="F945" s="18">
        <f t="shared" ca="1" si="128"/>
        <v>56.856816985891271</v>
      </c>
      <c r="G945" s="19">
        <f t="shared" ca="1" si="129"/>
        <v>1.4531840141087287</v>
      </c>
      <c r="H945" s="27">
        <v>52.610000999999997</v>
      </c>
      <c r="I945" s="19">
        <f t="shared" si="130"/>
        <v>-5.4820602842321486E-3</v>
      </c>
      <c r="J945" s="19">
        <f t="shared" ca="1" si="131"/>
        <v>-5.0877964342867493E-3</v>
      </c>
      <c r="K945" s="19">
        <f t="shared" ca="1" si="132"/>
        <v>83.06521788587699</v>
      </c>
      <c r="L945" s="19">
        <f t="shared" ca="1" si="133"/>
        <v>0.42478011412300987</v>
      </c>
      <c r="M945" s="19">
        <f t="shared" ca="1" si="134"/>
        <v>1.8779641282317385</v>
      </c>
      <c r="AA945" s="37">
        <v>925</v>
      </c>
      <c r="AB945" s="37">
        <v>1.8575479913981687</v>
      </c>
      <c r="AC945" s="37">
        <v>2.9629732353001699</v>
      </c>
      <c r="AD945" s="37">
        <v>3.5456998882307658</v>
      </c>
    </row>
    <row r="946" spans="2:30" x14ac:dyDescent="0.3">
      <c r="B946" s="28">
        <v>44007</v>
      </c>
      <c r="C946" s="25">
        <v>39.240001999999997</v>
      </c>
      <c r="D946" s="18">
        <f t="shared" si="126"/>
        <v>6.4119001584046487E-3</v>
      </c>
      <c r="E946" s="32">
        <f t="shared" ca="1" si="127"/>
        <v>3.464334406599108E-3</v>
      </c>
      <c r="F946" s="18">
        <f t="shared" ca="1" si="128"/>
        <v>58.512006342713136</v>
      </c>
      <c r="G946" s="19">
        <f t="shared" ca="1" si="129"/>
        <v>-0.20200534271313586</v>
      </c>
      <c r="H946" s="27">
        <v>52.57</v>
      </c>
      <c r="I946" s="19">
        <f t="shared" si="130"/>
        <v>-7.603307211493382E-4</v>
      </c>
      <c r="J946" s="19">
        <f t="shared" ca="1" si="131"/>
        <v>9.1823356670627868E-3</v>
      </c>
      <c r="K946" s="19">
        <f t="shared" ca="1" si="132"/>
        <v>84.256631186478401</v>
      </c>
      <c r="L946" s="19">
        <f t="shared" ca="1" si="133"/>
        <v>-0.76663318647840129</v>
      </c>
      <c r="M946" s="19">
        <f t="shared" ca="1" si="134"/>
        <v>-0.96863852919153715</v>
      </c>
      <c r="AA946" s="37">
        <v>926</v>
      </c>
      <c r="AB946" s="37">
        <v>1.8826636380893937</v>
      </c>
      <c r="AC946" s="37">
        <v>2.8587778832945423</v>
      </c>
      <c r="AD946" s="37">
        <v>3.1985696087287292</v>
      </c>
    </row>
    <row r="947" spans="2:30" x14ac:dyDescent="0.3">
      <c r="B947" s="28">
        <v>44008</v>
      </c>
      <c r="C947" s="25">
        <v>39.470001000000003</v>
      </c>
      <c r="D947" s="18">
        <f t="shared" si="126"/>
        <v>5.8613401701663737E-3</v>
      </c>
      <c r="E947" s="32">
        <f t="shared" ca="1" si="127"/>
        <v>2.1292674813911637E-2</v>
      </c>
      <c r="F947" s="18">
        <f t="shared" ca="1" si="128"/>
        <v>59.551576889691866</v>
      </c>
      <c r="G947" s="19">
        <f t="shared" ca="1" si="129"/>
        <v>-1.2415758896918661</v>
      </c>
      <c r="H947" s="27">
        <v>52.450001</v>
      </c>
      <c r="I947" s="19">
        <f t="shared" si="130"/>
        <v>-2.2826517024918669E-3</v>
      </c>
      <c r="J947" s="19">
        <f t="shared" ca="1" si="131"/>
        <v>-2.6325886630615561E-3</v>
      </c>
      <c r="K947" s="19">
        <f t="shared" ca="1" si="132"/>
        <v>83.270203177786158</v>
      </c>
      <c r="L947" s="19">
        <f t="shared" ca="1" si="133"/>
        <v>0.21979482221384217</v>
      </c>
      <c r="M947" s="19">
        <f t="shared" ca="1" si="134"/>
        <v>-1.0217810674780239</v>
      </c>
      <c r="AA947" s="37">
        <v>927</v>
      </c>
      <c r="AB947" s="37">
        <v>1.7667975378027263</v>
      </c>
      <c r="AC947" s="37">
        <v>2.9141938121977722</v>
      </c>
      <c r="AD947" s="37">
        <v>3.0012587608962256</v>
      </c>
    </row>
    <row r="948" spans="2:30" x14ac:dyDescent="0.3">
      <c r="B948" s="28">
        <v>44011</v>
      </c>
      <c r="C948" s="25">
        <v>38.970001000000003</v>
      </c>
      <c r="D948" s="18">
        <f t="shared" si="126"/>
        <v>-1.2667848678291183E-2</v>
      </c>
      <c r="E948" s="32">
        <f t="shared" ca="1" si="127"/>
        <v>6.6874705069567214E-3</v>
      </c>
      <c r="F948" s="18">
        <f t="shared" ca="1" si="128"/>
        <v>58.699947411948109</v>
      </c>
      <c r="G948" s="19">
        <f t="shared" ca="1" si="129"/>
        <v>-0.38994641194810953</v>
      </c>
      <c r="H948" s="27">
        <v>52.830002</v>
      </c>
      <c r="I948" s="19">
        <f t="shared" si="130"/>
        <v>7.2450141612008245E-3</v>
      </c>
      <c r="J948" s="19">
        <f t="shared" ca="1" si="131"/>
        <v>-1.4843045491401387E-2</v>
      </c>
      <c r="K948" s="19">
        <f t="shared" ca="1" si="132"/>
        <v>82.250752161608986</v>
      </c>
      <c r="L948" s="19">
        <f t="shared" ca="1" si="133"/>
        <v>1.2392458383910139</v>
      </c>
      <c r="M948" s="19">
        <f t="shared" ca="1" si="134"/>
        <v>0.84929942644290435</v>
      </c>
      <c r="AA948" s="37">
        <v>928</v>
      </c>
      <c r="AB948" s="37">
        <v>1.7997093303100511</v>
      </c>
      <c r="AC948" s="37">
        <v>2.908476152179889</v>
      </c>
      <c r="AD948" s="37">
        <v>3.3276264028162954</v>
      </c>
    </row>
    <row r="949" spans="2:30" x14ac:dyDescent="0.3">
      <c r="B949" s="28">
        <v>44012</v>
      </c>
      <c r="C949" s="25">
        <v>38.470001000000003</v>
      </c>
      <c r="D949" s="18">
        <f t="shared" si="126"/>
        <v>-1.2830382016156494E-2</v>
      </c>
      <c r="E949" s="32">
        <f t="shared" ca="1" si="127"/>
        <v>8.4504501494882581E-4</v>
      </c>
      <c r="F949" s="18">
        <f t="shared" ca="1" si="128"/>
        <v>58.359275575666715</v>
      </c>
      <c r="G949" s="19">
        <f t="shared" ca="1" si="129"/>
        <v>-4.9274575666714782E-2</v>
      </c>
      <c r="H949" s="27">
        <v>53.43</v>
      </c>
      <c r="I949" s="19">
        <f t="shared" si="130"/>
        <v>1.1357145131283497E-2</v>
      </c>
      <c r="J949" s="19">
        <f t="shared" ca="1" si="131"/>
        <v>-8.8202484390098E-3</v>
      </c>
      <c r="K949" s="19">
        <f t="shared" ca="1" si="132"/>
        <v>82.753595475467577</v>
      </c>
      <c r="L949" s="19">
        <f t="shared" ca="1" si="133"/>
        <v>0.73640252453242283</v>
      </c>
      <c r="M949" s="19">
        <f t="shared" ca="1" si="134"/>
        <v>0.68712794886570805</v>
      </c>
      <c r="AA949" s="37">
        <v>929</v>
      </c>
      <c r="AB949" s="37">
        <v>1.8743054866081625</v>
      </c>
      <c r="AC949" s="37">
        <v>2.7766507610907567</v>
      </c>
      <c r="AD949" s="37">
        <v>3.2166454648192984</v>
      </c>
    </row>
    <row r="950" spans="2:30" x14ac:dyDescent="0.3">
      <c r="B950" s="28">
        <v>44013</v>
      </c>
      <c r="C950" s="25">
        <v>38.990001999999997</v>
      </c>
      <c r="D950" s="18">
        <f t="shared" si="126"/>
        <v>1.3517051897139032E-2</v>
      </c>
      <c r="E950" s="32">
        <f t="shared" ca="1" si="127"/>
        <v>-2.2488071708706446E-2</v>
      </c>
      <c r="F950" s="18">
        <f t="shared" ca="1" si="128"/>
        <v>56.998721516177255</v>
      </c>
      <c r="G950" s="19">
        <f t="shared" ca="1" si="129"/>
        <v>1.3112794838227444</v>
      </c>
      <c r="H950" s="27">
        <v>53.150002000000001</v>
      </c>
      <c r="I950" s="19">
        <f t="shared" si="130"/>
        <v>-5.2404641587122658E-3</v>
      </c>
      <c r="J950" s="19">
        <f t="shared" ca="1" si="131"/>
        <v>2.0342897638853195E-2</v>
      </c>
      <c r="K950" s="19">
        <f t="shared" ca="1" si="132"/>
        <v>85.188426483182056</v>
      </c>
      <c r="L950" s="19">
        <f t="shared" ca="1" si="133"/>
        <v>-1.698428483182056</v>
      </c>
      <c r="M950" s="19">
        <f t="shared" ca="1" si="134"/>
        <v>-0.38714899935931157</v>
      </c>
      <c r="AA950" s="37">
        <v>930</v>
      </c>
      <c r="AB950" s="37">
        <v>1.7118765063673491</v>
      </c>
      <c r="AC950" s="37">
        <v>2.9246994448612682</v>
      </c>
      <c r="AD950" s="37">
        <v>3.3013216194856732</v>
      </c>
    </row>
    <row r="951" spans="2:30" x14ac:dyDescent="0.3">
      <c r="B951" s="28">
        <v>44014</v>
      </c>
      <c r="C951" s="25">
        <v>39</v>
      </c>
      <c r="D951" s="18">
        <f t="shared" si="126"/>
        <v>2.5642471113496157E-4</v>
      </c>
      <c r="E951" s="32">
        <f t="shared" ca="1" si="127"/>
        <v>2.2154120551856989E-4</v>
      </c>
      <c r="F951" s="18">
        <f t="shared" ca="1" si="128"/>
        <v>58.322919067915336</v>
      </c>
      <c r="G951" s="19">
        <f t="shared" ca="1" si="129"/>
        <v>-1.2918067915336451E-2</v>
      </c>
      <c r="H951" s="27">
        <v>54.630001</v>
      </c>
      <c r="I951" s="19">
        <f t="shared" si="130"/>
        <v>2.784569979884477E-2</v>
      </c>
      <c r="J951" s="19">
        <f t="shared" ca="1" si="131"/>
        <v>2.1837806739465716E-2</v>
      </c>
      <c r="K951" s="19">
        <f t="shared" ca="1" si="132"/>
        <v>85.313236441002388</v>
      </c>
      <c r="L951" s="19">
        <f t="shared" ca="1" si="133"/>
        <v>-1.8232384410023883</v>
      </c>
      <c r="M951" s="19">
        <f t="shared" ca="1" si="134"/>
        <v>-1.8361565089177248</v>
      </c>
      <c r="AA951" s="37">
        <v>931</v>
      </c>
      <c r="AB951" s="37">
        <v>1.8199776094043512</v>
      </c>
      <c r="AC951" s="37">
        <v>2.7390056529737792</v>
      </c>
      <c r="AD951" s="37">
        <v>3.26346717792631</v>
      </c>
    </row>
    <row r="952" spans="2:30" x14ac:dyDescent="0.3">
      <c r="B952" s="28">
        <v>44015</v>
      </c>
      <c r="C952" s="25">
        <v>38.840000000000003</v>
      </c>
      <c r="D952" s="18">
        <f t="shared" si="126"/>
        <v>-4.1025641025640436E-3</v>
      </c>
      <c r="E952" s="32">
        <f t="shared" ca="1" si="127"/>
        <v>-2.1059840062772353E-2</v>
      </c>
      <c r="F952" s="18">
        <f t="shared" ca="1" si="128"/>
        <v>57.0820017048799</v>
      </c>
      <c r="G952" s="19">
        <f t="shared" ca="1" si="129"/>
        <v>1.2279992951200995</v>
      </c>
      <c r="H952" s="27">
        <v>54.16</v>
      </c>
      <c r="I952" s="19">
        <f t="shared" si="130"/>
        <v>-8.6033496503139517E-3</v>
      </c>
      <c r="J952" s="19">
        <f t="shared" ca="1" si="131"/>
        <v>1.2783337931051301E-2</v>
      </c>
      <c r="K952" s="19">
        <f t="shared" ca="1" si="132"/>
        <v>84.557278858296797</v>
      </c>
      <c r="L952" s="19">
        <f t="shared" ca="1" si="133"/>
        <v>-1.0672808582967974</v>
      </c>
      <c r="M952" s="19">
        <f t="shared" ca="1" si="134"/>
        <v>0.16071843682330211</v>
      </c>
      <c r="AA952" s="37">
        <v>932</v>
      </c>
      <c r="AB952" s="37">
        <v>1.6800314447370988</v>
      </c>
      <c r="AC952" s="37">
        <v>2.8775429540886517</v>
      </c>
      <c r="AD952" s="37">
        <v>3.3372497316102163</v>
      </c>
    </row>
    <row r="953" spans="2:30" x14ac:dyDescent="0.3">
      <c r="B953" s="28">
        <v>44018</v>
      </c>
      <c r="C953" s="25">
        <v>39.119999</v>
      </c>
      <c r="D953" s="18">
        <f t="shared" si="126"/>
        <v>7.2090370751800581E-3</v>
      </c>
      <c r="E953" s="32">
        <f t="shared" ca="1" si="127"/>
        <v>1.2037889855770208E-2</v>
      </c>
      <c r="F953" s="18">
        <f t="shared" ca="1" si="128"/>
        <v>59.011930369527853</v>
      </c>
      <c r="G953" s="19">
        <f t="shared" ca="1" si="129"/>
        <v>-0.70192936952785345</v>
      </c>
      <c r="H953" s="27">
        <v>54.689999</v>
      </c>
      <c r="I953" s="19">
        <f t="shared" si="130"/>
        <v>9.7858013293945501E-3</v>
      </c>
      <c r="J953" s="19">
        <f t="shared" ca="1" si="131"/>
        <v>-2.9745279869581344E-2</v>
      </c>
      <c r="K953" s="19">
        <f t="shared" ca="1" si="132"/>
        <v>81.006564643179217</v>
      </c>
      <c r="L953" s="19">
        <f t="shared" ca="1" si="133"/>
        <v>2.4834333568207825</v>
      </c>
      <c r="M953" s="19">
        <f t="shared" ca="1" si="134"/>
        <v>1.781503987292929</v>
      </c>
      <c r="AA953" s="37">
        <v>933</v>
      </c>
      <c r="AB953" s="37">
        <v>1.8752223664881489</v>
      </c>
      <c r="AC953" s="37">
        <v>2.7018189034752709</v>
      </c>
      <c r="AD953" s="37">
        <v>3.3259479796469198</v>
      </c>
    </row>
    <row r="954" spans="2:30" x14ac:dyDescent="0.3">
      <c r="B954" s="28">
        <v>44019</v>
      </c>
      <c r="C954" s="25">
        <v>39.520000000000003</v>
      </c>
      <c r="D954" s="18">
        <f t="shared" si="126"/>
        <v>1.0224974699002409E-2</v>
      </c>
      <c r="E954" s="32">
        <f t="shared" ca="1" si="127"/>
        <v>-2.3082243833422195E-2</v>
      </c>
      <c r="F954" s="18">
        <f t="shared" ca="1" si="128"/>
        <v>56.964075338990909</v>
      </c>
      <c r="G954" s="19">
        <f t="shared" ca="1" si="129"/>
        <v>1.3459256610090904</v>
      </c>
      <c r="H954" s="27">
        <v>55.060001</v>
      </c>
      <c r="I954" s="19">
        <f t="shared" si="130"/>
        <v>6.7654417035187819E-3</v>
      </c>
      <c r="J954" s="19">
        <f t="shared" ca="1" si="131"/>
        <v>-5.1574884843353461E-3</v>
      </c>
      <c r="K954" s="19">
        <f t="shared" ca="1" si="132"/>
        <v>83.059399296757817</v>
      </c>
      <c r="L954" s="19">
        <f t="shared" ca="1" si="133"/>
        <v>0.43059870324218252</v>
      </c>
      <c r="M954" s="19">
        <f t="shared" ca="1" si="134"/>
        <v>1.7765243642512729</v>
      </c>
      <c r="AA954" s="37">
        <v>934</v>
      </c>
      <c r="AB954" s="37">
        <v>1.7394586877226323</v>
      </c>
      <c r="AC954" s="37">
        <v>2.8074149403507587</v>
      </c>
      <c r="AD954" s="37">
        <v>3.2611297697461459</v>
      </c>
    </row>
    <row r="955" spans="2:30" x14ac:dyDescent="0.3">
      <c r="B955" s="28">
        <v>44020</v>
      </c>
      <c r="C955" s="25">
        <v>38.439999</v>
      </c>
      <c r="D955" s="18">
        <f t="shared" si="126"/>
        <v>-2.7327960526315809E-2</v>
      </c>
      <c r="E955" s="32">
        <f t="shared" ca="1" si="127"/>
        <v>3.9982431330253983E-2</v>
      </c>
      <c r="F955" s="18">
        <f t="shared" ca="1" si="128"/>
        <v>60.641376610849534</v>
      </c>
      <c r="G955" s="19">
        <f t="shared" ca="1" si="129"/>
        <v>-2.331375610849534</v>
      </c>
      <c r="H955" s="27">
        <v>55.41</v>
      </c>
      <c r="I955" s="19">
        <f t="shared" si="130"/>
        <v>6.3566835024211343E-3</v>
      </c>
      <c r="J955" s="19">
        <f t="shared" ca="1" si="131"/>
        <v>-1.1586304761477607E-2</v>
      </c>
      <c r="K955" s="19">
        <f t="shared" ca="1" si="132"/>
        <v>82.522657438636841</v>
      </c>
      <c r="L955" s="19">
        <f t="shared" ca="1" si="133"/>
        <v>0.96734056136315871</v>
      </c>
      <c r="M955" s="19">
        <f t="shared" ca="1" si="134"/>
        <v>-1.3640350494863753</v>
      </c>
      <c r="AA955" s="37">
        <v>935</v>
      </c>
      <c r="AB955" s="37">
        <v>1.8455672200641613</v>
      </c>
      <c r="AC955" s="37">
        <v>2.6760568731276138</v>
      </c>
      <c r="AD955" s="37">
        <v>3.3883484547562839</v>
      </c>
    </row>
    <row r="956" spans="2:30" x14ac:dyDescent="0.3">
      <c r="B956" s="28">
        <v>44021</v>
      </c>
      <c r="C956" s="25">
        <v>37.369999</v>
      </c>
      <c r="D956" s="18">
        <f t="shared" si="126"/>
        <v>-2.7835588653371213E-2</v>
      </c>
      <c r="E956" s="32">
        <f t="shared" ca="1" si="127"/>
        <v>1.8205305851997544E-3</v>
      </c>
      <c r="F956" s="18">
        <f t="shared" ca="1" si="128"/>
        <v>58.416156140243523</v>
      </c>
      <c r="G956" s="19">
        <f t="shared" ca="1" si="129"/>
        <v>-0.10615514024352279</v>
      </c>
      <c r="H956" s="27">
        <v>55.57</v>
      </c>
      <c r="I956" s="19">
        <f t="shared" si="130"/>
        <v>2.8875654214042257E-3</v>
      </c>
      <c r="J956" s="19">
        <f t="shared" ca="1" si="131"/>
        <v>1.6670286203697867E-2</v>
      </c>
      <c r="K956" s="19">
        <f t="shared" ca="1" si="132"/>
        <v>84.881800161806154</v>
      </c>
      <c r="L956" s="19">
        <f t="shared" ca="1" si="133"/>
        <v>-1.3918021618061545</v>
      </c>
      <c r="M956" s="19">
        <f t="shared" ca="1" si="134"/>
        <v>-1.4979573020496773</v>
      </c>
      <c r="AA956" s="37">
        <v>936</v>
      </c>
      <c r="AB956" s="37">
        <v>1.6758270981537813</v>
      </c>
      <c r="AC956" s="37">
        <v>2.9880423216358842</v>
      </c>
      <c r="AD956" s="37">
        <v>3.3642786183799318</v>
      </c>
    </row>
    <row r="957" spans="2:30" x14ac:dyDescent="0.3">
      <c r="B957" s="28">
        <v>44022</v>
      </c>
      <c r="C957" s="25">
        <v>37.509998000000003</v>
      </c>
      <c r="D957" s="18">
        <f t="shared" si="126"/>
        <v>3.7462939188197542E-3</v>
      </c>
      <c r="E957" s="32">
        <f t="shared" ca="1" si="127"/>
        <v>-2.7426508556045559E-2</v>
      </c>
      <c r="F957" s="18">
        <f t="shared" ca="1" si="128"/>
        <v>56.710761258670473</v>
      </c>
      <c r="G957" s="19">
        <f t="shared" ca="1" si="129"/>
        <v>1.5992397413295265</v>
      </c>
      <c r="H957" s="27">
        <v>54.66</v>
      </c>
      <c r="I957" s="19">
        <f t="shared" si="130"/>
        <v>-1.6375742307000229E-2</v>
      </c>
      <c r="J957" s="19">
        <f t="shared" ca="1" si="131"/>
        <v>1.0532561743583293E-2</v>
      </c>
      <c r="K957" s="19">
        <f t="shared" ca="1" si="132"/>
        <v>84.369361558906633</v>
      </c>
      <c r="L957" s="19">
        <f t="shared" ca="1" si="133"/>
        <v>-0.87936355890663265</v>
      </c>
      <c r="M957" s="19">
        <f t="shared" ca="1" si="134"/>
        <v>0.71987618242289386</v>
      </c>
      <c r="AA957" s="37">
        <v>937</v>
      </c>
      <c r="AB957" s="37">
        <v>1.606076031540185</v>
      </c>
      <c r="AC957" s="37">
        <v>2.905533435471245</v>
      </c>
      <c r="AD957" s="37">
        <v>3.3671850940309103</v>
      </c>
    </row>
    <row r="958" spans="2:30" x14ac:dyDescent="0.3">
      <c r="B958" s="28">
        <v>44025</v>
      </c>
      <c r="C958" s="25">
        <v>37</v>
      </c>
      <c r="D958" s="18">
        <f t="shared" si="126"/>
        <v>-1.3596321706015657E-2</v>
      </c>
      <c r="E958" s="32">
        <f t="shared" ca="1" si="127"/>
        <v>1.5012157034322092E-2</v>
      </c>
      <c r="F958" s="18">
        <f t="shared" ca="1" si="128"/>
        <v>59.185359891683476</v>
      </c>
      <c r="G958" s="19">
        <f t="shared" ca="1" si="129"/>
        <v>-0.8753588916834758</v>
      </c>
      <c r="H958" s="27">
        <v>57.119999</v>
      </c>
      <c r="I958" s="19">
        <f t="shared" si="130"/>
        <v>4.500547017929013E-2</v>
      </c>
      <c r="J958" s="19">
        <f t="shared" ca="1" si="131"/>
        <v>2.1144346635168267E-2</v>
      </c>
      <c r="K958" s="19">
        <f t="shared" ca="1" si="132"/>
        <v>85.255339458281497</v>
      </c>
      <c r="L958" s="19">
        <f t="shared" ca="1" si="133"/>
        <v>-1.7653414582814975</v>
      </c>
      <c r="M958" s="19">
        <f t="shared" ca="1" si="134"/>
        <v>-2.6407003499649733</v>
      </c>
      <c r="AA958" s="37">
        <v>938</v>
      </c>
      <c r="AB958" s="37">
        <v>1.902617863911745</v>
      </c>
      <c r="AC958" s="37">
        <v>2.8443782806286459</v>
      </c>
      <c r="AD958" s="37">
        <v>3.3617026752201817</v>
      </c>
    </row>
    <row r="959" spans="2:30" x14ac:dyDescent="0.3">
      <c r="B959" s="28">
        <v>44026</v>
      </c>
      <c r="C959" s="25">
        <v>36.189999</v>
      </c>
      <c r="D959" s="18">
        <f t="shared" si="126"/>
        <v>-2.1891918918918951E-2</v>
      </c>
      <c r="E959" s="32">
        <f t="shared" ca="1" si="127"/>
        <v>-2.0704477277437419E-2</v>
      </c>
      <c r="F959" s="18">
        <f t="shared" ca="1" si="128"/>
        <v>57.102722909248151</v>
      </c>
      <c r="G959" s="19">
        <f t="shared" ca="1" si="129"/>
        <v>1.2072780907518492</v>
      </c>
      <c r="H959" s="27">
        <v>55.880001</v>
      </c>
      <c r="I959" s="19">
        <f t="shared" si="130"/>
        <v>-2.1708648839437128E-2</v>
      </c>
      <c r="J959" s="19">
        <f t="shared" ca="1" si="131"/>
        <v>6.9669210238268936E-3</v>
      </c>
      <c r="K959" s="19">
        <f t="shared" ca="1" si="132"/>
        <v>84.071666222345456</v>
      </c>
      <c r="L959" s="19">
        <f t="shared" ca="1" si="133"/>
        <v>-0.58166822234545634</v>
      </c>
      <c r="M959" s="19">
        <f t="shared" ca="1" si="134"/>
        <v>0.62560986840639288</v>
      </c>
      <c r="AA959" s="37">
        <v>939</v>
      </c>
      <c r="AB959" s="37">
        <v>1.7871301720947157</v>
      </c>
      <c r="AC959" s="37">
        <v>2.7872025218225116</v>
      </c>
      <c r="AD959" s="37">
        <v>3.5140389122317583</v>
      </c>
    </row>
    <row r="960" spans="2:30" x14ac:dyDescent="0.3">
      <c r="B960" s="28">
        <v>44027</v>
      </c>
      <c r="C960" s="25">
        <v>35.799999</v>
      </c>
      <c r="D960" s="18">
        <f t="shared" si="126"/>
        <v>-1.0776457882742729E-2</v>
      </c>
      <c r="E960" s="32">
        <f t="shared" ca="1" si="127"/>
        <v>4.3996317944592614E-4</v>
      </c>
      <c r="F960" s="18">
        <f t="shared" ca="1" si="128"/>
        <v>58.335655253433451</v>
      </c>
      <c r="G960" s="19">
        <f t="shared" ca="1" si="129"/>
        <v>-2.5654253433451402E-2</v>
      </c>
      <c r="H960" s="27">
        <v>55.900002000000001</v>
      </c>
      <c r="I960" s="19">
        <f t="shared" si="130"/>
        <v>3.5792769581366457E-4</v>
      </c>
      <c r="J960" s="19">
        <f t="shared" ca="1" si="131"/>
        <v>2.3299768259912066E-2</v>
      </c>
      <c r="K960" s="19">
        <f t="shared" ca="1" si="132"/>
        <v>85.435295605420521</v>
      </c>
      <c r="L960" s="19">
        <f t="shared" ca="1" si="133"/>
        <v>-1.9452976054205209</v>
      </c>
      <c r="M960" s="19">
        <f t="shared" ca="1" si="134"/>
        <v>-1.9709518588539723</v>
      </c>
      <c r="AA960" s="37">
        <v>940</v>
      </c>
      <c r="AB960" s="37">
        <v>1.8184423869421975</v>
      </c>
      <c r="AC960" s="37">
        <v>2.892546441512958</v>
      </c>
      <c r="AD960" s="37">
        <v>3.2518640348159336</v>
      </c>
    </row>
    <row r="961" spans="2:30" x14ac:dyDescent="0.3">
      <c r="B961" s="28">
        <v>44028</v>
      </c>
      <c r="C961" s="25">
        <v>35.82</v>
      </c>
      <c r="D961" s="18">
        <f t="shared" si="126"/>
        <v>5.5868716644380534E-4</v>
      </c>
      <c r="E961" s="32">
        <f t="shared" ca="1" si="127"/>
        <v>-1.8050765495340744E-2</v>
      </c>
      <c r="F961" s="18">
        <f t="shared" ca="1" si="128"/>
        <v>57.257460845915915</v>
      </c>
      <c r="G961" s="19">
        <f t="shared" ca="1" si="129"/>
        <v>1.0525401540840846</v>
      </c>
      <c r="H961" s="27">
        <v>55.09</v>
      </c>
      <c r="I961" s="19">
        <f t="shared" si="130"/>
        <v>-1.4490196261531363E-2</v>
      </c>
      <c r="J961" s="19">
        <f t="shared" ca="1" si="131"/>
        <v>-2.4486348891833223E-2</v>
      </c>
      <c r="K961" s="19">
        <f t="shared" ca="1" si="132"/>
        <v>81.445632779993545</v>
      </c>
      <c r="L961" s="19">
        <f t="shared" ca="1" si="133"/>
        <v>2.0443652200064548</v>
      </c>
      <c r="M961" s="19">
        <f t="shared" ca="1" si="134"/>
        <v>3.0969053740905395</v>
      </c>
      <c r="AA961" s="37">
        <v>941</v>
      </c>
      <c r="AB961" s="37">
        <v>1.8075311897119248</v>
      </c>
      <c r="AC961" s="37">
        <v>3.0113001634321259</v>
      </c>
      <c r="AD961" s="37">
        <v>3.3687522021953371</v>
      </c>
    </row>
    <row r="962" spans="2:30" x14ac:dyDescent="0.3">
      <c r="B962" s="28">
        <v>44029</v>
      </c>
      <c r="C962" s="25">
        <v>36.360000999999997</v>
      </c>
      <c r="D962" s="18">
        <f t="shared" si="126"/>
        <v>1.5075404801786707E-2</v>
      </c>
      <c r="E962" s="32">
        <f t="shared" ca="1" si="127"/>
        <v>1.605922645653024E-2</v>
      </c>
      <c r="F962" s="18">
        <f t="shared" ca="1" si="128"/>
        <v>59.246414510739505</v>
      </c>
      <c r="G962" s="19">
        <f t="shared" ca="1" si="129"/>
        <v>-0.93641351073950574</v>
      </c>
      <c r="H962" s="27">
        <v>54.540000999999997</v>
      </c>
      <c r="I962" s="19">
        <f t="shared" si="130"/>
        <v>-9.9836449446362163E-3</v>
      </c>
      <c r="J962" s="19">
        <f t="shared" ca="1" si="131"/>
        <v>9.7484135509009143E-3</v>
      </c>
      <c r="K962" s="19">
        <f t="shared" ca="1" si="132"/>
        <v>84.303893027867886</v>
      </c>
      <c r="L962" s="19">
        <f t="shared" ca="1" si="133"/>
        <v>-0.81389502786788626</v>
      </c>
      <c r="M962" s="19">
        <f t="shared" ca="1" si="134"/>
        <v>-1.750308538607392</v>
      </c>
      <c r="AA962" s="37">
        <v>942</v>
      </c>
      <c r="AB962" s="37">
        <v>1.764687805248754</v>
      </c>
      <c r="AC962" s="37">
        <v>2.8411582784335474</v>
      </c>
      <c r="AD962" s="37">
        <v>3.329861572506589</v>
      </c>
    </row>
    <row r="963" spans="2:30" x14ac:dyDescent="0.3">
      <c r="B963" s="28">
        <v>44032</v>
      </c>
      <c r="C963" s="25">
        <v>36.220001000000003</v>
      </c>
      <c r="D963" s="18">
        <f t="shared" si="126"/>
        <v>-3.8503849326074757E-3</v>
      </c>
      <c r="E963" s="32">
        <f t="shared" ca="1" si="127"/>
        <v>1.0258782542001833E-2</v>
      </c>
      <c r="F963" s="18">
        <f t="shared" ca="1" si="128"/>
        <v>58.908190620282902</v>
      </c>
      <c r="G963" s="19">
        <f t="shared" ca="1" si="129"/>
        <v>-0.59818962028290201</v>
      </c>
      <c r="H963" s="27">
        <v>54.740001999999997</v>
      </c>
      <c r="I963" s="19">
        <f t="shared" si="130"/>
        <v>3.6670516379344598E-3</v>
      </c>
      <c r="J963" s="19">
        <f t="shared" ca="1" si="131"/>
        <v>3.2127898575474263E-4</v>
      </c>
      <c r="K963" s="19">
        <f t="shared" ca="1" si="132"/>
        <v>83.516821581878105</v>
      </c>
      <c r="L963" s="19">
        <f t="shared" ca="1" si="133"/>
        <v>-2.6823581878105074E-2</v>
      </c>
      <c r="M963" s="19">
        <f t="shared" ca="1" si="134"/>
        <v>-0.62501320216100709</v>
      </c>
      <c r="AA963" s="37">
        <v>943</v>
      </c>
      <c r="AB963" s="37">
        <v>1.6607476971735449</v>
      </c>
      <c r="AC963" s="37">
        <v>2.9174135133076069</v>
      </c>
      <c r="AD963" s="37">
        <v>3.0597188713631183</v>
      </c>
    </row>
    <row r="964" spans="2:30" x14ac:dyDescent="0.3">
      <c r="B964" s="28">
        <v>44033</v>
      </c>
      <c r="C964" s="25">
        <v>36.770000000000003</v>
      </c>
      <c r="D964" s="18">
        <f t="shared" si="126"/>
        <v>1.5184952645362904E-2</v>
      </c>
      <c r="E964" s="32">
        <f t="shared" ca="1" si="127"/>
        <v>9.4658457944727693E-3</v>
      </c>
      <c r="F964" s="18">
        <f t="shared" ca="1" si="128"/>
        <v>58.861954477741548</v>
      </c>
      <c r="G964" s="19">
        <f t="shared" ca="1" si="129"/>
        <v>-0.55195347774154868</v>
      </c>
      <c r="H964" s="27">
        <v>54.32</v>
      </c>
      <c r="I964" s="19">
        <f t="shared" si="130"/>
        <v>-7.6726705271219497E-3</v>
      </c>
      <c r="J964" s="19">
        <f t="shared" ca="1" si="131"/>
        <v>1.6814228640659221E-2</v>
      </c>
      <c r="K964" s="19">
        <f t="shared" ca="1" si="132"/>
        <v>84.893817915580172</v>
      </c>
      <c r="L964" s="19">
        <f t="shared" ca="1" si="133"/>
        <v>-1.4038199155801721</v>
      </c>
      <c r="M964" s="19">
        <f t="shared" ca="1" si="134"/>
        <v>-1.9557733933217207</v>
      </c>
      <c r="AA964" s="37">
        <v>944</v>
      </c>
      <c r="AB964" s="37">
        <v>1.8393909858862125</v>
      </c>
      <c r="AC964" s="37">
        <v>2.8519318767946991</v>
      </c>
      <c r="AD964" s="37">
        <v>3.3632382570206016</v>
      </c>
    </row>
    <row r="965" spans="2:30" x14ac:dyDescent="0.3">
      <c r="B965" s="28">
        <v>44034</v>
      </c>
      <c r="C965" s="25">
        <v>37.369999</v>
      </c>
      <c r="D965" s="18">
        <f t="shared" si="126"/>
        <v>1.6317623062279019E-2</v>
      </c>
      <c r="E965" s="32">
        <f t="shared" ca="1" si="127"/>
        <v>-1.9651852234258513E-2</v>
      </c>
      <c r="F965" s="18">
        <f t="shared" ca="1" si="128"/>
        <v>57.164101476568533</v>
      </c>
      <c r="G965" s="19">
        <f t="shared" ca="1" si="129"/>
        <v>1.1458995234314671</v>
      </c>
      <c r="H965" s="27">
        <v>57.080002</v>
      </c>
      <c r="I965" s="19">
        <f t="shared" si="130"/>
        <v>5.0810051546391843E-2</v>
      </c>
      <c r="J965" s="19">
        <f t="shared" ca="1" si="131"/>
        <v>1.7852317420317378E-2</v>
      </c>
      <c r="K965" s="19">
        <f t="shared" ca="1" si="132"/>
        <v>84.980487945717655</v>
      </c>
      <c r="L965" s="19">
        <f t="shared" ca="1" si="133"/>
        <v>-1.4904899457176555</v>
      </c>
      <c r="M965" s="19">
        <f t="shared" ca="1" si="134"/>
        <v>-0.34459042228618841</v>
      </c>
      <c r="AA965" s="37">
        <v>945</v>
      </c>
      <c r="AB965" s="37">
        <v>1.8167874369708166</v>
      </c>
      <c r="AC965" s="37">
        <v>2.9041627519515627</v>
      </c>
      <c r="AD965" s="37">
        <v>3.4395610268714374</v>
      </c>
    </row>
    <row r="966" spans="2:30" x14ac:dyDescent="0.3">
      <c r="B966" s="28">
        <v>44035</v>
      </c>
      <c r="C966" s="25">
        <v>37.779998999999997</v>
      </c>
      <c r="D966" s="18">
        <f t="shared" si="126"/>
        <v>1.0971367700598478E-2</v>
      </c>
      <c r="E966" s="32">
        <f t="shared" ca="1" si="127"/>
        <v>-8.4708126700568567E-3</v>
      </c>
      <c r="F966" s="18">
        <f t="shared" ca="1" si="128"/>
        <v>57.816067904738169</v>
      </c>
      <c r="G966" s="19">
        <f t="shared" ca="1" si="129"/>
        <v>0.4939330952618306</v>
      </c>
      <c r="H966" s="27">
        <v>58.02</v>
      </c>
      <c r="I966" s="19">
        <f t="shared" si="130"/>
        <v>1.6468079310859141E-2</v>
      </c>
      <c r="J966" s="19">
        <f t="shared" ca="1" si="131"/>
        <v>8.2532306386673047E-4</v>
      </c>
      <c r="K966" s="19">
        <f t="shared" ca="1" si="132"/>
        <v>83.558904220951575</v>
      </c>
      <c r="L966" s="19">
        <f t="shared" ca="1" si="133"/>
        <v>-6.8906220951575392E-2</v>
      </c>
      <c r="M966" s="19">
        <f t="shared" ca="1" si="134"/>
        <v>0.42502687431025521</v>
      </c>
      <c r="AA966" s="37">
        <v>946</v>
      </c>
      <c r="AB966" s="37">
        <v>1.8556882294189585</v>
      </c>
      <c r="AC966" s="37">
        <v>2.965098058076046</v>
      </c>
      <c r="AD966" s="37">
        <v>3.324871992189391</v>
      </c>
    </row>
    <row r="967" spans="2:30" x14ac:dyDescent="0.3">
      <c r="B967" s="28">
        <v>44036</v>
      </c>
      <c r="C967" s="25">
        <v>38.939999</v>
      </c>
      <c r="D967" s="18">
        <f t="shared" si="126"/>
        <v>3.0704077043517186E-2</v>
      </c>
      <c r="E967" s="32">
        <f t="shared" ca="1" si="127"/>
        <v>-1.5666995673743144E-2</v>
      </c>
      <c r="F967" s="18">
        <f t="shared" ca="1" si="128"/>
        <v>57.396458466597039</v>
      </c>
      <c r="G967" s="19">
        <f t="shared" ca="1" si="129"/>
        <v>0.91354253340296054</v>
      </c>
      <c r="H967" s="27">
        <v>58.98</v>
      </c>
      <c r="I967" s="19">
        <f t="shared" si="130"/>
        <v>1.6546018614270741E-2</v>
      </c>
      <c r="J967" s="19">
        <f t="shared" ca="1" si="131"/>
        <v>-1.5014391589479197E-2</v>
      </c>
      <c r="K967" s="19">
        <f t="shared" ca="1" si="132"/>
        <v>82.236446476223165</v>
      </c>
      <c r="L967" s="19">
        <f t="shared" ca="1" si="133"/>
        <v>1.2535515237768351</v>
      </c>
      <c r="M967" s="19">
        <f t="shared" ca="1" si="134"/>
        <v>2.1670940571797956</v>
      </c>
      <c r="AA967" s="37">
        <v>947</v>
      </c>
      <c r="AB967" s="37">
        <v>1.8783793171612968</v>
      </c>
      <c r="AC967" s="37">
        <v>2.7929982920143104</v>
      </c>
      <c r="AD967" s="37">
        <v>3.1717908215965092</v>
      </c>
    </row>
    <row r="968" spans="2:30" x14ac:dyDescent="0.3">
      <c r="B968" s="28">
        <v>44039</v>
      </c>
      <c r="C968" s="25">
        <v>39.209999000000003</v>
      </c>
      <c r="D968" s="18">
        <f t="shared" ref="D968:D1031" si="135">C968/C967-1</f>
        <v>6.9337443999422099E-3</v>
      </c>
      <c r="E968" s="32">
        <f t="shared" ref="E968:E1031" ca="1" si="136">NORMINV(RAND(),$E$3,$E$4)</f>
        <v>-3.692140205934575E-3</v>
      </c>
      <c r="F968" s="18">
        <f t="shared" ref="F968:F1031" ca="1" si="137">$C$1261*(1+E968)</f>
        <v>58.094712300899815</v>
      </c>
      <c r="G968" s="19">
        <f t="shared" ref="G968:G1031" ca="1" si="138">$C$1261-F968</f>
        <v>0.215288699100185</v>
      </c>
      <c r="H968" s="27">
        <v>59.470001000000003</v>
      </c>
      <c r="I968" s="19">
        <f t="shared" ref="I968:I1031" si="139">H968/H967-1</f>
        <v>8.3079179382843371E-3</v>
      </c>
      <c r="J968" s="19">
        <f t="shared" ref="J968:J1031" ca="1" si="140">NORMINV(RAND(),$J$3,$J$4)</f>
        <v>-5.3692541434296765E-3</v>
      </c>
      <c r="K968" s="19">
        <f t="shared" ref="K968:K1031" ca="1" si="141">$H$1261*(1+J968)</f>
        <v>83.041718982303564</v>
      </c>
      <c r="L968" s="19">
        <f t="shared" ref="L968:L1031" ca="1" si="142">$H$1261-K968</f>
        <v>0.44827901769643574</v>
      </c>
      <c r="M968" s="19">
        <f t="shared" ref="M968:M1031" ca="1" si="143">SUM(G968,L968)</f>
        <v>0.66356771679662074</v>
      </c>
      <c r="AA968" s="37">
        <v>948</v>
      </c>
      <c r="AB968" s="37">
        <v>1.8248398044870617</v>
      </c>
      <c r="AC968" s="37">
        <v>2.9775116172130298</v>
      </c>
      <c r="AD968" s="37">
        <v>3.345367988494615</v>
      </c>
    </row>
    <row r="969" spans="2:30" x14ac:dyDescent="0.3">
      <c r="B969" s="28">
        <v>44040</v>
      </c>
      <c r="C969" s="25">
        <v>44.73</v>
      </c>
      <c r="D969" s="18">
        <f t="shared" si="135"/>
        <v>0.14078044225402797</v>
      </c>
      <c r="E969" s="32">
        <f t="shared" ca="1" si="136"/>
        <v>2.0838531261164684E-2</v>
      </c>
      <c r="F969" s="18">
        <f t="shared" ca="1" si="137"/>
        <v>59.525095778677048</v>
      </c>
      <c r="G969" s="19">
        <f t="shared" ca="1" si="138"/>
        <v>-1.2150947786770487</v>
      </c>
      <c r="H969" s="27">
        <v>61.48</v>
      </c>
      <c r="I969" s="19">
        <f t="shared" si="139"/>
        <v>3.3798536509188848E-2</v>
      </c>
      <c r="J969" s="19">
        <f t="shared" ca="1" si="140"/>
        <v>5.6708829495426168E-3</v>
      </c>
      <c r="K969" s="19">
        <f t="shared" ca="1" si="141"/>
        <v>83.963460006115554</v>
      </c>
      <c r="L969" s="19">
        <f t="shared" ca="1" si="142"/>
        <v>-0.47346200611555389</v>
      </c>
      <c r="M969" s="19">
        <f t="shared" ca="1" si="143"/>
        <v>-1.6885567847926026</v>
      </c>
      <c r="AA969" s="37">
        <v>949</v>
      </c>
      <c r="AB969" s="37">
        <v>1.8214476319038644</v>
      </c>
      <c r="AC969" s="37">
        <v>2.8252907482321232</v>
      </c>
      <c r="AD969" s="37">
        <v>3.1325753187684171</v>
      </c>
    </row>
    <row r="970" spans="2:30" x14ac:dyDescent="0.3">
      <c r="B970" s="28">
        <v>44041</v>
      </c>
      <c r="C970" s="25">
        <v>42.130001</v>
      </c>
      <c r="D970" s="18">
        <f t="shared" si="135"/>
        <v>-5.8126514643416005E-2</v>
      </c>
      <c r="E970" s="32">
        <f t="shared" ca="1" si="136"/>
        <v>-8.6671212858814174E-3</v>
      </c>
      <c r="F970" s="18">
        <f t="shared" ca="1" si="137"/>
        <v>57.804621149153135</v>
      </c>
      <c r="G970" s="19">
        <f t="shared" ca="1" si="138"/>
        <v>0.50537985084686454</v>
      </c>
      <c r="H970" s="27">
        <v>59.75</v>
      </c>
      <c r="I970" s="19">
        <f t="shared" si="139"/>
        <v>-2.8139232270657066E-2</v>
      </c>
      <c r="J970" s="19">
        <f t="shared" ca="1" si="140"/>
        <v>-1.7355844513846169E-2</v>
      </c>
      <c r="K970" s="19">
        <f t="shared" ca="1" si="141"/>
        <v>82.040958576250674</v>
      </c>
      <c r="L970" s="19">
        <f t="shared" ca="1" si="142"/>
        <v>1.4490394237493263</v>
      </c>
      <c r="M970" s="19">
        <f t="shared" ca="1" si="143"/>
        <v>1.9544192745961908</v>
      </c>
      <c r="AA970" s="37">
        <v>950</v>
      </c>
      <c r="AB970" s="37">
        <v>1.9057082334840014</v>
      </c>
      <c r="AC970" s="37">
        <v>2.956892606219621</v>
      </c>
      <c r="AD970" s="37">
        <v>3.2952263345284432</v>
      </c>
    </row>
    <row r="971" spans="2:30" x14ac:dyDescent="0.3">
      <c r="B971" s="28">
        <v>44042</v>
      </c>
      <c r="C971" s="25">
        <v>40.93</v>
      </c>
      <c r="D971" s="18">
        <f t="shared" si="135"/>
        <v>-2.8483289141151502E-2</v>
      </c>
      <c r="E971" s="32">
        <f t="shared" ca="1" si="136"/>
        <v>-1.3300880982583595E-2</v>
      </c>
      <c r="F971" s="18">
        <f t="shared" ca="1" si="137"/>
        <v>57.534426616604669</v>
      </c>
      <c r="G971" s="19">
        <f t="shared" ca="1" si="138"/>
        <v>0.77557438339533036</v>
      </c>
      <c r="H971" s="27">
        <v>56.720001000000003</v>
      </c>
      <c r="I971" s="19">
        <f t="shared" si="139"/>
        <v>-5.0711280334727937E-2</v>
      </c>
      <c r="J971" s="19">
        <f t="shared" ca="1" si="140"/>
        <v>9.3458122009206102E-3</v>
      </c>
      <c r="K971" s="19">
        <f t="shared" ca="1" si="141"/>
        <v>84.270279841963244</v>
      </c>
      <c r="L971" s="19">
        <f t="shared" ca="1" si="142"/>
        <v>-0.78028184196324446</v>
      </c>
      <c r="M971" s="19">
        <f t="shared" ca="1" si="143"/>
        <v>-4.7074585679141023E-3</v>
      </c>
      <c r="AA971" s="37">
        <v>951</v>
      </c>
      <c r="AB971" s="37">
        <v>1.7581539457702506</v>
      </c>
      <c r="AC971" s="37">
        <v>2.7086508573457317</v>
      </c>
      <c r="AD971" s="37">
        <v>3.3082453143211201</v>
      </c>
    </row>
    <row r="972" spans="2:30" x14ac:dyDescent="0.3">
      <c r="B972" s="28">
        <v>44043</v>
      </c>
      <c r="C972" s="25">
        <v>40.090000000000003</v>
      </c>
      <c r="D972" s="18">
        <f t="shared" si="135"/>
        <v>-2.0522843879794639E-2</v>
      </c>
      <c r="E972" s="32">
        <f t="shared" ca="1" si="136"/>
        <v>3.0746657260723138E-2</v>
      </c>
      <c r="F972" s="18">
        <f t="shared" ca="1" si="137"/>
        <v>60.102838615619419</v>
      </c>
      <c r="G972" s="19">
        <f t="shared" ca="1" si="138"/>
        <v>-1.792837615619419</v>
      </c>
      <c r="H972" s="27">
        <v>56.209999000000003</v>
      </c>
      <c r="I972" s="19">
        <f t="shared" si="139"/>
        <v>-8.9915724789920715E-3</v>
      </c>
      <c r="J972" s="19">
        <f t="shared" ca="1" si="140"/>
        <v>-1.3705815385250118E-2</v>
      </c>
      <c r="K972" s="19">
        <f t="shared" ca="1" si="141"/>
        <v>82.345699500897098</v>
      </c>
      <c r="L972" s="19">
        <f t="shared" ca="1" si="142"/>
        <v>1.1442984991029022</v>
      </c>
      <c r="M972" s="19">
        <f t="shared" ca="1" si="143"/>
        <v>-0.64853911651651686</v>
      </c>
      <c r="AA972" s="37">
        <v>952</v>
      </c>
      <c r="AB972" s="37">
        <v>1.7165694852138798</v>
      </c>
      <c r="AC972" s="37">
        <v>2.8986985662062961</v>
      </c>
      <c r="AD972" s="37">
        <v>3.3832960909234644</v>
      </c>
    </row>
    <row r="973" spans="2:30" x14ac:dyDescent="0.3">
      <c r="B973" s="28">
        <v>44046</v>
      </c>
      <c r="C973" s="25">
        <v>41.290000999999997</v>
      </c>
      <c r="D973" s="18">
        <f t="shared" si="135"/>
        <v>2.9932676477924414E-2</v>
      </c>
      <c r="E973" s="32">
        <f t="shared" ca="1" si="136"/>
        <v>5.3833174426884444E-3</v>
      </c>
      <c r="F973" s="18">
        <f t="shared" ca="1" si="137"/>
        <v>58.623902245466482</v>
      </c>
      <c r="G973" s="19">
        <f t="shared" ca="1" si="138"/>
        <v>-0.31390124546648224</v>
      </c>
      <c r="H973" s="27">
        <v>57.009998000000003</v>
      </c>
      <c r="I973" s="19">
        <f t="shared" si="139"/>
        <v>1.4232325462236739E-2</v>
      </c>
      <c r="J973" s="19">
        <f t="shared" ca="1" si="140"/>
        <v>3.6526447263800749E-2</v>
      </c>
      <c r="K973" s="19">
        <f t="shared" ca="1" si="141"/>
        <v>86.539591009001825</v>
      </c>
      <c r="L973" s="19">
        <f t="shared" ca="1" si="142"/>
        <v>-3.0495930090018248</v>
      </c>
      <c r="M973" s="19">
        <f t="shared" ca="1" si="143"/>
        <v>-3.3634942544683071</v>
      </c>
      <c r="AA973" s="37">
        <v>953</v>
      </c>
      <c r="AB973" s="37">
        <v>1.6035059346256026</v>
      </c>
      <c r="AC973" s="37">
        <v>2.8672316320471865</v>
      </c>
      <c r="AD973" s="37">
        <v>3.0002168700084324</v>
      </c>
    </row>
    <row r="974" spans="2:30" x14ac:dyDescent="0.3">
      <c r="B974" s="28">
        <v>44047</v>
      </c>
      <c r="C974" s="25">
        <v>41.130001</v>
      </c>
      <c r="D974" s="18">
        <f t="shared" si="135"/>
        <v>-3.8750301798248232E-3</v>
      </c>
      <c r="E974" s="32">
        <f t="shared" ca="1" si="136"/>
        <v>-1.0483557243162049E-2</v>
      </c>
      <c r="F974" s="18">
        <f t="shared" ca="1" si="137"/>
        <v>57.69870476666766</v>
      </c>
      <c r="G974" s="19">
        <f t="shared" ca="1" si="138"/>
        <v>0.61129623333233951</v>
      </c>
      <c r="H974" s="27">
        <v>57.98</v>
      </c>
      <c r="I974" s="19">
        <f t="shared" si="139"/>
        <v>1.7014594527787752E-2</v>
      </c>
      <c r="J974" s="19">
        <f t="shared" ca="1" si="140"/>
        <v>1.3006673899489594E-2</v>
      </c>
      <c r="K974" s="19">
        <f t="shared" ca="1" si="141"/>
        <v>84.575925177855041</v>
      </c>
      <c r="L974" s="19">
        <f t="shared" ca="1" si="142"/>
        <v>-1.0859271778550408</v>
      </c>
      <c r="M974" s="19">
        <f t="shared" ca="1" si="143"/>
        <v>-0.47463094452270127</v>
      </c>
      <c r="AA974" s="37">
        <v>954</v>
      </c>
      <c r="AB974" s="37">
        <v>1.8254505375938177</v>
      </c>
      <c r="AC974" s="37">
        <v>2.782518606669703</v>
      </c>
      <c r="AD974" s="37">
        <v>3.2792280445147703</v>
      </c>
    </row>
    <row r="975" spans="2:30" x14ac:dyDescent="0.3">
      <c r="B975" s="28">
        <v>44048</v>
      </c>
      <c r="C975" s="25">
        <v>41.73</v>
      </c>
      <c r="D975" s="18">
        <f t="shared" si="135"/>
        <v>1.4587867381768316E-2</v>
      </c>
      <c r="E975" s="32">
        <f t="shared" ca="1" si="136"/>
        <v>-1.3913215292249289E-2</v>
      </c>
      <c r="F975" s="18">
        <f t="shared" ca="1" si="137"/>
        <v>57.498721402395724</v>
      </c>
      <c r="G975" s="19">
        <f t="shared" ca="1" si="138"/>
        <v>0.81127959760427615</v>
      </c>
      <c r="H975" s="27">
        <v>61.619999</v>
      </c>
      <c r="I975" s="19">
        <f t="shared" si="139"/>
        <v>6.2780251810969467E-2</v>
      </c>
      <c r="J975" s="19">
        <f t="shared" ca="1" si="140"/>
        <v>5.4320218983546845E-3</v>
      </c>
      <c r="K975" s="19">
        <f t="shared" ca="1" si="141"/>
        <v>83.943517497429596</v>
      </c>
      <c r="L975" s="19">
        <f t="shared" ca="1" si="142"/>
        <v>-0.45351949742959619</v>
      </c>
      <c r="M975" s="19">
        <f t="shared" ca="1" si="143"/>
        <v>0.35776010017467996</v>
      </c>
      <c r="AA975" s="37">
        <v>955</v>
      </c>
      <c r="AB975" s="37">
        <v>1.8709630730952753</v>
      </c>
      <c r="AC975" s="37">
        <v>2.8358719510258248</v>
      </c>
      <c r="AD975" s="37">
        <v>3.3251580938628709</v>
      </c>
    </row>
    <row r="976" spans="2:30" x14ac:dyDescent="0.3">
      <c r="B976" s="28">
        <v>44049</v>
      </c>
      <c r="C976" s="25">
        <v>40.709999000000003</v>
      </c>
      <c r="D976" s="18">
        <f t="shared" si="135"/>
        <v>-2.4442870836328678E-2</v>
      </c>
      <c r="E976" s="32">
        <f t="shared" ca="1" si="136"/>
        <v>-2.4542670119580578E-3</v>
      </c>
      <c r="F976" s="18">
        <f t="shared" ca="1" si="137"/>
        <v>58.166892688078455</v>
      </c>
      <c r="G976" s="19">
        <f t="shared" ca="1" si="138"/>
        <v>0.14310831192154438</v>
      </c>
      <c r="H976" s="27">
        <v>61.779998999999997</v>
      </c>
      <c r="I976" s="19">
        <f t="shared" si="139"/>
        <v>2.5965596007231362E-3</v>
      </c>
      <c r="J976" s="19">
        <f t="shared" ca="1" si="140"/>
        <v>2.5389404063664692E-2</v>
      </c>
      <c r="K976" s="19">
        <f t="shared" ca="1" si="141"/>
        <v>85.609759294496556</v>
      </c>
      <c r="L976" s="19">
        <f t="shared" ca="1" si="142"/>
        <v>-2.1197612944965556</v>
      </c>
      <c r="M976" s="19">
        <f t="shared" ca="1" si="143"/>
        <v>-1.9766529825750112</v>
      </c>
      <c r="AA976" s="37">
        <v>956</v>
      </c>
      <c r="AB976" s="37">
        <v>1.9865017541618526</v>
      </c>
      <c r="AC976" s="37">
        <v>2.7913945613738318</v>
      </c>
      <c r="AD976" s="37">
        <v>3.4541953361123143</v>
      </c>
    </row>
    <row r="977" spans="2:30" x14ac:dyDescent="0.3">
      <c r="B977" s="28">
        <v>44050</v>
      </c>
      <c r="C977" s="25">
        <v>40.040000999999997</v>
      </c>
      <c r="D977" s="18">
        <f t="shared" si="135"/>
        <v>-1.645782403482754E-2</v>
      </c>
      <c r="E977" s="32">
        <f t="shared" ca="1" si="136"/>
        <v>1.8796265485369567E-2</v>
      </c>
      <c r="F977" s="18">
        <f t="shared" ca="1" si="137"/>
        <v>59.40601125924816</v>
      </c>
      <c r="G977" s="19">
        <f t="shared" ca="1" si="138"/>
        <v>-1.0960102592481604</v>
      </c>
      <c r="H977" s="27">
        <v>59.360000999999997</v>
      </c>
      <c r="I977" s="19">
        <f t="shared" si="139"/>
        <v>-3.9171221093739383E-2</v>
      </c>
      <c r="J977" s="19">
        <f t="shared" ca="1" si="140"/>
        <v>8.9803245068355748E-3</v>
      </c>
      <c r="K977" s="19">
        <f t="shared" ca="1" si="141"/>
        <v>84.239765275115062</v>
      </c>
      <c r="L977" s="19">
        <f t="shared" ca="1" si="142"/>
        <v>-0.74976727511506169</v>
      </c>
      <c r="M977" s="19">
        <f t="shared" ca="1" si="143"/>
        <v>-1.8457775343632221</v>
      </c>
      <c r="AA977" s="37">
        <v>957</v>
      </c>
      <c r="AB977" s="37">
        <v>1.7468797906580575</v>
      </c>
      <c r="AC977" s="37">
        <v>2.7941851768774959</v>
      </c>
      <c r="AD977" s="37">
        <v>3.4830230097690364</v>
      </c>
    </row>
    <row r="978" spans="2:30" x14ac:dyDescent="0.3">
      <c r="B978" s="28">
        <v>44053</v>
      </c>
      <c r="C978" s="25">
        <v>41.549999</v>
      </c>
      <c r="D978" s="18">
        <f t="shared" si="135"/>
        <v>3.7712236820373723E-2</v>
      </c>
      <c r="E978" s="32">
        <f t="shared" ca="1" si="136"/>
        <v>-2.4224888643340166E-2</v>
      </c>
      <c r="F978" s="18">
        <f t="shared" ca="1" si="137"/>
        <v>56.897447718981944</v>
      </c>
      <c r="G978" s="19">
        <f t="shared" ca="1" si="138"/>
        <v>1.4125532810180559</v>
      </c>
      <c r="H978" s="27">
        <v>59.07</v>
      </c>
      <c r="I978" s="19">
        <f t="shared" si="139"/>
        <v>-4.8854615079941821E-3</v>
      </c>
      <c r="J978" s="19">
        <f t="shared" ca="1" si="140"/>
        <v>-2.8114157907528636E-2</v>
      </c>
      <c r="K978" s="19">
        <f t="shared" ca="1" si="141"/>
        <v>81.142747012528758</v>
      </c>
      <c r="L978" s="19">
        <f t="shared" ca="1" si="142"/>
        <v>2.3472509874712415</v>
      </c>
      <c r="M978" s="19">
        <f t="shared" ca="1" si="143"/>
        <v>3.7598042684892974</v>
      </c>
      <c r="AA978" s="37">
        <v>958</v>
      </c>
      <c r="AB978" s="37">
        <v>1.8638455317804761</v>
      </c>
      <c r="AC978" s="37">
        <v>2.8627581150759194</v>
      </c>
      <c r="AD978" s="37">
        <v>3.2950734850700512</v>
      </c>
    </row>
    <row r="979" spans="2:30" x14ac:dyDescent="0.3">
      <c r="B979" s="28">
        <v>44054</v>
      </c>
      <c r="C979" s="25">
        <v>41.619999</v>
      </c>
      <c r="D979" s="18">
        <f t="shared" si="135"/>
        <v>1.6847172487297613E-3</v>
      </c>
      <c r="E979" s="32">
        <f t="shared" ca="1" si="136"/>
        <v>3.4210271756761469E-3</v>
      </c>
      <c r="F979" s="18">
        <f t="shared" ca="1" si="137"/>
        <v>58.509481098034698</v>
      </c>
      <c r="G979" s="19">
        <f t="shared" ca="1" si="138"/>
        <v>-0.19948009803469802</v>
      </c>
      <c r="H979" s="27">
        <v>58.57</v>
      </c>
      <c r="I979" s="19">
        <f t="shared" si="139"/>
        <v>-8.4645336041984098E-3</v>
      </c>
      <c r="J979" s="19">
        <f t="shared" ca="1" si="140"/>
        <v>3.645258454668443E-2</v>
      </c>
      <c r="K979" s="19">
        <f t="shared" ca="1" si="141"/>
        <v>86.533424210897522</v>
      </c>
      <c r="L979" s="19">
        <f t="shared" ca="1" si="142"/>
        <v>-3.0434262108975219</v>
      </c>
      <c r="M979" s="19">
        <f t="shared" ca="1" si="143"/>
        <v>-3.2429063089322199</v>
      </c>
      <c r="AA979" s="37">
        <v>959</v>
      </c>
      <c r="AB979" s="37">
        <v>1.7733418995680721</v>
      </c>
      <c r="AC979" s="37">
        <v>2.6855408542008874</v>
      </c>
      <c r="AD979" s="37">
        <v>3.5384907377189725</v>
      </c>
    </row>
    <row r="980" spans="2:30" x14ac:dyDescent="0.3">
      <c r="B980" s="28">
        <v>44055</v>
      </c>
      <c r="C980" s="25">
        <v>41.299999</v>
      </c>
      <c r="D980" s="18">
        <f t="shared" si="135"/>
        <v>-7.6886114293275298E-3</v>
      </c>
      <c r="E980" s="32">
        <f t="shared" ca="1" si="136"/>
        <v>-4.8474769258576779E-2</v>
      </c>
      <c r="F980" s="18">
        <f t="shared" ca="1" si="137"/>
        <v>55.483437156057619</v>
      </c>
      <c r="G980" s="19">
        <f t="shared" ca="1" si="138"/>
        <v>2.826563843942381</v>
      </c>
      <c r="H980" s="27">
        <v>58.299999</v>
      </c>
      <c r="I980" s="19">
        <f t="shared" si="139"/>
        <v>-4.6098856069660687E-3</v>
      </c>
      <c r="J980" s="19">
        <f t="shared" ca="1" si="140"/>
        <v>-2.6385746901514247E-2</v>
      </c>
      <c r="K980" s="19">
        <f t="shared" ca="1" si="141"/>
        <v>81.287052043964067</v>
      </c>
      <c r="L980" s="19">
        <f t="shared" ca="1" si="142"/>
        <v>2.2029459560359328</v>
      </c>
      <c r="M980" s="19">
        <f t="shared" ca="1" si="143"/>
        <v>5.0295097999783138</v>
      </c>
      <c r="AA980" s="37">
        <v>960</v>
      </c>
      <c r="AB980" s="37">
        <v>1.701456972680677</v>
      </c>
      <c r="AC980" s="37">
        <v>2.7193306108836675</v>
      </c>
      <c r="AD980" s="37">
        <v>3.3745122450583507</v>
      </c>
    </row>
    <row r="981" spans="2:30" x14ac:dyDescent="0.3">
      <c r="B981" s="28">
        <v>44056</v>
      </c>
      <c r="C981" s="25">
        <v>41.299999</v>
      </c>
      <c r="D981" s="18">
        <f t="shared" si="135"/>
        <v>0</v>
      </c>
      <c r="E981" s="32">
        <f t="shared" ca="1" si="136"/>
        <v>-1.5544739867534515E-2</v>
      </c>
      <c r="F981" s="18">
        <f t="shared" ca="1" si="137"/>
        <v>57.403587202779327</v>
      </c>
      <c r="G981" s="19">
        <f t="shared" ca="1" si="138"/>
        <v>0.90641379722067228</v>
      </c>
      <c r="H981" s="27">
        <v>58.82</v>
      </c>
      <c r="I981" s="19">
        <f t="shared" si="139"/>
        <v>8.9193998099381666E-3</v>
      </c>
      <c r="J981" s="19">
        <f t="shared" ca="1" si="140"/>
        <v>-1.0990546991015213E-2</v>
      </c>
      <c r="K981" s="19">
        <f t="shared" ca="1" si="141"/>
        <v>82.57239725370124</v>
      </c>
      <c r="L981" s="19">
        <f t="shared" ca="1" si="142"/>
        <v>0.91760074629875987</v>
      </c>
      <c r="M981" s="19">
        <f t="shared" ca="1" si="143"/>
        <v>1.8240145435194322</v>
      </c>
      <c r="AA981" s="37">
        <v>961</v>
      </c>
      <c r="AB981" s="37">
        <v>1.7739057406031906</v>
      </c>
      <c r="AC981" s="37">
        <v>2.9172294770045326</v>
      </c>
      <c r="AD981" s="37">
        <v>3.3573927381568978</v>
      </c>
    </row>
    <row r="982" spans="2:30" x14ac:dyDescent="0.3">
      <c r="B982" s="28">
        <v>44057</v>
      </c>
      <c r="C982" s="25">
        <v>41.450001</v>
      </c>
      <c r="D982" s="18">
        <f t="shared" si="135"/>
        <v>3.632009773172129E-3</v>
      </c>
      <c r="E982" s="32">
        <f t="shared" ca="1" si="136"/>
        <v>4.7412761741483884E-3</v>
      </c>
      <c r="F982" s="18">
        <f t="shared" ca="1" si="137"/>
        <v>58.586464818455866</v>
      </c>
      <c r="G982" s="19">
        <f t="shared" ca="1" si="138"/>
        <v>-0.27646381845586632</v>
      </c>
      <c r="H982" s="27">
        <v>59.25</v>
      </c>
      <c r="I982" s="19">
        <f t="shared" si="139"/>
        <v>7.3104386263176391E-3</v>
      </c>
      <c r="J982" s="19">
        <f t="shared" ca="1" si="140"/>
        <v>1.6265394077335994E-2</v>
      </c>
      <c r="K982" s="19">
        <f t="shared" ca="1" si="141"/>
        <v>84.847995718985999</v>
      </c>
      <c r="L982" s="19">
        <f t="shared" ca="1" si="142"/>
        <v>-1.3579977189859989</v>
      </c>
      <c r="M982" s="19">
        <f t="shared" ca="1" si="143"/>
        <v>-1.6344615374418652</v>
      </c>
      <c r="AA982" s="37">
        <v>962</v>
      </c>
      <c r="AB982" s="37">
        <v>1.845601647654262</v>
      </c>
      <c r="AC982" s="37">
        <v>2.8376749224282305</v>
      </c>
      <c r="AD982" s="37">
        <v>3.2321439326834169</v>
      </c>
    </row>
    <row r="983" spans="2:30" x14ac:dyDescent="0.3">
      <c r="B983" s="28">
        <v>44060</v>
      </c>
      <c r="C983" s="25">
        <v>43.59</v>
      </c>
      <c r="D983" s="18">
        <f t="shared" si="135"/>
        <v>5.1628442662763785E-2</v>
      </c>
      <c r="E983" s="32">
        <f t="shared" ca="1" si="136"/>
        <v>2.4733198653136987E-2</v>
      </c>
      <c r="F983" s="18">
        <f t="shared" ca="1" si="137"/>
        <v>59.752193838197613</v>
      </c>
      <c r="G983" s="19">
        <f t="shared" ca="1" si="138"/>
        <v>-1.442192838197613</v>
      </c>
      <c r="H983" s="27">
        <v>58.77</v>
      </c>
      <c r="I983" s="19">
        <f t="shared" si="139"/>
        <v>-8.1012658227848089E-3</v>
      </c>
      <c r="J983" s="19">
        <f t="shared" ca="1" si="140"/>
        <v>1.7413494887858122E-2</v>
      </c>
      <c r="K983" s="19">
        <f t="shared" ca="1" si="141"/>
        <v>84.943850653360286</v>
      </c>
      <c r="L983" s="19">
        <f t="shared" ca="1" si="142"/>
        <v>-1.4538526533602862</v>
      </c>
      <c r="M983" s="19">
        <f t="shared" ca="1" si="143"/>
        <v>-2.8960454915578993</v>
      </c>
      <c r="AA983" s="37">
        <v>963</v>
      </c>
      <c r="AB983" s="37">
        <v>1.8096472989500285</v>
      </c>
      <c r="AC983" s="37">
        <v>2.82208651155113</v>
      </c>
      <c r="AD983" s="37">
        <v>3.1873419895530968</v>
      </c>
    </row>
    <row r="984" spans="2:30" x14ac:dyDescent="0.3">
      <c r="B984" s="28">
        <v>44061</v>
      </c>
      <c r="C984" s="25">
        <v>44.830002</v>
      </c>
      <c r="D984" s="18">
        <f t="shared" si="135"/>
        <v>2.8446937370956604E-2</v>
      </c>
      <c r="E984" s="32">
        <f t="shared" ca="1" si="136"/>
        <v>-2.0072100169192639E-3</v>
      </c>
      <c r="F984" s="18">
        <f t="shared" ca="1" si="137"/>
        <v>58.192960581906227</v>
      </c>
      <c r="G984" s="19">
        <f t="shared" ca="1" si="138"/>
        <v>0.1170404180937723</v>
      </c>
      <c r="H984" s="27">
        <v>59</v>
      </c>
      <c r="I984" s="19">
        <f t="shared" si="139"/>
        <v>3.9135613408201042E-3</v>
      </c>
      <c r="J984" s="19">
        <f t="shared" ca="1" si="140"/>
        <v>1.1953573043900264E-3</v>
      </c>
      <c r="K984" s="19">
        <f t="shared" ca="1" si="141"/>
        <v>83.589798378952821</v>
      </c>
      <c r="L984" s="19">
        <f t="shared" ca="1" si="142"/>
        <v>-9.9800378952821234E-2</v>
      </c>
      <c r="M984" s="19">
        <f t="shared" ca="1" si="143"/>
        <v>1.7240039140951069E-2</v>
      </c>
      <c r="AA984" s="37">
        <v>964</v>
      </c>
      <c r="AB984" s="37">
        <v>1.7698132500593484</v>
      </c>
      <c r="AC984" s="37">
        <v>2.8752160375977507</v>
      </c>
      <c r="AD984" s="37">
        <v>3.2762942338053747</v>
      </c>
    </row>
    <row r="985" spans="2:30" x14ac:dyDescent="0.3">
      <c r="B985" s="28">
        <v>44062</v>
      </c>
      <c r="C985" s="25">
        <v>44.860000999999997</v>
      </c>
      <c r="D985" s="18">
        <f t="shared" si="135"/>
        <v>6.6917239932307027E-4</v>
      </c>
      <c r="E985" s="32">
        <f t="shared" ca="1" si="136"/>
        <v>-2.319223508375259E-2</v>
      </c>
      <c r="F985" s="18">
        <f t="shared" ca="1" si="137"/>
        <v>56.957661749074155</v>
      </c>
      <c r="G985" s="19">
        <f t="shared" ca="1" si="138"/>
        <v>1.3523392509258443</v>
      </c>
      <c r="H985" s="27">
        <v>61.200001</v>
      </c>
      <c r="I985" s="19">
        <f t="shared" si="139"/>
        <v>3.7288152542372943E-2</v>
      </c>
      <c r="J985" s="19">
        <f t="shared" ca="1" si="140"/>
        <v>3.0319434400839611E-2</v>
      </c>
      <c r="K985" s="19">
        <f t="shared" ca="1" si="141"/>
        <v>86.021367517487221</v>
      </c>
      <c r="L985" s="19">
        <f t="shared" ca="1" si="142"/>
        <v>-2.5313695174872208</v>
      </c>
      <c r="M985" s="19">
        <f t="shared" ca="1" si="143"/>
        <v>-1.1790302665613765</v>
      </c>
      <c r="AA985" s="37">
        <v>965</v>
      </c>
      <c r="AB985" s="37">
        <v>1.8407628741993611</v>
      </c>
      <c r="AC985" s="37">
        <v>2.7904328945839905</v>
      </c>
      <c r="AD985" s="37">
        <v>3.3138078877424575</v>
      </c>
    </row>
    <row r="986" spans="2:30" x14ac:dyDescent="0.3">
      <c r="B986" s="28">
        <v>44063</v>
      </c>
      <c r="C986" s="25">
        <v>43.650002000000001</v>
      </c>
      <c r="D986" s="18">
        <f t="shared" si="135"/>
        <v>-2.6972781387142541E-2</v>
      </c>
      <c r="E986" s="32">
        <f t="shared" ca="1" si="136"/>
        <v>-1.3054549290839091E-2</v>
      </c>
      <c r="F986" s="18">
        <f t="shared" ca="1" si="137"/>
        <v>57.548790217796629</v>
      </c>
      <c r="G986" s="19">
        <f t="shared" ca="1" si="138"/>
        <v>0.76121078220337068</v>
      </c>
      <c r="H986" s="27">
        <v>59.82</v>
      </c>
      <c r="I986" s="19">
        <f t="shared" si="139"/>
        <v>-2.2549035579264132E-2</v>
      </c>
      <c r="J986" s="19">
        <f t="shared" ca="1" si="140"/>
        <v>9.2268744811893569E-3</v>
      </c>
      <c r="K986" s="19">
        <f t="shared" ca="1" si="141"/>
        <v>84.260349731980753</v>
      </c>
      <c r="L986" s="19">
        <f t="shared" ca="1" si="142"/>
        <v>-0.77035173198075313</v>
      </c>
      <c r="M986" s="19">
        <f t="shared" ca="1" si="143"/>
        <v>-9.1409497773824455E-3</v>
      </c>
      <c r="AA986" s="37">
        <v>966</v>
      </c>
      <c r="AB986" s="37">
        <v>1.7802382680174538</v>
      </c>
      <c r="AC986" s="37">
        <v>2.6262088859564816</v>
      </c>
      <c r="AD986" s="37">
        <v>3.501123662261814</v>
      </c>
    </row>
    <row r="987" spans="2:30" x14ac:dyDescent="0.3">
      <c r="B987" s="28">
        <v>44064</v>
      </c>
      <c r="C987" s="25">
        <v>42.959999000000003</v>
      </c>
      <c r="D987" s="18">
        <f t="shared" si="135"/>
        <v>-1.5807628141689345E-2</v>
      </c>
      <c r="E987" s="32">
        <f t="shared" ca="1" si="136"/>
        <v>-4.1474809492533765E-2</v>
      </c>
      <c r="F987" s="18">
        <f t="shared" ca="1" si="137"/>
        <v>55.891604817015548</v>
      </c>
      <c r="G987" s="19">
        <f t="shared" ca="1" si="138"/>
        <v>2.418396182984452</v>
      </c>
      <c r="H987" s="27">
        <v>58.419998</v>
      </c>
      <c r="I987" s="19">
        <f t="shared" si="139"/>
        <v>-2.3403577398863229E-2</v>
      </c>
      <c r="J987" s="19">
        <f t="shared" ca="1" si="140"/>
        <v>1.8852508028904359E-2</v>
      </c>
      <c r="K987" s="19">
        <f t="shared" ca="1" si="141"/>
        <v>85.063993857628205</v>
      </c>
      <c r="L987" s="19">
        <f t="shared" ca="1" si="142"/>
        <v>-1.5739958576282049</v>
      </c>
      <c r="M987" s="19">
        <f t="shared" ca="1" si="143"/>
        <v>0.84440032535624709</v>
      </c>
      <c r="AA987" s="37">
        <v>967</v>
      </c>
      <c r="AB987" s="37">
        <v>1.7398602600300723</v>
      </c>
      <c r="AC987" s="37">
        <v>2.9041029627296178</v>
      </c>
      <c r="AD987" s="37">
        <v>3.422688901141195</v>
      </c>
    </row>
    <row r="988" spans="2:30" x14ac:dyDescent="0.3">
      <c r="B988" s="28">
        <v>44067</v>
      </c>
      <c r="C988" s="25">
        <v>42.060001</v>
      </c>
      <c r="D988" s="18">
        <f t="shared" si="135"/>
        <v>-2.0949674603111701E-2</v>
      </c>
      <c r="E988" s="32">
        <f t="shared" ca="1" si="136"/>
        <v>-2.6569925839430953E-2</v>
      </c>
      <c r="F988" s="18">
        <f t="shared" ca="1" si="137"/>
        <v>56.760708597732851</v>
      </c>
      <c r="G988" s="19">
        <f t="shared" ca="1" si="138"/>
        <v>1.5492924022671488</v>
      </c>
      <c r="H988" s="27">
        <v>58.82</v>
      </c>
      <c r="I988" s="19">
        <f t="shared" si="139"/>
        <v>6.8470046849369304E-3</v>
      </c>
      <c r="J988" s="19">
        <f t="shared" ca="1" si="140"/>
        <v>-1.8448801071372927E-3</v>
      </c>
      <c r="K988" s="19">
        <f t="shared" ca="1" si="141"/>
        <v>83.335968963544858</v>
      </c>
      <c r="L988" s="19">
        <f t="shared" ca="1" si="142"/>
        <v>0.15402903645514243</v>
      </c>
      <c r="M988" s="19">
        <f t="shared" ca="1" si="143"/>
        <v>1.7033214387222912</v>
      </c>
      <c r="AA988" s="37">
        <v>968</v>
      </c>
      <c r="AB988" s="37">
        <v>1.9123816355265639</v>
      </c>
      <c r="AC988" s="37">
        <v>2.7468075129907459</v>
      </c>
      <c r="AD988" s="37">
        <v>3.5633948027217017</v>
      </c>
    </row>
    <row r="989" spans="2:30" x14ac:dyDescent="0.3">
      <c r="B989" s="28">
        <v>44068</v>
      </c>
      <c r="C989" s="25">
        <v>43.799999</v>
      </c>
      <c r="D989" s="18">
        <f t="shared" si="135"/>
        <v>4.1369423647897641E-2</v>
      </c>
      <c r="E989" s="32">
        <f t="shared" ca="1" si="136"/>
        <v>1.3072004185258007E-2</v>
      </c>
      <c r="F989" s="18">
        <f t="shared" ca="1" si="137"/>
        <v>59.072229577114406</v>
      </c>
      <c r="G989" s="19">
        <f t="shared" ca="1" si="138"/>
        <v>-0.76222857711440639</v>
      </c>
      <c r="H989" s="27">
        <v>58.540000999999997</v>
      </c>
      <c r="I989" s="19">
        <f t="shared" si="139"/>
        <v>-4.7602686161170027E-3</v>
      </c>
      <c r="J989" s="19">
        <f t="shared" ca="1" si="140"/>
        <v>5.4221492124031858E-4</v>
      </c>
      <c r="K989" s="19">
        <f t="shared" ca="1" si="141"/>
        <v>83.535267522689935</v>
      </c>
      <c r="L989" s="19">
        <f t="shared" ca="1" si="142"/>
        <v>-4.5269522689935116E-2</v>
      </c>
      <c r="M989" s="19">
        <f t="shared" ca="1" si="143"/>
        <v>-0.80749809980434151</v>
      </c>
      <c r="AA989" s="37">
        <v>969</v>
      </c>
      <c r="AB989" s="37">
        <v>1.8103189787927352</v>
      </c>
      <c r="AC989" s="37">
        <v>2.7250925545103994</v>
      </c>
      <c r="AD989" s="37">
        <v>3.5240963433266632</v>
      </c>
    </row>
    <row r="990" spans="2:30" x14ac:dyDescent="0.3">
      <c r="B990" s="28">
        <v>44069</v>
      </c>
      <c r="C990" s="25">
        <v>43.07</v>
      </c>
      <c r="D990" s="18">
        <f t="shared" si="135"/>
        <v>-1.6666644216133397E-2</v>
      </c>
      <c r="E990" s="32">
        <f t="shared" ca="1" si="136"/>
        <v>-1.1287742887082664E-2</v>
      </c>
      <c r="F990" s="18">
        <f t="shared" ca="1" si="137"/>
        <v>57.651812700966467</v>
      </c>
      <c r="G990" s="19">
        <f t="shared" ca="1" si="138"/>
        <v>0.65818829903353304</v>
      </c>
      <c r="H990" s="27">
        <v>59</v>
      </c>
      <c r="I990" s="19">
        <f t="shared" si="139"/>
        <v>7.8578577407266703E-3</v>
      </c>
      <c r="J990" s="19">
        <f t="shared" ca="1" si="140"/>
        <v>-2.1714118867850012E-2</v>
      </c>
      <c r="K990" s="19">
        <f t="shared" ca="1" si="141"/>
        <v>81.677086259151437</v>
      </c>
      <c r="L990" s="19">
        <f t="shared" ca="1" si="142"/>
        <v>1.8129117408485627</v>
      </c>
      <c r="M990" s="19">
        <f t="shared" ca="1" si="143"/>
        <v>2.4711000398820957</v>
      </c>
      <c r="AA990" s="37">
        <v>970</v>
      </c>
      <c r="AB990" s="37">
        <v>1.7771102458097394</v>
      </c>
      <c r="AC990" s="37">
        <v>2.8994632355952361</v>
      </c>
      <c r="AD990" s="37">
        <v>3.5640299995729436</v>
      </c>
    </row>
    <row r="991" spans="2:30" x14ac:dyDescent="0.3">
      <c r="B991" s="28">
        <v>44070</v>
      </c>
      <c r="C991" s="25">
        <v>43.029998999999997</v>
      </c>
      <c r="D991" s="18">
        <f t="shared" si="135"/>
        <v>-9.2874390527053485E-4</v>
      </c>
      <c r="E991" s="32">
        <f t="shared" ca="1" si="136"/>
        <v>-5.1310126090060477E-3</v>
      </c>
      <c r="F991" s="18">
        <f t="shared" ca="1" si="137"/>
        <v>58.010811649637844</v>
      </c>
      <c r="G991" s="19">
        <f t="shared" ca="1" si="138"/>
        <v>0.29918935036215544</v>
      </c>
      <c r="H991" s="27">
        <v>57.52</v>
      </c>
      <c r="I991" s="19">
        <f t="shared" si="139"/>
        <v>-2.5084745762711802E-2</v>
      </c>
      <c r="J991" s="19">
        <f t="shared" ca="1" si="140"/>
        <v>-2.2559278315786854E-2</v>
      </c>
      <c r="K991" s="19">
        <f t="shared" ca="1" si="141"/>
        <v>81.60652389853351</v>
      </c>
      <c r="L991" s="19">
        <f t="shared" ca="1" si="142"/>
        <v>1.88347410146649</v>
      </c>
      <c r="M991" s="19">
        <f t="shared" ca="1" si="143"/>
        <v>2.1826634518286454</v>
      </c>
      <c r="AA991" s="37">
        <v>971</v>
      </c>
      <c r="AB991" s="37">
        <v>1.85487251966114</v>
      </c>
      <c r="AC991" s="37">
        <v>2.7189435387936509</v>
      </c>
      <c r="AD991" s="37">
        <v>3.4006702876946697</v>
      </c>
    </row>
    <row r="992" spans="2:30" x14ac:dyDescent="0.3">
      <c r="B992" s="28">
        <v>44071</v>
      </c>
      <c r="C992" s="25">
        <v>41.970001000000003</v>
      </c>
      <c r="D992" s="18">
        <f t="shared" si="135"/>
        <v>-2.4633930388889724E-2</v>
      </c>
      <c r="E992" s="32">
        <f t="shared" ca="1" si="136"/>
        <v>-1.7960499901176232E-2</v>
      </c>
      <c r="F992" s="18">
        <f t="shared" ca="1" si="137"/>
        <v>57.262724232801915</v>
      </c>
      <c r="G992" s="19">
        <f t="shared" ca="1" si="138"/>
        <v>1.0472767671980847</v>
      </c>
      <c r="H992" s="27">
        <v>58.75</v>
      </c>
      <c r="I992" s="19">
        <f t="shared" si="139"/>
        <v>2.1383866481223812E-2</v>
      </c>
      <c r="J992" s="19">
        <f t="shared" ca="1" si="140"/>
        <v>-2.5999958023280419E-2</v>
      </c>
      <c r="K992" s="19">
        <f t="shared" ca="1" si="141"/>
        <v>81.319261556636235</v>
      </c>
      <c r="L992" s="19">
        <f t="shared" ca="1" si="142"/>
        <v>2.170736443363765</v>
      </c>
      <c r="M992" s="19">
        <f t="shared" ca="1" si="143"/>
        <v>3.2180132105618497</v>
      </c>
      <c r="AA992" s="37">
        <v>972</v>
      </c>
      <c r="AB992" s="37">
        <v>1.759891753754816</v>
      </c>
      <c r="AC992" s="37">
        <v>2.7648428327461554</v>
      </c>
      <c r="AD992" s="37">
        <v>3.2149994132865638</v>
      </c>
    </row>
    <row r="993" spans="2:30" x14ac:dyDescent="0.3">
      <c r="B993" s="28">
        <v>44074</v>
      </c>
      <c r="C993" s="25">
        <v>40.419998</v>
      </c>
      <c r="D993" s="18">
        <f t="shared" si="135"/>
        <v>-3.6931211891083948E-2</v>
      </c>
      <c r="E993" s="32">
        <f t="shared" ca="1" si="136"/>
        <v>6.7248918912045409E-3</v>
      </c>
      <c r="F993" s="18">
        <f t="shared" ca="1" si="137"/>
        <v>58.702129452901033</v>
      </c>
      <c r="G993" s="19">
        <f t="shared" ca="1" si="138"/>
        <v>-0.3921284529010336</v>
      </c>
      <c r="H993" s="27">
        <v>58.400002000000001</v>
      </c>
      <c r="I993" s="19">
        <f t="shared" si="139"/>
        <v>-5.9574127659574039E-3</v>
      </c>
      <c r="J993" s="19">
        <f t="shared" ca="1" si="140"/>
        <v>2.4791710132659128E-2</v>
      </c>
      <c r="K993" s="19">
        <f t="shared" ca="1" si="141"/>
        <v>85.559857829392286</v>
      </c>
      <c r="L993" s="19">
        <f t="shared" ca="1" si="142"/>
        <v>-2.0698598293922856</v>
      </c>
      <c r="M993" s="19">
        <f t="shared" ca="1" si="143"/>
        <v>-2.4619882822933192</v>
      </c>
      <c r="AA993" s="37">
        <v>973</v>
      </c>
      <c r="AB993" s="37">
        <v>1.7506823685347306</v>
      </c>
      <c r="AC993" s="37">
        <v>2.7973593425292811</v>
      </c>
      <c r="AD993" s="37">
        <v>3.1755512466787259</v>
      </c>
    </row>
    <row r="994" spans="2:30" x14ac:dyDescent="0.3">
      <c r="B994" s="28">
        <v>44075</v>
      </c>
      <c r="C994" s="25">
        <v>42.080002</v>
      </c>
      <c r="D994" s="18">
        <f t="shared" si="135"/>
        <v>4.1068878825773369E-2</v>
      </c>
      <c r="E994" s="32">
        <f t="shared" ca="1" si="136"/>
        <v>-1.6560702385030393E-2</v>
      </c>
      <c r="F994" s="18">
        <f t="shared" ca="1" si="137"/>
        <v>57.344346427368173</v>
      </c>
      <c r="G994" s="19">
        <f t="shared" ca="1" si="138"/>
        <v>0.96565457263182708</v>
      </c>
      <c r="H994" s="27">
        <v>60.200001</v>
      </c>
      <c r="I994" s="19">
        <f t="shared" si="139"/>
        <v>3.0821899629386973E-2</v>
      </c>
      <c r="J994" s="19">
        <f t="shared" ca="1" si="140"/>
        <v>-2.6801690254692052E-2</v>
      </c>
      <c r="K994" s="19">
        <f t="shared" ca="1" si="141"/>
        <v>81.252324934239141</v>
      </c>
      <c r="L994" s="19">
        <f t="shared" ca="1" si="142"/>
        <v>2.237673065760859</v>
      </c>
      <c r="M994" s="19">
        <f t="shared" ca="1" si="143"/>
        <v>3.2033276383926861</v>
      </c>
      <c r="AA994" s="37">
        <v>974</v>
      </c>
      <c r="AB994" s="37">
        <v>1.7239214928279747</v>
      </c>
      <c r="AC994" s="37">
        <v>2.7576975752796522</v>
      </c>
      <c r="AD994" s="37">
        <v>3.4338006228372624</v>
      </c>
    </row>
    <row r="995" spans="2:30" x14ac:dyDescent="0.3">
      <c r="B995" s="28">
        <v>44076</v>
      </c>
      <c r="C995" s="25">
        <v>41.200001</v>
      </c>
      <c r="D995" s="18">
        <f t="shared" si="135"/>
        <v>-2.09125702988322E-2</v>
      </c>
      <c r="E995" s="32">
        <f t="shared" ca="1" si="136"/>
        <v>-2.503898566787546E-2</v>
      </c>
      <c r="F995" s="18">
        <f t="shared" ca="1" si="137"/>
        <v>56.849977720667198</v>
      </c>
      <c r="G995" s="19">
        <f t="shared" ca="1" si="138"/>
        <v>1.4600232793328018</v>
      </c>
      <c r="H995" s="27">
        <v>60.419998</v>
      </c>
      <c r="I995" s="19">
        <f t="shared" si="139"/>
        <v>3.6544351552418863E-3</v>
      </c>
      <c r="J995" s="19">
        <f t="shared" ca="1" si="140"/>
        <v>-2.6935669289453651E-2</v>
      </c>
      <c r="K995" s="19">
        <f t="shared" ca="1" si="141"/>
        <v>81.241139024894849</v>
      </c>
      <c r="L995" s="19">
        <f t="shared" ca="1" si="142"/>
        <v>2.2488589751051506</v>
      </c>
      <c r="M995" s="19">
        <f t="shared" ca="1" si="143"/>
        <v>3.7088822544379525</v>
      </c>
      <c r="AA995" s="37">
        <v>975</v>
      </c>
      <c r="AB995" s="37">
        <v>1.864080491267782</v>
      </c>
      <c r="AC995" s="37">
        <v>2.5801848638350657</v>
      </c>
      <c r="AD995" s="37">
        <v>3.1903710154518206</v>
      </c>
    </row>
    <row r="996" spans="2:30" x14ac:dyDescent="0.3">
      <c r="B996" s="28">
        <v>44077</v>
      </c>
      <c r="C996" s="25">
        <v>40.259998000000003</v>
      </c>
      <c r="D996" s="18">
        <f t="shared" si="135"/>
        <v>-2.2815606242339581E-2</v>
      </c>
      <c r="E996" s="32">
        <f t="shared" ca="1" si="136"/>
        <v>-1.2280936996210208E-3</v>
      </c>
      <c r="F996" s="18">
        <f t="shared" ca="1" si="137"/>
        <v>58.238390855147003</v>
      </c>
      <c r="G996" s="19">
        <f t="shared" ca="1" si="138"/>
        <v>7.1610144852996882E-2</v>
      </c>
      <c r="H996" s="27">
        <v>59.009998000000003</v>
      </c>
      <c r="I996" s="19">
        <f t="shared" si="139"/>
        <v>-2.3336644268011963E-2</v>
      </c>
      <c r="J996" s="19">
        <f t="shared" ca="1" si="140"/>
        <v>-3.5865588615813258E-2</v>
      </c>
      <c r="K996" s="19">
        <f t="shared" ca="1" si="141"/>
        <v>80.495580078196923</v>
      </c>
      <c r="L996" s="19">
        <f t="shared" ca="1" si="142"/>
        <v>2.9944179218030769</v>
      </c>
      <c r="M996" s="19">
        <f t="shared" ca="1" si="143"/>
        <v>3.0660280666560737</v>
      </c>
      <c r="AA996" s="37">
        <v>976</v>
      </c>
      <c r="AB996" s="37">
        <v>1.8689935885792033</v>
      </c>
      <c r="AC996" s="37">
        <v>2.8992171584799209</v>
      </c>
      <c r="AD996" s="37">
        <v>3.5904200256569676</v>
      </c>
    </row>
    <row r="997" spans="2:30" x14ac:dyDescent="0.3">
      <c r="B997" s="28">
        <v>44078</v>
      </c>
      <c r="C997" s="25">
        <v>40.080002</v>
      </c>
      <c r="D997" s="18">
        <f t="shared" si="135"/>
        <v>-4.4708397650691234E-3</v>
      </c>
      <c r="E997" s="32">
        <f t="shared" ca="1" si="136"/>
        <v>-1.0528404341073697E-2</v>
      </c>
      <c r="F997" s="18">
        <f t="shared" ca="1" si="137"/>
        <v>57.696089732343587</v>
      </c>
      <c r="G997" s="19">
        <f t="shared" ca="1" si="138"/>
        <v>0.61391126765641246</v>
      </c>
      <c r="H997" s="27">
        <v>59.48</v>
      </c>
      <c r="I997" s="19">
        <f t="shared" si="139"/>
        <v>7.9647858995011145E-3</v>
      </c>
      <c r="J997" s="19">
        <f t="shared" ca="1" si="140"/>
        <v>-3.6964395250230285E-2</v>
      </c>
      <c r="K997" s="19">
        <f t="shared" ca="1" si="141"/>
        <v>80.40384071448706</v>
      </c>
      <c r="L997" s="19">
        <f t="shared" ca="1" si="142"/>
        <v>3.0861572855129396</v>
      </c>
      <c r="M997" s="19">
        <f t="shared" ca="1" si="143"/>
        <v>3.700068553169352</v>
      </c>
      <c r="AA997" s="37">
        <v>977</v>
      </c>
      <c r="AB997" s="37">
        <v>1.8156542881587543</v>
      </c>
      <c r="AC997" s="37">
        <v>2.905539777334083</v>
      </c>
      <c r="AD997" s="37">
        <v>3.2831352820681796</v>
      </c>
    </row>
    <row r="998" spans="2:30" x14ac:dyDescent="0.3">
      <c r="B998" s="28">
        <v>44081</v>
      </c>
      <c r="C998" s="25">
        <v>41.189999</v>
      </c>
      <c r="D998" s="18">
        <f t="shared" si="135"/>
        <v>2.7694534546180982E-2</v>
      </c>
      <c r="E998" s="32">
        <f t="shared" ca="1" si="136"/>
        <v>2.5100714120093151E-3</v>
      </c>
      <c r="F998" s="18">
        <f t="shared" ca="1" si="137"/>
        <v>58.456363266544329</v>
      </c>
      <c r="G998" s="19">
        <f t="shared" ca="1" si="138"/>
        <v>-0.1463622665443296</v>
      </c>
      <c r="H998" s="27">
        <v>59.389999000000003</v>
      </c>
      <c r="I998" s="19">
        <f t="shared" si="139"/>
        <v>-1.5131304640214616E-3</v>
      </c>
      <c r="J998" s="19">
        <f t="shared" ca="1" si="140"/>
        <v>1.0172685615078463E-2</v>
      </c>
      <c r="K998" s="19">
        <f t="shared" ca="1" si="141"/>
        <v>84.339315501657538</v>
      </c>
      <c r="L998" s="19">
        <f t="shared" ca="1" si="142"/>
        <v>-0.84931750165753783</v>
      </c>
      <c r="M998" s="19">
        <f t="shared" ca="1" si="143"/>
        <v>-0.99567976820186743</v>
      </c>
      <c r="AA998" s="37">
        <v>978</v>
      </c>
      <c r="AB998" s="37">
        <v>1.807176085546256</v>
      </c>
      <c r="AC998" s="37">
        <v>2.6614428477730336</v>
      </c>
      <c r="AD998" s="37">
        <v>3.3450508708411801</v>
      </c>
    </row>
    <row r="999" spans="2:30" x14ac:dyDescent="0.3">
      <c r="B999" s="28">
        <v>44082</v>
      </c>
      <c r="C999" s="25">
        <v>40.099997999999999</v>
      </c>
      <c r="D999" s="18">
        <f t="shared" si="135"/>
        <v>-2.6462758593414848E-2</v>
      </c>
      <c r="E999" s="32">
        <f t="shared" ca="1" si="136"/>
        <v>-2.1819678223880132E-2</v>
      </c>
      <c r="F999" s="18">
        <f t="shared" ca="1" si="137"/>
        <v>57.037695540945876</v>
      </c>
      <c r="G999" s="19">
        <f t="shared" ca="1" si="138"/>
        <v>1.2723054590541238</v>
      </c>
      <c r="H999" s="27">
        <v>57.630001</v>
      </c>
      <c r="I999" s="19">
        <f t="shared" si="139"/>
        <v>-2.9634585445943551E-2</v>
      </c>
      <c r="J999" s="19">
        <f t="shared" ca="1" si="140"/>
        <v>-1.4768608921203155E-3</v>
      </c>
      <c r="K999" s="19">
        <f t="shared" ca="1" si="141"/>
        <v>83.366694887070594</v>
      </c>
      <c r="L999" s="19">
        <f t="shared" ca="1" si="142"/>
        <v>0.12330311292940621</v>
      </c>
      <c r="M999" s="19">
        <f t="shared" ca="1" si="143"/>
        <v>1.3956085719835301</v>
      </c>
      <c r="AA999" s="37">
        <v>979</v>
      </c>
      <c r="AB999" s="37">
        <v>1.7344125358195728</v>
      </c>
      <c r="AC999" s="37">
        <v>3.0075858559158819</v>
      </c>
      <c r="AD999" s="37">
        <v>3.4089358314640585</v>
      </c>
    </row>
    <row r="1000" spans="2:30" x14ac:dyDescent="0.3">
      <c r="B1000" s="28">
        <v>44083</v>
      </c>
      <c r="C1000" s="25">
        <v>40.959999000000003</v>
      </c>
      <c r="D1000" s="18">
        <f t="shared" si="135"/>
        <v>2.1446410047202491E-2</v>
      </c>
      <c r="E1000" s="32">
        <f t="shared" ca="1" si="136"/>
        <v>5.0353311249092217E-2</v>
      </c>
      <c r="F1000" s="18">
        <f t="shared" ca="1" si="137"/>
        <v>61.246102629287876</v>
      </c>
      <c r="G1000" s="19">
        <f t="shared" ca="1" si="138"/>
        <v>-2.9361016292878759</v>
      </c>
      <c r="H1000" s="27">
        <v>58.540000999999997</v>
      </c>
      <c r="I1000" s="19">
        <f t="shared" si="139"/>
        <v>1.5790386677244639E-2</v>
      </c>
      <c r="J1000" s="19">
        <f t="shared" ca="1" si="140"/>
        <v>-1.6307824521305304E-3</v>
      </c>
      <c r="K1000" s="19">
        <f t="shared" ca="1" si="141"/>
        <v>83.353843976333181</v>
      </c>
      <c r="L1000" s="19">
        <f t="shared" ca="1" si="142"/>
        <v>0.13615402366681906</v>
      </c>
      <c r="M1000" s="19">
        <f t="shared" ca="1" si="143"/>
        <v>-2.7999476056210568</v>
      </c>
      <c r="AA1000" s="37">
        <v>980</v>
      </c>
      <c r="AB1000" s="37">
        <v>1.7538959456618881</v>
      </c>
      <c r="AC1000" s="37">
        <v>2.7872658659784544</v>
      </c>
      <c r="AD1000" s="37">
        <v>3.2829049334515927</v>
      </c>
    </row>
    <row r="1001" spans="2:30" x14ac:dyDescent="0.3">
      <c r="B1001" s="28">
        <v>44084</v>
      </c>
      <c r="C1001" s="25">
        <v>40.009998000000003</v>
      </c>
      <c r="D1001" s="18">
        <f t="shared" si="135"/>
        <v>-2.3193384355307267E-2</v>
      </c>
      <c r="E1001" s="32">
        <f t="shared" ca="1" si="136"/>
        <v>-1.570123875681916E-3</v>
      </c>
      <c r="F1001" s="18">
        <f t="shared" ca="1" si="137"/>
        <v>58.218447075238863</v>
      </c>
      <c r="G1001" s="19">
        <f t="shared" ca="1" si="138"/>
        <v>9.1553924761136329E-2</v>
      </c>
      <c r="H1001" s="27">
        <v>58.619999</v>
      </c>
      <c r="I1001" s="19">
        <f t="shared" si="139"/>
        <v>1.3665527610771111E-3</v>
      </c>
      <c r="J1001" s="19">
        <f t="shared" ca="1" si="140"/>
        <v>-2.608029529112698E-2</v>
      </c>
      <c r="K1001" s="19">
        <f t="shared" ca="1" si="141"/>
        <v>81.312554198304397</v>
      </c>
      <c r="L1001" s="19">
        <f t="shared" ca="1" si="142"/>
        <v>2.1774438016956026</v>
      </c>
      <c r="M1001" s="19">
        <f t="shared" ca="1" si="143"/>
        <v>2.2689977264567389</v>
      </c>
      <c r="AA1001" s="37">
        <v>981</v>
      </c>
      <c r="AB1001" s="37">
        <v>1.7905233505730227</v>
      </c>
      <c r="AC1001" s="37">
        <v>2.7093739473710716</v>
      </c>
      <c r="AD1001" s="37">
        <v>3.6633485987795029</v>
      </c>
    </row>
    <row r="1002" spans="2:30" x14ac:dyDescent="0.3">
      <c r="B1002" s="28">
        <v>44085</v>
      </c>
      <c r="C1002" s="25">
        <v>39.630001</v>
      </c>
      <c r="D1002" s="18">
        <f t="shared" si="135"/>
        <v>-9.4975510871058155E-3</v>
      </c>
      <c r="E1002" s="32">
        <f t="shared" ca="1" si="136"/>
        <v>-4.3171596821939152E-3</v>
      </c>
      <c r="F1002" s="18">
        <f t="shared" ca="1" si="137"/>
        <v>58.058267414614114</v>
      </c>
      <c r="G1002" s="19">
        <f t="shared" ca="1" si="138"/>
        <v>0.25173358538588531</v>
      </c>
      <c r="H1002" s="27">
        <v>59.419998</v>
      </c>
      <c r="I1002" s="19">
        <f t="shared" si="139"/>
        <v>1.3647202552835358E-2</v>
      </c>
      <c r="J1002" s="19">
        <f t="shared" ca="1" si="140"/>
        <v>-1.3425989182373598E-2</v>
      </c>
      <c r="K1002" s="19">
        <f t="shared" ca="1" si="141"/>
        <v>82.369062190015612</v>
      </c>
      <c r="L1002" s="19">
        <f t="shared" ca="1" si="142"/>
        <v>1.1209358099843882</v>
      </c>
      <c r="M1002" s="19">
        <f t="shared" ca="1" si="143"/>
        <v>1.3726693953702735</v>
      </c>
      <c r="AA1002" s="37">
        <v>982</v>
      </c>
      <c r="AB1002" s="37">
        <v>1.8706961687060097</v>
      </c>
      <c r="AC1002" s="37">
        <v>2.6979695378584592</v>
      </c>
      <c r="AD1002" s="37">
        <v>3.2140244818884893</v>
      </c>
    </row>
    <row r="1003" spans="2:30" x14ac:dyDescent="0.3">
      <c r="B1003" s="28">
        <v>44088</v>
      </c>
      <c r="C1003" s="25">
        <v>40.099997999999999</v>
      </c>
      <c r="D1003" s="18">
        <f t="shared" si="135"/>
        <v>1.1859626246287558E-2</v>
      </c>
      <c r="E1003" s="32">
        <f t="shared" ca="1" si="136"/>
        <v>-2.8759204802017234E-2</v>
      </c>
      <c r="F1003" s="18">
        <f t="shared" ca="1" si="137"/>
        <v>56.633051739235171</v>
      </c>
      <c r="G1003" s="19">
        <f t="shared" ca="1" si="138"/>
        <v>1.6769492607648289</v>
      </c>
      <c r="H1003" s="27">
        <v>58.689999</v>
      </c>
      <c r="I1003" s="19">
        <f t="shared" si="139"/>
        <v>-1.2285409366725286E-2</v>
      </c>
      <c r="J1003" s="19">
        <f t="shared" ca="1" si="140"/>
        <v>-2.0406434984545387E-2</v>
      </c>
      <c r="K1003" s="19">
        <f t="shared" ca="1" si="141"/>
        <v>81.786264783953172</v>
      </c>
      <c r="L1003" s="19">
        <f t="shared" ca="1" si="142"/>
        <v>1.7037332160468281</v>
      </c>
      <c r="M1003" s="19">
        <f t="shared" ca="1" si="143"/>
        <v>3.380682476811657</v>
      </c>
      <c r="AA1003" s="37">
        <v>983</v>
      </c>
      <c r="AB1003" s="37">
        <v>1.7522300804342439</v>
      </c>
      <c r="AC1003" s="37">
        <v>2.9450899765938781</v>
      </c>
      <c r="AD1003" s="37">
        <v>3.2782645768133998</v>
      </c>
    </row>
    <row r="1004" spans="2:30" x14ac:dyDescent="0.3">
      <c r="B1004" s="28">
        <v>44089</v>
      </c>
      <c r="C1004" s="25">
        <v>39.919998</v>
      </c>
      <c r="D1004" s="18">
        <f t="shared" si="135"/>
        <v>-4.488778278742056E-3</v>
      </c>
      <c r="E1004" s="32">
        <f t="shared" ca="1" si="136"/>
        <v>1.1035731535751544E-2</v>
      </c>
      <c r="F1004" s="18">
        <f t="shared" ca="1" si="137"/>
        <v>58.953494516885399</v>
      </c>
      <c r="G1004" s="19">
        <f t="shared" ca="1" si="138"/>
        <v>-0.64349351688539969</v>
      </c>
      <c r="H1004" s="27">
        <v>58.290000999999997</v>
      </c>
      <c r="I1004" s="19">
        <f t="shared" si="139"/>
        <v>-6.8154371582116458E-3</v>
      </c>
      <c r="J1004" s="19">
        <f t="shared" ca="1" si="140"/>
        <v>-4.2343025787404162E-2</v>
      </c>
      <c r="K1004" s="19">
        <f t="shared" ca="1" si="141"/>
        <v>79.954778861695686</v>
      </c>
      <c r="L1004" s="19">
        <f t="shared" ca="1" si="142"/>
        <v>3.5352191383043134</v>
      </c>
      <c r="M1004" s="19">
        <f t="shared" ca="1" si="143"/>
        <v>2.8917256214189138</v>
      </c>
      <c r="AA1004" s="37">
        <v>984</v>
      </c>
      <c r="AB1004" s="37">
        <v>1.8120447771366295</v>
      </c>
      <c r="AC1004" s="37">
        <v>2.7462383434062723</v>
      </c>
      <c r="AD1004" s="37">
        <v>3.307020270945447</v>
      </c>
    </row>
    <row r="1005" spans="2:30" x14ac:dyDescent="0.3">
      <c r="B1005" s="28">
        <v>44091</v>
      </c>
      <c r="C1005" s="25">
        <v>38.889999000000003</v>
      </c>
      <c r="D1005" s="18">
        <f t="shared" si="135"/>
        <v>-2.5801579448976875E-2</v>
      </c>
      <c r="E1005" s="32">
        <f t="shared" ca="1" si="136"/>
        <v>-1.6791975688210448E-2</v>
      </c>
      <c r="F1005" s="18">
        <f t="shared" ca="1" si="137"/>
        <v>57.330860880828475</v>
      </c>
      <c r="G1005" s="19">
        <f t="shared" ca="1" si="138"/>
        <v>0.97914011917152521</v>
      </c>
      <c r="H1005" s="27">
        <v>58.16</v>
      </c>
      <c r="I1005" s="19">
        <f t="shared" si="139"/>
        <v>-2.2302452868374623E-3</v>
      </c>
      <c r="J1005" s="19">
        <f t="shared" ca="1" si="140"/>
        <v>-2.6080638081655105E-3</v>
      </c>
      <c r="K1005" s="19">
        <f t="shared" ca="1" si="141"/>
        <v>83.272250757872399</v>
      </c>
      <c r="L1005" s="19">
        <f t="shared" ca="1" si="142"/>
        <v>0.21774724212760077</v>
      </c>
      <c r="M1005" s="19">
        <f t="shared" ca="1" si="143"/>
        <v>1.196887361299126</v>
      </c>
      <c r="AA1005" s="37">
        <v>985</v>
      </c>
      <c r="AB1005" s="37">
        <v>1.8746649749525737</v>
      </c>
      <c r="AC1005" s="37">
        <v>2.7707101991614485</v>
      </c>
      <c r="AD1005" s="37">
        <v>3.4672715163612029</v>
      </c>
    </row>
    <row r="1006" spans="2:30" x14ac:dyDescent="0.3">
      <c r="B1006" s="28">
        <v>44092</v>
      </c>
      <c r="C1006" s="25">
        <v>37.409999999999997</v>
      </c>
      <c r="D1006" s="18">
        <f t="shared" si="135"/>
        <v>-3.8056030806275065E-2</v>
      </c>
      <c r="E1006" s="32">
        <f t="shared" ca="1" si="136"/>
        <v>4.2741536030735071E-2</v>
      </c>
      <c r="F1006" s="18">
        <f t="shared" ca="1" si="137"/>
        <v>60.802260008693693</v>
      </c>
      <c r="G1006" s="19">
        <f t="shared" ca="1" si="138"/>
        <v>-2.4922590086936935</v>
      </c>
      <c r="H1006" s="27">
        <v>56.290000999999997</v>
      </c>
      <c r="I1006" s="19">
        <f t="shared" si="139"/>
        <v>-3.2152665061898178E-2</v>
      </c>
      <c r="J1006" s="19">
        <f t="shared" ca="1" si="140"/>
        <v>-2.4386757584452187E-2</v>
      </c>
      <c r="K1006" s="19">
        <f t="shared" ca="1" si="141"/>
        <v>81.453947658047596</v>
      </c>
      <c r="L1006" s="19">
        <f t="shared" ca="1" si="142"/>
        <v>2.0360503419524036</v>
      </c>
      <c r="M1006" s="19">
        <f t="shared" ca="1" si="143"/>
        <v>-0.4562086667412899</v>
      </c>
      <c r="AA1006" s="37">
        <v>986</v>
      </c>
      <c r="AB1006" s="37">
        <v>1.812223138989433</v>
      </c>
      <c r="AC1006" s="37">
        <v>2.756047770552589</v>
      </c>
      <c r="AD1006" s="37">
        <v>3.4007313227327121</v>
      </c>
    </row>
    <row r="1007" spans="2:30" x14ac:dyDescent="0.3">
      <c r="B1007" s="28">
        <v>44095</v>
      </c>
      <c r="C1007" s="25">
        <v>39.090000000000003</v>
      </c>
      <c r="D1007" s="18">
        <f t="shared" si="135"/>
        <v>4.4907778668805243E-2</v>
      </c>
      <c r="E1007" s="32">
        <f t="shared" ca="1" si="136"/>
        <v>-3.7317909160147662E-3</v>
      </c>
      <c r="F1007" s="18">
        <f t="shared" ca="1" si="137"/>
        <v>58.092400267955391</v>
      </c>
      <c r="G1007" s="19">
        <f t="shared" ca="1" si="138"/>
        <v>0.21760073204460895</v>
      </c>
      <c r="H1007" s="27">
        <v>55.139999000000003</v>
      </c>
      <c r="I1007" s="19">
        <f t="shared" si="139"/>
        <v>-2.0429951671167901E-2</v>
      </c>
      <c r="J1007" s="19">
        <f t="shared" ca="1" si="140"/>
        <v>-2.4097107270881725E-3</v>
      </c>
      <c r="K1007" s="19">
        <f t="shared" ca="1" si="141"/>
        <v>83.288811256214828</v>
      </c>
      <c r="L1007" s="19">
        <f t="shared" ca="1" si="142"/>
        <v>0.20118674378517198</v>
      </c>
      <c r="M1007" s="19">
        <f t="shared" ca="1" si="143"/>
        <v>0.41878747582978093</v>
      </c>
      <c r="AA1007" s="37">
        <v>987</v>
      </c>
      <c r="AB1007" s="37">
        <v>1.8158616454357721</v>
      </c>
      <c r="AC1007" s="37">
        <v>2.9250411079708569</v>
      </c>
      <c r="AD1007" s="37">
        <v>3.2967410280742842</v>
      </c>
    </row>
    <row r="1008" spans="2:30" x14ac:dyDescent="0.3">
      <c r="B1008" s="28">
        <v>44096</v>
      </c>
      <c r="C1008" s="25">
        <v>39.709999000000003</v>
      </c>
      <c r="D1008" s="18">
        <f t="shared" si="135"/>
        <v>1.5860808390892878E-2</v>
      </c>
      <c r="E1008" s="32">
        <f t="shared" ca="1" si="136"/>
        <v>-4.1052717294606071E-3</v>
      </c>
      <c r="F1008" s="18">
        <f t="shared" ca="1" si="137"/>
        <v>58.070622601349882</v>
      </c>
      <c r="G1008" s="19">
        <f t="shared" ca="1" si="138"/>
        <v>0.23937839865011767</v>
      </c>
      <c r="H1008" s="27">
        <v>55.919998</v>
      </c>
      <c r="I1008" s="19">
        <f t="shared" si="139"/>
        <v>1.4145792784653333E-2</v>
      </c>
      <c r="J1008" s="19">
        <f t="shared" ca="1" si="140"/>
        <v>-8.4270254411815942E-3</v>
      </c>
      <c r="K1008" s="19">
        <f t="shared" ca="1" si="141"/>
        <v>82.786425662769801</v>
      </c>
      <c r="L1008" s="19">
        <f t="shared" ca="1" si="142"/>
        <v>0.70357233723019874</v>
      </c>
      <c r="M1008" s="19">
        <f t="shared" ca="1" si="143"/>
        <v>0.94295073588031642</v>
      </c>
      <c r="AA1008" s="37">
        <v>988</v>
      </c>
      <c r="AB1008" s="37">
        <v>1.8879709552317046</v>
      </c>
      <c r="AC1008" s="37">
        <v>2.8474330661947769</v>
      </c>
      <c r="AD1008" s="37">
        <v>3.3566690498404723</v>
      </c>
    </row>
    <row r="1009" spans="2:30" x14ac:dyDescent="0.3">
      <c r="B1009" s="28">
        <v>44097</v>
      </c>
      <c r="C1009" s="25">
        <v>39.740001999999997</v>
      </c>
      <c r="D1009" s="18">
        <f t="shared" si="135"/>
        <v>7.5555277651839781E-4</v>
      </c>
      <c r="E1009" s="32">
        <f t="shared" ca="1" si="136"/>
        <v>-1.6752231068579149E-2</v>
      </c>
      <c r="F1009" s="18">
        <f t="shared" ca="1" si="137"/>
        <v>57.333178389638917</v>
      </c>
      <c r="G1009" s="19">
        <f t="shared" ca="1" si="138"/>
        <v>0.97682261036108287</v>
      </c>
      <c r="H1009" s="27">
        <v>54.369999</v>
      </c>
      <c r="I1009" s="19">
        <f t="shared" si="139"/>
        <v>-2.7718151921250045E-2</v>
      </c>
      <c r="J1009" s="19">
        <f t="shared" ca="1" si="140"/>
        <v>-1.30109680702173E-2</v>
      </c>
      <c r="K1009" s="19">
        <f t="shared" ca="1" si="141"/>
        <v>82.403712301839491</v>
      </c>
      <c r="L1009" s="19">
        <f t="shared" ca="1" si="142"/>
        <v>1.0862856981605091</v>
      </c>
      <c r="M1009" s="19">
        <f t="shared" ca="1" si="143"/>
        <v>2.063108308521592</v>
      </c>
      <c r="AA1009" s="37">
        <v>989</v>
      </c>
      <c r="AB1009" s="37">
        <v>1.7409638191605163</v>
      </c>
      <c r="AC1009" s="37">
        <v>2.8164502981373922</v>
      </c>
      <c r="AD1009" s="37">
        <v>3.3876200007654496</v>
      </c>
    </row>
    <row r="1010" spans="2:30" x14ac:dyDescent="0.3">
      <c r="B1010" s="28">
        <v>44098</v>
      </c>
      <c r="C1010" s="25">
        <v>39.380001</v>
      </c>
      <c r="D1010" s="18">
        <f t="shared" si="135"/>
        <v>-9.0589074454500151E-3</v>
      </c>
      <c r="E1010" s="32">
        <f t="shared" ca="1" si="136"/>
        <v>2.0904074208429008E-2</v>
      </c>
      <c r="F1010" s="18">
        <f t="shared" ca="1" si="137"/>
        <v>59.528917587997569</v>
      </c>
      <c r="G1010" s="19">
        <f t="shared" ca="1" si="138"/>
        <v>-1.218916587997569</v>
      </c>
      <c r="H1010" s="27">
        <v>55.02</v>
      </c>
      <c r="I1010" s="19">
        <f t="shared" si="139"/>
        <v>1.1955140922478291E-2</v>
      </c>
      <c r="J1010" s="19">
        <f t="shared" ca="1" si="140"/>
        <v>-2.5374678318437326E-2</v>
      </c>
      <c r="K1010" s="19">
        <f t="shared" ca="1" si="141"/>
        <v>81.371466157943019</v>
      </c>
      <c r="L1010" s="19">
        <f t="shared" ca="1" si="142"/>
        <v>2.1185318420569814</v>
      </c>
      <c r="M1010" s="19">
        <f t="shared" ca="1" si="143"/>
        <v>0.89961525405941245</v>
      </c>
      <c r="AA1010" s="37">
        <v>990</v>
      </c>
      <c r="AB1010" s="37">
        <v>1.699328734027252</v>
      </c>
      <c r="AC1010" s="37">
        <v>3.0608196170901518</v>
      </c>
      <c r="AD1010" s="37">
        <v>3.5823056206992283</v>
      </c>
    </row>
    <row r="1011" spans="2:30" x14ac:dyDescent="0.3">
      <c r="B1011" s="28">
        <v>44099</v>
      </c>
      <c r="C1011" s="25">
        <v>39.619999</v>
      </c>
      <c r="D1011" s="18">
        <f t="shared" si="135"/>
        <v>6.0944132530620365E-3</v>
      </c>
      <c r="E1011" s="32">
        <f t="shared" ca="1" si="136"/>
        <v>2.2220784324256292E-2</v>
      </c>
      <c r="F1011" s="18">
        <f t="shared" ca="1" si="137"/>
        <v>59.605694956168172</v>
      </c>
      <c r="G1011" s="19">
        <f t="shared" ca="1" si="138"/>
        <v>-1.2956939561681722</v>
      </c>
      <c r="H1011" s="27">
        <v>55.040000999999997</v>
      </c>
      <c r="I1011" s="19">
        <f t="shared" si="139"/>
        <v>3.6352235550696221E-4</v>
      </c>
      <c r="J1011" s="19">
        <f t="shared" ca="1" si="140"/>
        <v>-4.1511865562300935E-3</v>
      </c>
      <c r="K1011" s="19">
        <f t="shared" ca="1" si="141"/>
        <v>83.143415442722713</v>
      </c>
      <c r="L1011" s="19">
        <f t="shared" ca="1" si="142"/>
        <v>0.34658255727728715</v>
      </c>
      <c r="M1011" s="19">
        <f t="shared" ca="1" si="143"/>
        <v>-0.94911139889088503</v>
      </c>
      <c r="AA1011" s="37">
        <v>991</v>
      </c>
      <c r="AB1011" s="37">
        <v>1.9114430193064023</v>
      </c>
      <c r="AC1011" s="37">
        <v>2.8253769153114754</v>
      </c>
      <c r="AD1011" s="37">
        <v>3.3376038397968295</v>
      </c>
    </row>
    <row r="1012" spans="2:30" x14ac:dyDescent="0.3">
      <c r="B1012" s="28">
        <v>44102</v>
      </c>
      <c r="C1012" s="25">
        <v>39.900002000000001</v>
      </c>
      <c r="D1012" s="18">
        <f t="shared" si="135"/>
        <v>7.0672137068958918E-3</v>
      </c>
      <c r="E1012" s="32">
        <f t="shared" ca="1" si="136"/>
        <v>-4.7175787433988141E-2</v>
      </c>
      <c r="F1012" s="18">
        <f t="shared" ca="1" si="137"/>
        <v>55.559180787548364</v>
      </c>
      <c r="G1012" s="19">
        <f t="shared" ca="1" si="138"/>
        <v>2.7508202124516359</v>
      </c>
      <c r="H1012" s="27">
        <v>55.049999</v>
      </c>
      <c r="I1012" s="19">
        <f t="shared" si="139"/>
        <v>1.8164970600209607E-4</v>
      </c>
      <c r="J1012" s="19">
        <f t="shared" ca="1" si="140"/>
        <v>1.4525214460905359E-2</v>
      </c>
      <c r="K1012" s="19">
        <f t="shared" ca="1" si="141"/>
        <v>84.70270812629056</v>
      </c>
      <c r="L1012" s="19">
        <f t="shared" ca="1" si="142"/>
        <v>-1.2127101262905597</v>
      </c>
      <c r="M1012" s="19">
        <f t="shared" ca="1" si="143"/>
        <v>1.5381100861610761</v>
      </c>
      <c r="AA1012" s="37">
        <v>992</v>
      </c>
      <c r="AB1012" s="37">
        <v>1.8345008790844779</v>
      </c>
      <c r="AC1012" s="37">
        <v>2.8468239514531257</v>
      </c>
      <c r="AD1012" s="37">
        <v>3.4107471355778491</v>
      </c>
    </row>
    <row r="1013" spans="2:30" x14ac:dyDescent="0.3">
      <c r="B1013" s="28">
        <v>44103</v>
      </c>
      <c r="C1013" s="25">
        <v>40.919998</v>
      </c>
      <c r="D1013" s="18">
        <f t="shared" si="135"/>
        <v>2.5563808242415664E-2</v>
      </c>
      <c r="E1013" s="32">
        <f t="shared" ca="1" si="136"/>
        <v>4.2236413586442631E-2</v>
      </c>
      <c r="F1013" s="18">
        <f t="shared" ca="1" si="137"/>
        <v>60.772806318461882</v>
      </c>
      <c r="G1013" s="19">
        <f t="shared" ca="1" si="138"/>
        <v>-2.4628053184618821</v>
      </c>
      <c r="H1013" s="27">
        <v>54.98</v>
      </c>
      <c r="I1013" s="19">
        <f t="shared" si="139"/>
        <v>-1.2715531566132032E-3</v>
      </c>
      <c r="J1013" s="19">
        <f t="shared" ca="1" si="140"/>
        <v>-1.4344056432438195E-2</v>
      </c>
      <c r="K1013" s="19">
        <f t="shared" ca="1" si="141"/>
        <v>82.29241275714385</v>
      </c>
      <c r="L1013" s="19">
        <f t="shared" ca="1" si="142"/>
        <v>1.1975852428561495</v>
      </c>
      <c r="M1013" s="19">
        <f t="shared" ca="1" si="143"/>
        <v>-1.2652200756057326</v>
      </c>
      <c r="AA1013" s="37">
        <v>993</v>
      </c>
      <c r="AB1013" s="37">
        <v>1.825798684997185</v>
      </c>
      <c r="AC1013" s="37">
        <v>2.9784373411414808</v>
      </c>
      <c r="AD1013" s="37">
        <v>3.2093304471018946</v>
      </c>
    </row>
    <row r="1014" spans="2:30" x14ac:dyDescent="0.3">
      <c r="B1014" s="28">
        <v>44104</v>
      </c>
      <c r="C1014" s="25">
        <v>41.369999</v>
      </c>
      <c r="D1014" s="18">
        <f t="shared" si="135"/>
        <v>1.0997092424100297E-2</v>
      </c>
      <c r="E1014" s="32">
        <f t="shared" ca="1" si="136"/>
        <v>2.055926462625376E-3</v>
      </c>
      <c r="F1014" s="18">
        <f t="shared" ca="1" si="137"/>
        <v>58.429882074091616</v>
      </c>
      <c r="G1014" s="19">
        <f t="shared" ca="1" si="138"/>
        <v>-0.11988107409161586</v>
      </c>
      <c r="H1014" s="27">
        <v>56.25</v>
      </c>
      <c r="I1014" s="19">
        <f t="shared" si="139"/>
        <v>2.3099308839578114E-2</v>
      </c>
      <c r="J1014" s="19">
        <f t="shared" ca="1" si="140"/>
        <v>3.2186128493158256E-3</v>
      </c>
      <c r="K1014" s="19">
        <f t="shared" ca="1" si="141"/>
        <v>83.758719980352154</v>
      </c>
      <c r="L1014" s="19">
        <f t="shared" ca="1" si="142"/>
        <v>-0.26872198035215433</v>
      </c>
      <c r="M1014" s="19">
        <f t="shared" ca="1" si="143"/>
        <v>-0.38860305444377019</v>
      </c>
      <c r="AA1014" s="37">
        <v>994</v>
      </c>
      <c r="AB1014" s="37">
        <v>1.7724235491896827</v>
      </c>
      <c r="AC1014" s="37">
        <v>2.7954347222808393</v>
      </c>
      <c r="AD1014" s="37">
        <v>3.4599577421781258</v>
      </c>
    </row>
    <row r="1015" spans="2:30" x14ac:dyDescent="0.3">
      <c r="B1015" s="28">
        <v>44105</v>
      </c>
      <c r="C1015" s="25">
        <v>39.310001</v>
      </c>
      <c r="D1015" s="18">
        <f t="shared" si="135"/>
        <v>-4.979448996360869E-2</v>
      </c>
      <c r="E1015" s="32">
        <f t="shared" ca="1" si="136"/>
        <v>2.8435173578848564E-2</v>
      </c>
      <c r="F1015" s="18">
        <f t="shared" ca="1" si="137"/>
        <v>59.968055999817835</v>
      </c>
      <c r="G1015" s="19">
        <f t="shared" ca="1" si="138"/>
        <v>-1.6580549998178356</v>
      </c>
      <c r="H1015" s="27">
        <v>54.209999000000003</v>
      </c>
      <c r="I1015" s="19">
        <f t="shared" si="139"/>
        <v>-3.6266684444444364E-2</v>
      </c>
      <c r="J1015" s="19">
        <f t="shared" ca="1" si="140"/>
        <v>-1.1978914646073733E-2</v>
      </c>
      <c r="K1015" s="19">
        <f t="shared" ca="1" si="141"/>
        <v>82.489878440157142</v>
      </c>
      <c r="L1015" s="19">
        <f t="shared" ca="1" si="142"/>
        <v>1.0001195598428581</v>
      </c>
      <c r="M1015" s="19">
        <f t="shared" ca="1" si="143"/>
        <v>-0.6579354399749775</v>
      </c>
      <c r="AA1015" s="37">
        <v>995</v>
      </c>
      <c r="AB1015" s="37">
        <v>1.7416759168421414</v>
      </c>
      <c r="AC1015" s="37">
        <v>2.7307103340577883</v>
      </c>
      <c r="AD1015" s="37">
        <v>3.4056757957500396</v>
      </c>
    </row>
    <row r="1016" spans="2:30" x14ac:dyDescent="0.3">
      <c r="B1016" s="28">
        <v>44106</v>
      </c>
      <c r="C1016" s="25">
        <v>38.939999</v>
      </c>
      <c r="D1016" s="18">
        <f t="shared" si="135"/>
        <v>-9.4124139045430599E-3</v>
      </c>
      <c r="E1016" s="32">
        <f t="shared" ca="1" si="136"/>
        <v>4.877790527939835E-3</v>
      </c>
      <c r="F1016" s="18">
        <f t="shared" ca="1" si="137"/>
        <v>58.59442497056196</v>
      </c>
      <c r="G1016" s="19">
        <f t="shared" ca="1" si="138"/>
        <v>-0.28442397056196</v>
      </c>
      <c r="H1016" s="27">
        <v>54.34</v>
      </c>
      <c r="I1016" s="19">
        <f t="shared" si="139"/>
        <v>2.3981000257904395E-3</v>
      </c>
      <c r="J1016" s="19">
        <f t="shared" ca="1" si="140"/>
        <v>9.3944580533337155E-3</v>
      </c>
      <c r="K1016" s="19">
        <f t="shared" ca="1" si="141"/>
        <v>84.274341284083903</v>
      </c>
      <c r="L1016" s="19">
        <f t="shared" ca="1" si="142"/>
        <v>-0.78434328408390286</v>
      </c>
      <c r="M1016" s="19">
        <f t="shared" ca="1" si="143"/>
        <v>-1.0687672546458629</v>
      </c>
      <c r="AA1016" s="37">
        <v>996</v>
      </c>
      <c r="AB1016" s="37">
        <v>1.8040334103680911</v>
      </c>
      <c r="AC1016" s="37">
        <v>2.721962485076789</v>
      </c>
      <c r="AD1016" s="37">
        <v>3.4352051215134387</v>
      </c>
    </row>
    <row r="1017" spans="2:30" x14ac:dyDescent="0.3">
      <c r="B1017" s="28">
        <v>44109</v>
      </c>
      <c r="C1017" s="25">
        <v>39.470001000000003</v>
      </c>
      <c r="D1017" s="18">
        <f t="shared" si="135"/>
        <v>1.3610734812807834E-2</v>
      </c>
      <c r="E1017" s="32">
        <f t="shared" ca="1" si="136"/>
        <v>-3.2757965322263112E-2</v>
      </c>
      <c r="F1017" s="18">
        <f t="shared" ca="1" si="137"/>
        <v>56.39988400930087</v>
      </c>
      <c r="G1017" s="19">
        <f t="shared" ca="1" si="138"/>
        <v>1.9101169906991302</v>
      </c>
      <c r="H1017" s="27">
        <v>54.580002</v>
      </c>
      <c r="I1017" s="19">
        <f t="shared" si="139"/>
        <v>4.4166728008832035E-3</v>
      </c>
      <c r="J1017" s="19">
        <f t="shared" ca="1" si="140"/>
        <v>2.085300081933476E-2</v>
      </c>
      <c r="K1017" s="19">
        <f t="shared" ca="1" si="141"/>
        <v>85.231014996700267</v>
      </c>
      <c r="L1017" s="19">
        <f t="shared" ca="1" si="142"/>
        <v>-1.7410169967002673</v>
      </c>
      <c r="M1017" s="19">
        <f t="shared" ca="1" si="143"/>
        <v>0.16909999399886289</v>
      </c>
      <c r="AA1017" s="37">
        <v>997</v>
      </c>
      <c r="AB1017" s="37">
        <v>1.7854398939771243</v>
      </c>
      <c r="AC1017" s="37">
        <v>2.9469387629994492</v>
      </c>
      <c r="AD1017" s="37">
        <v>3.2882861274845316</v>
      </c>
    </row>
    <row r="1018" spans="2:30" x14ac:dyDescent="0.3">
      <c r="B1018" s="28">
        <v>44110</v>
      </c>
      <c r="C1018" s="25">
        <v>39.240001999999997</v>
      </c>
      <c r="D1018" s="18">
        <f t="shared" si="135"/>
        <v>-5.8271850563167416E-3</v>
      </c>
      <c r="E1018" s="32">
        <f t="shared" ca="1" si="136"/>
        <v>4.9816336460093508E-2</v>
      </c>
      <c r="F1018" s="18">
        <f t="shared" ca="1" si="137"/>
        <v>61.214791628804385</v>
      </c>
      <c r="G1018" s="19">
        <f t="shared" ca="1" si="138"/>
        <v>-2.9047906288043848</v>
      </c>
      <c r="H1018" s="27">
        <v>55.07</v>
      </c>
      <c r="I1018" s="19">
        <f t="shared" si="139"/>
        <v>8.9776105174932397E-3</v>
      </c>
      <c r="J1018" s="19">
        <f t="shared" ca="1" si="140"/>
        <v>-4.4655609271078535E-3</v>
      </c>
      <c r="K1018" s="19">
        <f t="shared" ca="1" si="141"/>
        <v>83.11716832712689</v>
      </c>
      <c r="L1018" s="19">
        <f t="shared" ca="1" si="142"/>
        <v>0.37282967287310953</v>
      </c>
      <c r="M1018" s="19">
        <f t="shared" ca="1" si="143"/>
        <v>-2.5319609559312752</v>
      </c>
      <c r="AA1018" s="37">
        <v>998</v>
      </c>
      <c r="AB1018" s="37">
        <v>1.7039748196907267</v>
      </c>
      <c r="AC1018" s="37">
        <v>2.6890296842682702</v>
      </c>
      <c r="AD1018" s="37">
        <v>3.5187016765371997</v>
      </c>
    </row>
    <row r="1019" spans="2:30" x14ac:dyDescent="0.3">
      <c r="B1019" s="28">
        <v>44111</v>
      </c>
      <c r="C1019" s="25">
        <v>40.590000000000003</v>
      </c>
      <c r="D1019" s="18">
        <f t="shared" si="135"/>
        <v>3.4403617002873865E-2</v>
      </c>
      <c r="E1019" s="32">
        <f t="shared" ca="1" si="136"/>
        <v>-7.3205338549713773E-3</v>
      </c>
      <c r="F1019" s="18">
        <f t="shared" ca="1" si="137"/>
        <v>57.883140663596087</v>
      </c>
      <c r="G1019" s="19">
        <f t="shared" ca="1" si="138"/>
        <v>0.4268603364039123</v>
      </c>
      <c r="H1019" s="27">
        <v>57.25</v>
      </c>
      <c r="I1019" s="19">
        <f t="shared" si="139"/>
        <v>3.9585981478118759E-2</v>
      </c>
      <c r="J1019" s="19">
        <f t="shared" ca="1" si="140"/>
        <v>-1.8040426316875215E-2</v>
      </c>
      <c r="K1019" s="19">
        <f t="shared" ca="1" si="141"/>
        <v>81.983802842884941</v>
      </c>
      <c r="L1019" s="19">
        <f t="shared" ca="1" si="142"/>
        <v>1.5061951571150587</v>
      </c>
      <c r="M1019" s="19">
        <f t="shared" ca="1" si="143"/>
        <v>1.933055493518971</v>
      </c>
      <c r="AA1019" s="37">
        <v>999</v>
      </c>
      <c r="AB1019" s="37">
        <v>1.740178980753466</v>
      </c>
      <c r="AC1019" s="37">
        <v>2.9066638976614341</v>
      </c>
      <c r="AD1019" s="37">
        <v>3.4913499779807426</v>
      </c>
    </row>
    <row r="1020" spans="2:30" x14ac:dyDescent="0.3">
      <c r="B1020" s="28">
        <v>44112</v>
      </c>
      <c r="C1020" s="25">
        <v>41.549999</v>
      </c>
      <c r="D1020" s="18">
        <f t="shared" si="135"/>
        <v>2.3651120965755057E-2</v>
      </c>
      <c r="E1020" s="32">
        <f t="shared" ca="1" si="136"/>
        <v>1.8408435588627817E-2</v>
      </c>
      <c r="F1020" s="18">
        <f t="shared" ca="1" si="137"/>
        <v>59.383396897581321</v>
      </c>
      <c r="G1020" s="19">
        <f t="shared" ca="1" si="138"/>
        <v>-1.0733958975813209</v>
      </c>
      <c r="H1020" s="27">
        <v>58.959999000000003</v>
      </c>
      <c r="I1020" s="19">
        <f t="shared" si="139"/>
        <v>2.986897816593892E-2</v>
      </c>
      <c r="J1020" s="19">
        <f t="shared" ca="1" si="140"/>
        <v>-1.0191124948067596E-2</v>
      </c>
      <c r="K1020" s="19">
        <f t="shared" ca="1" si="141"/>
        <v>82.639140998468079</v>
      </c>
      <c r="L1020" s="19">
        <f t="shared" ca="1" si="142"/>
        <v>0.85085700153192079</v>
      </c>
      <c r="M1020" s="19">
        <f t="shared" ca="1" si="143"/>
        <v>-0.22253889604940014</v>
      </c>
      <c r="AA1020" s="37">
        <v>1000</v>
      </c>
      <c r="AB1020" s="37">
        <v>1.864977062094918</v>
      </c>
      <c r="AC1020" s="37">
        <v>2.936790023321691</v>
      </c>
      <c r="AD1020" s="37">
        <v>3.2935030197212729</v>
      </c>
    </row>
    <row r="1021" spans="2:30" x14ac:dyDescent="0.3">
      <c r="B1021" s="28">
        <v>44113</v>
      </c>
      <c r="C1021" s="25">
        <v>41.549999</v>
      </c>
      <c r="D1021" s="18">
        <f t="shared" si="135"/>
        <v>0</v>
      </c>
      <c r="E1021" s="32">
        <f t="shared" ca="1" si="136"/>
        <v>2.1075978060495291E-2</v>
      </c>
      <c r="F1021" s="18">
        <f t="shared" ca="1" si="137"/>
        <v>59.538941301783453</v>
      </c>
      <c r="G1021" s="19">
        <f t="shared" ca="1" si="138"/>
        <v>-1.228940301783453</v>
      </c>
      <c r="H1021" s="27">
        <v>58.959999000000003</v>
      </c>
      <c r="I1021" s="19">
        <f t="shared" si="139"/>
        <v>0</v>
      </c>
      <c r="J1021" s="19">
        <f t="shared" ca="1" si="140"/>
        <v>-2.9512273688756278E-3</v>
      </c>
      <c r="K1021" s="19">
        <f t="shared" ca="1" si="141"/>
        <v>83.243600032875023</v>
      </c>
      <c r="L1021" s="19">
        <f t="shared" ca="1" si="142"/>
        <v>0.24639796712497741</v>
      </c>
      <c r="M1021" s="19">
        <f t="shared" ca="1" si="143"/>
        <v>-0.98254233465847562</v>
      </c>
      <c r="AA1021" s="37">
        <v>1001</v>
      </c>
      <c r="AB1021" s="37">
        <v>1.7819860711408464</v>
      </c>
      <c r="AC1021" s="37">
        <v>2.7965208061481759</v>
      </c>
      <c r="AD1021" s="37">
        <v>3.1069959913273903</v>
      </c>
    </row>
    <row r="1022" spans="2:30" x14ac:dyDescent="0.3">
      <c r="B1022" s="28">
        <v>44116</v>
      </c>
      <c r="C1022" s="25">
        <v>40.590000000000003</v>
      </c>
      <c r="D1022" s="18">
        <f t="shared" si="135"/>
        <v>-2.310466962947455E-2</v>
      </c>
      <c r="E1022" s="32">
        <f t="shared" ca="1" si="136"/>
        <v>-4.1096010786702192E-2</v>
      </c>
      <c r="F1022" s="18">
        <f t="shared" ca="1" si="137"/>
        <v>55.913692569931385</v>
      </c>
      <c r="G1022" s="19">
        <f t="shared" ca="1" si="138"/>
        <v>2.3963084300686148</v>
      </c>
      <c r="H1022" s="27">
        <v>58</v>
      </c>
      <c r="I1022" s="19">
        <f t="shared" si="139"/>
        <v>-1.6282208552954702E-2</v>
      </c>
      <c r="J1022" s="19">
        <f t="shared" ca="1" si="140"/>
        <v>1.371306489148914E-2</v>
      </c>
      <c r="K1022" s="19">
        <f t="shared" ca="1" si="141"/>
        <v>84.634901760364301</v>
      </c>
      <c r="L1022" s="19">
        <f t="shared" ca="1" si="142"/>
        <v>-1.1449037603643006</v>
      </c>
      <c r="M1022" s="19">
        <f t="shared" ca="1" si="143"/>
        <v>1.2514046697043142</v>
      </c>
      <c r="AA1022" s="37">
        <v>1002</v>
      </c>
      <c r="AB1022" s="37">
        <v>1.9201197019442851</v>
      </c>
      <c r="AC1022" s="37">
        <v>2.9046834573315676</v>
      </c>
      <c r="AD1022" s="37">
        <v>3.5095538502464243</v>
      </c>
    </row>
    <row r="1023" spans="2:30" x14ac:dyDescent="0.3">
      <c r="B1023" s="28">
        <v>44117</v>
      </c>
      <c r="C1023" s="25">
        <v>40.740001999999997</v>
      </c>
      <c r="D1023" s="18">
        <f t="shared" si="135"/>
        <v>3.6955407735894674E-3</v>
      </c>
      <c r="E1023" s="32">
        <f t="shared" ca="1" si="136"/>
        <v>2.3519388096446697E-2</v>
      </c>
      <c r="F1023" s="18">
        <f t="shared" ca="1" si="137"/>
        <v>59.68141654342319</v>
      </c>
      <c r="G1023" s="19">
        <f t="shared" ca="1" si="138"/>
        <v>-1.3714155434231898</v>
      </c>
      <c r="H1023" s="27">
        <v>58.900002000000001</v>
      </c>
      <c r="I1023" s="19">
        <f t="shared" si="139"/>
        <v>1.5517275862068969E-2</v>
      </c>
      <c r="J1023" s="19">
        <f t="shared" ca="1" si="140"/>
        <v>-2.1001211848943758E-2</v>
      </c>
      <c r="K1023" s="19">
        <f t="shared" ca="1" si="141"/>
        <v>81.736606864734114</v>
      </c>
      <c r="L1023" s="19">
        <f t="shared" ca="1" si="142"/>
        <v>1.7533911352658862</v>
      </c>
      <c r="M1023" s="19">
        <f t="shared" ca="1" si="143"/>
        <v>0.38197559184269636</v>
      </c>
      <c r="AA1023" s="37">
        <v>1003</v>
      </c>
      <c r="AB1023" s="37">
        <v>1.6024546335464607</v>
      </c>
      <c r="AC1023" s="37">
        <v>2.7535294907436101</v>
      </c>
      <c r="AD1023" s="37">
        <v>3.2236016192918124</v>
      </c>
    </row>
    <row r="1024" spans="2:30" x14ac:dyDescent="0.3">
      <c r="B1024" s="28">
        <v>44118</v>
      </c>
      <c r="C1024" s="25">
        <v>41.349997999999999</v>
      </c>
      <c r="D1024" s="18">
        <f t="shared" si="135"/>
        <v>1.4972900590431992E-2</v>
      </c>
      <c r="E1024" s="32">
        <f t="shared" ca="1" si="136"/>
        <v>1.8554723283100538E-2</v>
      </c>
      <c r="F1024" s="18">
        <f t="shared" ca="1" si="137"/>
        <v>59.391926933192309</v>
      </c>
      <c r="G1024" s="19">
        <f t="shared" ca="1" si="138"/>
        <v>-1.0819259331923092</v>
      </c>
      <c r="H1024" s="27">
        <v>58.57</v>
      </c>
      <c r="I1024" s="19">
        <f t="shared" si="139"/>
        <v>-5.6027502342019808E-3</v>
      </c>
      <c r="J1024" s="19">
        <f t="shared" ca="1" si="140"/>
        <v>-2.3572345571245143E-2</v>
      </c>
      <c r="K1024" s="19">
        <f t="shared" ca="1" si="141"/>
        <v>81.521942915401439</v>
      </c>
      <c r="L1024" s="19">
        <f t="shared" ca="1" si="142"/>
        <v>1.9680550845985607</v>
      </c>
      <c r="M1024" s="19">
        <f t="shared" ca="1" si="143"/>
        <v>0.88612915140625148</v>
      </c>
      <c r="AA1024" s="37">
        <v>1004</v>
      </c>
      <c r="AB1024" s="37">
        <v>1.907867092561824</v>
      </c>
      <c r="AC1024" s="37">
        <v>2.6724286831799318</v>
      </c>
      <c r="AD1024" s="37">
        <v>3.4004337622165055</v>
      </c>
    </row>
    <row r="1025" spans="2:30" x14ac:dyDescent="0.3">
      <c r="B1025" s="28">
        <v>44119</v>
      </c>
      <c r="C1025" s="25">
        <v>41.25</v>
      </c>
      <c r="D1025" s="18">
        <f t="shared" si="135"/>
        <v>-2.4183314349858209E-3</v>
      </c>
      <c r="E1025" s="32">
        <f t="shared" ca="1" si="136"/>
        <v>1.5562372936303573E-2</v>
      </c>
      <c r="F1025" s="18">
        <f t="shared" ca="1" si="137"/>
        <v>59.217442981478229</v>
      </c>
      <c r="G1025" s="19">
        <f t="shared" ca="1" si="138"/>
        <v>-0.90744198147822885</v>
      </c>
      <c r="H1025" s="27">
        <v>58.57</v>
      </c>
      <c r="I1025" s="19">
        <f t="shared" si="139"/>
        <v>0</v>
      </c>
      <c r="J1025" s="19">
        <f t="shared" ca="1" si="140"/>
        <v>-3.0983702927605845E-3</v>
      </c>
      <c r="K1025" s="19">
        <f t="shared" ca="1" si="141"/>
        <v>83.231315070454158</v>
      </c>
      <c r="L1025" s="19">
        <f t="shared" ca="1" si="142"/>
        <v>0.25868292954584149</v>
      </c>
      <c r="M1025" s="19">
        <f t="shared" ca="1" si="143"/>
        <v>-0.64875905193238737</v>
      </c>
      <c r="AA1025" s="37">
        <v>1005</v>
      </c>
      <c r="AB1025" s="37">
        <v>1.7979741357642522</v>
      </c>
      <c r="AC1025" s="37">
        <v>2.8190180071650377</v>
      </c>
      <c r="AD1025" s="37">
        <v>3.1972571867164086</v>
      </c>
    </row>
    <row r="1026" spans="2:30" x14ac:dyDescent="0.3">
      <c r="B1026" s="28">
        <v>44120</v>
      </c>
      <c r="C1026" s="25">
        <v>41.189999</v>
      </c>
      <c r="D1026" s="18">
        <f t="shared" si="135"/>
        <v>-1.4545696969696653E-3</v>
      </c>
      <c r="E1026" s="32">
        <f t="shared" ca="1" si="136"/>
        <v>3.2390327198925532E-2</v>
      </c>
      <c r="F1026" s="18">
        <f t="shared" ca="1" si="137"/>
        <v>60.198681011359668</v>
      </c>
      <c r="G1026" s="19">
        <f t="shared" ca="1" si="138"/>
        <v>-1.8886800113596678</v>
      </c>
      <c r="H1026" s="27">
        <v>58.700001</v>
      </c>
      <c r="I1026" s="19">
        <f t="shared" si="139"/>
        <v>2.2195834044733687E-3</v>
      </c>
      <c r="J1026" s="19">
        <f t="shared" ca="1" si="140"/>
        <v>3.1392814835578431E-2</v>
      </c>
      <c r="K1026" s="19">
        <f t="shared" ca="1" si="141"/>
        <v>86.110984047836808</v>
      </c>
      <c r="L1026" s="19">
        <f t="shared" ca="1" si="142"/>
        <v>-2.6209860478368086</v>
      </c>
      <c r="M1026" s="19">
        <f t="shared" ca="1" si="143"/>
        <v>-4.5096660591964763</v>
      </c>
      <c r="AA1026" s="37">
        <v>1006</v>
      </c>
      <c r="AB1026" s="37">
        <v>1.7499190363583228</v>
      </c>
      <c r="AC1026" s="37">
        <v>2.7789495501334582</v>
      </c>
      <c r="AD1026" s="37">
        <v>3.4355116758360862</v>
      </c>
    </row>
    <row r="1027" spans="2:30" x14ac:dyDescent="0.3">
      <c r="B1027" s="28">
        <v>44123</v>
      </c>
      <c r="C1027" s="25">
        <v>41.189999</v>
      </c>
      <c r="D1027" s="18">
        <f t="shared" si="135"/>
        <v>0</v>
      </c>
      <c r="E1027" s="32">
        <f t="shared" ca="1" si="136"/>
        <v>-1.2310144481283905E-2</v>
      </c>
      <c r="F1027" s="18">
        <f t="shared" ca="1" si="137"/>
        <v>57.592196462986195</v>
      </c>
      <c r="G1027" s="19">
        <f t="shared" ca="1" si="138"/>
        <v>0.71780453701380509</v>
      </c>
      <c r="H1027" s="27">
        <v>58.700001</v>
      </c>
      <c r="I1027" s="19">
        <f t="shared" si="139"/>
        <v>0</v>
      </c>
      <c r="J1027" s="19">
        <f t="shared" ca="1" si="140"/>
        <v>3.04704560961674E-2</v>
      </c>
      <c r="K1027" s="19">
        <f t="shared" ca="1" si="141"/>
        <v>86.033976318528119</v>
      </c>
      <c r="L1027" s="19">
        <f t="shared" ca="1" si="142"/>
        <v>-2.5439783185281186</v>
      </c>
      <c r="M1027" s="19">
        <f t="shared" ca="1" si="143"/>
        <v>-1.8261737815143135</v>
      </c>
      <c r="AA1027" s="37">
        <v>1007</v>
      </c>
      <c r="AB1027" s="37">
        <v>1.9351368532461588</v>
      </c>
      <c r="AC1027" s="37">
        <v>3.016110541246189</v>
      </c>
      <c r="AD1027" s="37">
        <v>3.4019143291630702</v>
      </c>
    </row>
    <row r="1028" spans="2:30" x14ac:dyDescent="0.3">
      <c r="B1028" s="28">
        <v>44124</v>
      </c>
      <c r="C1028" s="25">
        <v>41.400002000000001</v>
      </c>
      <c r="D1028" s="18">
        <f t="shared" si="135"/>
        <v>5.0983977931147173E-3</v>
      </c>
      <c r="E1028" s="32">
        <f t="shared" ca="1" si="136"/>
        <v>-1.0322173578993921E-2</v>
      </c>
      <c r="F1028" s="18">
        <f t="shared" ca="1" si="137"/>
        <v>57.708115048286693</v>
      </c>
      <c r="G1028" s="19">
        <f t="shared" ca="1" si="138"/>
        <v>0.60188595171330661</v>
      </c>
      <c r="H1028" s="27">
        <v>60.09</v>
      </c>
      <c r="I1028" s="19">
        <f t="shared" si="139"/>
        <v>2.3679709988420727E-2</v>
      </c>
      <c r="J1028" s="19">
        <f t="shared" ca="1" si="140"/>
        <v>-1.4225951136942578E-2</v>
      </c>
      <c r="K1028" s="19">
        <f t="shared" ca="1" si="141"/>
        <v>82.302273368028565</v>
      </c>
      <c r="L1028" s="19">
        <f t="shared" ca="1" si="142"/>
        <v>1.1877246319714345</v>
      </c>
      <c r="M1028" s="19">
        <f t="shared" ca="1" si="143"/>
        <v>1.7896105836847411</v>
      </c>
      <c r="AA1028" s="37">
        <v>1008</v>
      </c>
      <c r="AB1028" s="37">
        <v>1.8059663952625771</v>
      </c>
      <c r="AC1028" s="37">
        <v>2.8835006435842749</v>
      </c>
      <c r="AD1028" s="37">
        <v>3.2273173371456996</v>
      </c>
    </row>
    <row r="1029" spans="2:30" x14ac:dyDescent="0.3">
      <c r="B1029" s="28">
        <v>44125</v>
      </c>
      <c r="C1029" s="25">
        <v>42.32</v>
      </c>
      <c r="D1029" s="18">
        <f t="shared" si="135"/>
        <v>2.2222172839508447E-2</v>
      </c>
      <c r="E1029" s="32">
        <f t="shared" ca="1" si="136"/>
        <v>2.42441682989992E-2</v>
      </c>
      <c r="F1029" s="18">
        <f t="shared" ca="1" si="137"/>
        <v>59.72367847775881</v>
      </c>
      <c r="G1029" s="19">
        <f t="shared" ca="1" si="138"/>
        <v>-1.4136774777588101</v>
      </c>
      <c r="H1029" s="27">
        <v>61.790000999999997</v>
      </c>
      <c r="I1029" s="19">
        <f t="shared" si="139"/>
        <v>2.8290913629555492E-2</v>
      </c>
      <c r="J1029" s="19">
        <f t="shared" ca="1" si="140"/>
        <v>-3.5747675771430579E-2</v>
      </c>
      <c r="K1029" s="19">
        <f t="shared" ca="1" si="141"/>
        <v>80.505424621338619</v>
      </c>
      <c r="L1029" s="19">
        <f t="shared" ca="1" si="142"/>
        <v>2.9845733786613806</v>
      </c>
      <c r="M1029" s="19">
        <f t="shared" ca="1" si="143"/>
        <v>1.5708959009025705</v>
      </c>
      <c r="AA1029" s="37">
        <v>1009</v>
      </c>
      <c r="AB1029" s="37">
        <v>1.8627354683401804</v>
      </c>
      <c r="AC1029" s="37">
        <v>2.9464166022303333</v>
      </c>
      <c r="AD1029" s="37">
        <v>3.3637943554118297</v>
      </c>
    </row>
    <row r="1030" spans="2:30" x14ac:dyDescent="0.3">
      <c r="B1030" s="28">
        <v>44126</v>
      </c>
      <c r="C1030" s="25">
        <v>41.310001</v>
      </c>
      <c r="D1030" s="18">
        <f t="shared" si="135"/>
        <v>-2.3865760869565267E-2</v>
      </c>
      <c r="E1030" s="32">
        <f t="shared" ca="1" si="136"/>
        <v>1.6784654348199361E-2</v>
      </c>
      <c r="F1030" s="18">
        <f t="shared" ca="1" si="137"/>
        <v>59.288714211828157</v>
      </c>
      <c r="G1030" s="19">
        <f t="shared" ca="1" si="138"/>
        <v>-0.97871321182815763</v>
      </c>
      <c r="H1030" s="27">
        <v>61.880001</v>
      </c>
      <c r="I1030" s="19">
        <f t="shared" si="139"/>
        <v>1.4565463431535086E-3</v>
      </c>
      <c r="J1030" s="19">
        <f t="shared" ca="1" si="140"/>
        <v>-1.0268261636427314E-2</v>
      </c>
      <c r="K1030" s="19">
        <f t="shared" ca="1" si="141"/>
        <v>82.632700856511207</v>
      </c>
      <c r="L1030" s="19">
        <f t="shared" ca="1" si="142"/>
        <v>0.85729714348879327</v>
      </c>
      <c r="M1030" s="19">
        <f t="shared" ca="1" si="143"/>
        <v>-0.12141606833936436</v>
      </c>
      <c r="AA1030" s="37">
        <v>1010</v>
      </c>
      <c r="AB1030" s="37">
        <v>1.8444988414543111</v>
      </c>
      <c r="AC1030" s="37">
        <v>2.7180712008052219</v>
      </c>
      <c r="AD1030" s="37">
        <v>3.3551606850092899</v>
      </c>
    </row>
    <row r="1031" spans="2:30" x14ac:dyDescent="0.3">
      <c r="B1031" s="28">
        <v>44127</v>
      </c>
      <c r="C1031" s="25">
        <v>41.290000999999997</v>
      </c>
      <c r="D1031" s="18">
        <f t="shared" si="135"/>
        <v>-4.8414426327425542E-4</v>
      </c>
      <c r="E1031" s="32">
        <f t="shared" ca="1" si="136"/>
        <v>3.6578551777702265E-2</v>
      </c>
      <c r="F1031" s="18">
        <f t="shared" ca="1" si="137"/>
        <v>60.442896390736365</v>
      </c>
      <c r="G1031" s="19">
        <f t="shared" ca="1" si="138"/>
        <v>-2.1328953907363655</v>
      </c>
      <c r="H1031" s="27">
        <v>62.959999000000003</v>
      </c>
      <c r="I1031" s="19">
        <f t="shared" si="139"/>
        <v>1.7453102497525963E-2</v>
      </c>
      <c r="J1031" s="19">
        <f t="shared" ca="1" si="140"/>
        <v>2.6756163761534044E-2</v>
      </c>
      <c r="K1031" s="19">
        <f t="shared" ca="1" si="141"/>
        <v>85.723870058938161</v>
      </c>
      <c r="L1031" s="19">
        <f t="shared" ca="1" si="142"/>
        <v>-2.2338720589381609</v>
      </c>
      <c r="M1031" s="19">
        <f t="shared" ca="1" si="143"/>
        <v>-4.3667674496745263</v>
      </c>
      <c r="AA1031" s="37">
        <v>1011</v>
      </c>
      <c r="AB1031" s="37">
        <v>1.7520440690510155</v>
      </c>
      <c r="AC1031" s="37">
        <v>2.7766642342970145</v>
      </c>
      <c r="AD1031" s="37">
        <v>3.3976799646492566</v>
      </c>
    </row>
    <row r="1032" spans="2:30" x14ac:dyDescent="0.3">
      <c r="B1032" s="28">
        <v>44130</v>
      </c>
      <c r="C1032" s="25">
        <v>42.400002000000001</v>
      </c>
      <c r="D1032" s="18">
        <f t="shared" ref="D1032:D1095" si="144">C1032/C1031-1</f>
        <v>2.6883046091473961E-2</v>
      </c>
      <c r="E1032" s="32">
        <f t="shared" ref="E1032:E1095" ca="1" si="145">NORMINV(RAND(),$E$3,$E$4)</f>
        <v>-1.4853376280772785E-3</v>
      </c>
      <c r="F1032" s="18">
        <f t="shared" ref="F1032:F1095" ca="1" si="146">$C$1261*(1+E1032)</f>
        <v>58.22339096142148</v>
      </c>
      <c r="G1032" s="19">
        <f t="shared" ref="G1032:G1095" ca="1" si="147">$C$1261-F1032</f>
        <v>8.6610038578520232E-2</v>
      </c>
      <c r="H1032" s="27">
        <v>61.25</v>
      </c>
      <c r="I1032" s="19">
        <f t="shared" ref="I1032:I1095" si="148">H1032/H1031-1</f>
        <v>-2.7160086200128442E-2</v>
      </c>
      <c r="J1032" s="19">
        <f t="shared" ref="J1032:J1095" ca="1" si="149">NORMINV(RAND(),$J$3,$J$4)</f>
        <v>1.3029132408454779E-2</v>
      </c>
      <c r="K1032" s="19">
        <f t="shared" ref="K1032:K1095" ca="1" si="150">$H$1261*(1+J1032)</f>
        <v>84.577800238723626</v>
      </c>
      <c r="L1032" s="19">
        <f t="shared" ref="L1032:L1095" ca="1" si="151">$H$1261-K1032</f>
        <v>-1.0878022387236257</v>
      </c>
      <c r="M1032" s="19">
        <f t="shared" ref="M1032:M1095" ca="1" si="152">SUM(G1032,L1032)</f>
        <v>-1.0011922001451055</v>
      </c>
      <c r="AA1032" s="37">
        <v>1012</v>
      </c>
      <c r="AB1032" s="37">
        <v>1.9151339577724655</v>
      </c>
      <c r="AC1032" s="37">
        <v>2.7141313406063889</v>
      </c>
      <c r="AD1032" s="37">
        <v>3.4046287811407989</v>
      </c>
    </row>
    <row r="1033" spans="2:30" x14ac:dyDescent="0.3">
      <c r="B1033" s="28">
        <v>44131</v>
      </c>
      <c r="C1033" s="25">
        <v>43.459999000000003</v>
      </c>
      <c r="D1033" s="18">
        <f t="shared" si="144"/>
        <v>2.4999928066041122E-2</v>
      </c>
      <c r="E1033" s="32">
        <f t="shared" ca="1" si="145"/>
        <v>1.1663571489187211E-2</v>
      </c>
      <c r="F1033" s="18">
        <f t="shared" ca="1" si="146"/>
        <v>58.99010386519808</v>
      </c>
      <c r="G1033" s="19">
        <f t="shared" ca="1" si="147"/>
        <v>-0.68010286519808005</v>
      </c>
      <c r="H1033" s="27">
        <v>62.689999</v>
      </c>
      <c r="I1033" s="19">
        <f t="shared" si="148"/>
        <v>2.3510187755102052E-2</v>
      </c>
      <c r="J1033" s="19">
        <f t="shared" ca="1" si="149"/>
        <v>3.1672524839162372E-2</v>
      </c>
      <c r="K1033" s="19">
        <f t="shared" ca="1" si="150"/>
        <v>86.134337035476605</v>
      </c>
      <c r="L1033" s="19">
        <f t="shared" ca="1" si="151"/>
        <v>-2.6443390354766052</v>
      </c>
      <c r="M1033" s="19">
        <f t="shared" ca="1" si="152"/>
        <v>-3.3244419006746853</v>
      </c>
      <c r="AA1033" s="37">
        <v>1013</v>
      </c>
      <c r="AB1033" s="37">
        <v>1.7181314775138636</v>
      </c>
      <c r="AC1033" s="37">
        <v>2.9320770322421486</v>
      </c>
      <c r="AD1033" s="37">
        <v>3.1062418040752067</v>
      </c>
    </row>
    <row r="1034" spans="2:30" x14ac:dyDescent="0.3">
      <c r="B1034" s="28">
        <v>44132</v>
      </c>
      <c r="C1034" s="25">
        <v>42.779998999999997</v>
      </c>
      <c r="D1034" s="18">
        <f t="shared" si="144"/>
        <v>-1.564657192007779E-2</v>
      </c>
      <c r="E1034" s="32">
        <f t="shared" ca="1" si="145"/>
        <v>1.07438608598468E-3</v>
      </c>
      <c r="F1034" s="18">
        <f t="shared" ca="1" si="146"/>
        <v>58.372648453748155</v>
      </c>
      <c r="G1034" s="19">
        <f t="shared" ca="1" si="147"/>
        <v>-6.2647453748155613E-2</v>
      </c>
      <c r="H1034" s="27">
        <v>61.200001</v>
      </c>
      <c r="I1034" s="19">
        <f t="shared" si="148"/>
        <v>-2.3767714528117989E-2</v>
      </c>
      <c r="J1034" s="19">
        <f t="shared" ca="1" si="149"/>
        <v>-3.1645115518327946E-4</v>
      </c>
      <c r="K1034" s="19">
        <f t="shared" ca="1" si="150"/>
        <v>83.463577493686643</v>
      </c>
      <c r="L1034" s="19">
        <f t="shared" ca="1" si="151"/>
        <v>2.642050631335735E-2</v>
      </c>
      <c r="M1034" s="19">
        <f t="shared" ca="1" si="152"/>
        <v>-3.6226947434798262E-2</v>
      </c>
      <c r="AA1034" s="37">
        <v>1014</v>
      </c>
      <c r="AB1034" s="37">
        <v>1.6395622900855886</v>
      </c>
      <c r="AC1034" s="37">
        <v>2.9905696426354829</v>
      </c>
      <c r="AD1034" s="37">
        <v>3.4218972719818694</v>
      </c>
    </row>
    <row r="1035" spans="2:30" x14ac:dyDescent="0.3">
      <c r="B1035" s="28">
        <v>44133</v>
      </c>
      <c r="C1035" s="25">
        <v>40.650002000000001</v>
      </c>
      <c r="D1035" s="18">
        <f t="shared" si="144"/>
        <v>-4.9789552355996913E-2</v>
      </c>
      <c r="E1035" s="32">
        <f t="shared" ca="1" si="145"/>
        <v>7.3386723352334539E-3</v>
      </c>
      <c r="F1035" s="18">
        <f t="shared" ca="1" si="146"/>
        <v>58.737918991206143</v>
      </c>
      <c r="G1035" s="19">
        <f t="shared" ca="1" si="147"/>
        <v>-0.42791799120614371</v>
      </c>
      <c r="H1035" s="27">
        <v>60.59</v>
      </c>
      <c r="I1035" s="19">
        <f t="shared" si="148"/>
        <v>-9.9673364384421648E-3</v>
      </c>
      <c r="J1035" s="19">
        <f t="shared" ca="1" si="149"/>
        <v>-2.1264600610460177E-2</v>
      </c>
      <c r="K1035" s="19">
        <f t="shared" ca="1" si="150"/>
        <v>81.714616537561881</v>
      </c>
      <c r="L1035" s="19">
        <f t="shared" ca="1" si="151"/>
        <v>1.7753814624381192</v>
      </c>
      <c r="M1035" s="19">
        <f t="shared" ca="1" si="152"/>
        <v>1.3474634712319755</v>
      </c>
      <c r="AA1035" s="37">
        <v>1015</v>
      </c>
      <c r="AB1035" s="37">
        <v>1.7159002419870757</v>
      </c>
      <c r="AC1035" s="37">
        <v>2.8101080650708639</v>
      </c>
      <c r="AD1035" s="37">
        <v>3.4201009157957474</v>
      </c>
    </row>
    <row r="1036" spans="2:30" x14ac:dyDescent="0.3">
      <c r="B1036" s="28">
        <v>44134</v>
      </c>
      <c r="C1036" s="25">
        <v>40.990001999999997</v>
      </c>
      <c r="D1036" s="18">
        <f t="shared" si="144"/>
        <v>8.3640832293192524E-3</v>
      </c>
      <c r="E1036" s="32">
        <f t="shared" ca="1" si="145"/>
        <v>-1.3252382563336718E-2</v>
      </c>
      <c r="F1036" s="18">
        <f t="shared" ca="1" si="146"/>
        <v>57.53725455947945</v>
      </c>
      <c r="G1036" s="19">
        <f t="shared" ca="1" si="147"/>
        <v>0.77274644052054953</v>
      </c>
      <c r="H1036" s="27">
        <v>60.25</v>
      </c>
      <c r="I1036" s="19">
        <f t="shared" si="148"/>
        <v>-5.6114870440667763E-3</v>
      </c>
      <c r="J1036" s="19">
        <f t="shared" ca="1" si="149"/>
        <v>3.0813474063855007E-3</v>
      </c>
      <c r="K1036" s="19">
        <f t="shared" ca="1" si="150"/>
        <v>83.747259688796433</v>
      </c>
      <c r="L1036" s="19">
        <f t="shared" ca="1" si="151"/>
        <v>-0.25726168879643296</v>
      </c>
      <c r="M1036" s="19">
        <f t="shared" ca="1" si="152"/>
        <v>0.51548475172411656</v>
      </c>
      <c r="AA1036" s="37">
        <v>1016</v>
      </c>
      <c r="AB1036" s="37">
        <v>1.8017999032039302</v>
      </c>
      <c r="AC1036" s="37">
        <v>2.9475168743496214</v>
      </c>
      <c r="AD1036" s="37">
        <v>3.1477625784000614</v>
      </c>
    </row>
    <row r="1037" spans="2:30" x14ac:dyDescent="0.3">
      <c r="B1037" s="28">
        <v>44138</v>
      </c>
      <c r="C1037" s="25">
        <v>41.66</v>
      </c>
      <c r="D1037" s="18">
        <f t="shared" si="144"/>
        <v>1.6345400519863329E-2</v>
      </c>
      <c r="E1037" s="32">
        <f t="shared" ca="1" si="145"/>
        <v>-1.0862747725002132E-2</v>
      </c>
      <c r="F1037" s="18">
        <f t="shared" ca="1" si="146"/>
        <v>57.676594169292372</v>
      </c>
      <c r="G1037" s="19">
        <f t="shared" ca="1" si="147"/>
        <v>0.63340683070762793</v>
      </c>
      <c r="H1037" s="27">
        <v>61.68</v>
      </c>
      <c r="I1037" s="19">
        <f t="shared" si="148"/>
        <v>2.3734439834024901E-2</v>
      </c>
      <c r="J1037" s="19">
        <f t="shared" ca="1" si="149"/>
        <v>5.6708746386871034E-4</v>
      </c>
      <c r="K1037" s="19">
        <f t="shared" ca="1" si="150"/>
        <v>83.537344131224231</v>
      </c>
      <c r="L1037" s="19">
        <f t="shared" ca="1" si="151"/>
        <v>-4.7346131224230703E-2</v>
      </c>
      <c r="M1037" s="19">
        <f t="shared" ca="1" si="152"/>
        <v>0.58606069948339723</v>
      </c>
      <c r="AA1037" s="37">
        <v>1017</v>
      </c>
      <c r="AB1037" s="37">
        <v>1.7427224063719489</v>
      </c>
      <c r="AC1037" s="37">
        <v>2.7535936217718406</v>
      </c>
      <c r="AD1037" s="37">
        <v>3.4702838298004868</v>
      </c>
    </row>
    <row r="1038" spans="2:30" x14ac:dyDescent="0.3">
      <c r="B1038" s="28">
        <v>44139</v>
      </c>
      <c r="C1038" s="25">
        <v>42.049999</v>
      </c>
      <c r="D1038" s="18">
        <f t="shared" si="144"/>
        <v>9.3614738358138716E-3</v>
      </c>
      <c r="E1038" s="32">
        <f t="shared" ca="1" si="145"/>
        <v>1.2162558437498886E-2</v>
      </c>
      <c r="F1038" s="18">
        <f t="shared" ca="1" si="146"/>
        <v>59.019199794653119</v>
      </c>
      <c r="G1038" s="19">
        <f t="shared" ca="1" si="147"/>
        <v>-0.70919879465311908</v>
      </c>
      <c r="H1038" s="27">
        <v>61.110000999999997</v>
      </c>
      <c r="I1038" s="19">
        <f t="shared" si="148"/>
        <v>-9.2412289234760081E-3</v>
      </c>
      <c r="J1038" s="19">
        <f t="shared" ca="1" si="149"/>
        <v>9.9128945334795698E-3</v>
      </c>
      <c r="K1038" s="19">
        <f t="shared" ca="1" si="150"/>
        <v>84.31762554477443</v>
      </c>
      <c r="L1038" s="19">
        <f t="shared" ca="1" si="151"/>
        <v>-0.82762754477442968</v>
      </c>
      <c r="M1038" s="19">
        <f t="shared" ca="1" si="152"/>
        <v>-1.5368263394275488</v>
      </c>
      <c r="AA1038" s="37">
        <v>1018</v>
      </c>
      <c r="AB1038" s="37">
        <v>1.7228649441530699</v>
      </c>
      <c r="AC1038" s="37">
        <v>3.1331930349782011</v>
      </c>
      <c r="AD1038" s="37">
        <v>3.2520254258651535</v>
      </c>
    </row>
    <row r="1039" spans="2:30" x14ac:dyDescent="0.3">
      <c r="B1039" s="28">
        <v>44140</v>
      </c>
      <c r="C1039" s="25">
        <v>42.34</v>
      </c>
      <c r="D1039" s="18">
        <f t="shared" si="144"/>
        <v>6.8965756693597502E-3</v>
      </c>
      <c r="E1039" s="32">
        <f t="shared" ca="1" si="145"/>
        <v>2.5358762584719526E-2</v>
      </c>
      <c r="F1039" s="18">
        <f t="shared" ca="1" si="146"/>
        <v>59.788670471673761</v>
      </c>
      <c r="G1039" s="19">
        <f t="shared" ca="1" si="147"/>
        <v>-1.4786694716737614</v>
      </c>
      <c r="H1039" s="27">
        <v>62.040000999999997</v>
      </c>
      <c r="I1039" s="19">
        <f t="shared" si="148"/>
        <v>1.5218458268393631E-2</v>
      </c>
      <c r="J1039" s="19">
        <f t="shared" ca="1" si="149"/>
        <v>2.5752031272964153E-2</v>
      </c>
      <c r="K1039" s="19">
        <f t="shared" ca="1" si="150"/>
        <v>85.64003503947572</v>
      </c>
      <c r="L1039" s="19">
        <f t="shared" ca="1" si="151"/>
        <v>-2.1500370394757198</v>
      </c>
      <c r="M1039" s="19">
        <f t="shared" ca="1" si="152"/>
        <v>-3.6287065111494812</v>
      </c>
      <c r="AA1039" s="37">
        <v>1019</v>
      </c>
      <c r="AB1039" s="37">
        <v>1.8367742703494769</v>
      </c>
      <c r="AC1039" s="37">
        <v>3.0713220478254328</v>
      </c>
      <c r="AD1039" s="37">
        <v>3.5183885913524464</v>
      </c>
    </row>
    <row r="1040" spans="2:30" x14ac:dyDescent="0.3">
      <c r="B1040" s="28">
        <v>44141</v>
      </c>
      <c r="C1040" s="25">
        <v>41.790000999999997</v>
      </c>
      <c r="D1040" s="18">
        <f t="shared" si="144"/>
        <v>-1.2990056683986895E-2</v>
      </c>
      <c r="E1040" s="32">
        <f t="shared" ca="1" si="145"/>
        <v>2.7124663282298039E-2</v>
      </c>
      <c r="F1040" s="18">
        <f t="shared" ca="1" si="146"/>
        <v>59.891640143115467</v>
      </c>
      <c r="G1040" s="19">
        <f t="shared" ca="1" si="147"/>
        <v>-1.581639143115467</v>
      </c>
      <c r="H1040" s="27">
        <v>62.419998</v>
      </c>
      <c r="I1040" s="19">
        <f t="shared" si="148"/>
        <v>6.1250321385390993E-3</v>
      </c>
      <c r="J1040" s="19">
        <f t="shared" ca="1" si="149"/>
        <v>2.4076192805989948E-2</v>
      </c>
      <c r="K1040" s="19">
        <f t="shared" ca="1" si="150"/>
        <v>85.500119289219725</v>
      </c>
      <c r="L1040" s="19">
        <f t="shared" ca="1" si="151"/>
        <v>-2.0101212892197253</v>
      </c>
      <c r="M1040" s="19">
        <f t="shared" ca="1" si="152"/>
        <v>-3.5917604323351924</v>
      </c>
      <c r="AA1040" s="37">
        <v>1020</v>
      </c>
      <c r="AB1040" s="37">
        <v>1.761844198056105</v>
      </c>
      <c r="AC1040" s="37">
        <v>3.1153085794059447</v>
      </c>
      <c r="AD1040" s="37">
        <v>3.3415662093131857</v>
      </c>
    </row>
    <row r="1041" spans="2:30" x14ac:dyDescent="0.3">
      <c r="B1041" s="28">
        <v>44144</v>
      </c>
      <c r="C1041" s="25">
        <v>41.169998</v>
      </c>
      <c r="D1041" s="18">
        <f t="shared" si="144"/>
        <v>-1.4836156620335994E-2</v>
      </c>
      <c r="E1041" s="32">
        <f t="shared" ca="1" si="145"/>
        <v>-1.6426867166493109E-2</v>
      </c>
      <c r="F1041" s="18">
        <f t="shared" ca="1" si="146"/>
        <v>57.352150359094921</v>
      </c>
      <c r="G1041" s="19">
        <f t="shared" ca="1" si="147"/>
        <v>0.95785064090507888</v>
      </c>
      <c r="H1041" s="27">
        <v>63.43</v>
      </c>
      <c r="I1041" s="19">
        <f t="shared" si="148"/>
        <v>1.6180743869937286E-2</v>
      </c>
      <c r="J1041" s="19">
        <f t="shared" ca="1" si="149"/>
        <v>-9.5220654230185088E-3</v>
      </c>
      <c r="K1041" s="19">
        <f t="shared" ca="1" si="150"/>
        <v>82.695000776876313</v>
      </c>
      <c r="L1041" s="19">
        <f t="shared" ca="1" si="151"/>
        <v>0.79499722312368704</v>
      </c>
      <c r="M1041" s="19">
        <f t="shared" ca="1" si="152"/>
        <v>1.7528478640287659</v>
      </c>
      <c r="AA1041" s="37">
        <v>1021</v>
      </c>
      <c r="AB1041" s="37">
        <v>1.836266405269154</v>
      </c>
      <c r="AC1041" s="37">
        <v>2.7010475586949694</v>
      </c>
      <c r="AD1041" s="37">
        <v>3.3216874088531796</v>
      </c>
    </row>
    <row r="1042" spans="2:30" x14ac:dyDescent="0.3">
      <c r="B1042" s="28">
        <v>44145</v>
      </c>
      <c r="C1042" s="25">
        <v>42.939999</v>
      </c>
      <c r="D1042" s="18">
        <f t="shared" si="144"/>
        <v>4.2992496623390775E-2</v>
      </c>
      <c r="E1042" s="32">
        <f t="shared" ca="1" si="145"/>
        <v>-3.9582389666174854E-2</v>
      </c>
      <c r="F1042" s="18">
        <f t="shared" ca="1" si="146"/>
        <v>56.001951818982953</v>
      </c>
      <c r="G1042" s="19">
        <f t="shared" ca="1" si="147"/>
        <v>2.3080491810170471</v>
      </c>
      <c r="H1042" s="27">
        <v>64.370002999999997</v>
      </c>
      <c r="I1042" s="19">
        <f t="shared" si="148"/>
        <v>1.4819533343843672E-2</v>
      </c>
      <c r="J1042" s="19">
        <f t="shared" ca="1" si="149"/>
        <v>1.1452021550695876E-2</v>
      </c>
      <c r="K1042" s="19">
        <f t="shared" ca="1" si="150"/>
        <v>84.446127256363553</v>
      </c>
      <c r="L1042" s="19">
        <f t="shared" ca="1" si="151"/>
        <v>-0.95612925636355328</v>
      </c>
      <c r="M1042" s="19">
        <f t="shared" ca="1" si="152"/>
        <v>1.3519199246534939</v>
      </c>
      <c r="AA1042" s="37">
        <v>1022</v>
      </c>
      <c r="AB1042" s="37">
        <v>1.7716390397709609</v>
      </c>
      <c r="AC1042" s="37">
        <v>2.9752222674760138</v>
      </c>
      <c r="AD1042" s="37">
        <v>3.2662929370319214</v>
      </c>
    </row>
    <row r="1043" spans="2:30" x14ac:dyDescent="0.3">
      <c r="B1043" s="28">
        <v>44146</v>
      </c>
      <c r="C1043" s="25">
        <v>43.02</v>
      </c>
      <c r="D1043" s="18">
        <f t="shared" si="144"/>
        <v>1.8630880731973498E-3</v>
      </c>
      <c r="E1043" s="32">
        <f t="shared" ca="1" si="145"/>
        <v>1.7687277902788352E-2</v>
      </c>
      <c r="F1043" s="18">
        <f t="shared" ca="1" si="146"/>
        <v>59.341346192198863</v>
      </c>
      <c r="G1043" s="19">
        <f t="shared" ca="1" si="147"/>
        <v>-1.031345192198863</v>
      </c>
      <c r="H1043" s="27">
        <v>63.990001999999997</v>
      </c>
      <c r="I1043" s="19">
        <f t="shared" si="148"/>
        <v>-5.903386395678778E-3</v>
      </c>
      <c r="J1043" s="19">
        <f t="shared" ca="1" si="149"/>
        <v>4.6145074577089128E-2</v>
      </c>
      <c r="K1043" s="19">
        <f t="shared" ca="1" si="150"/>
        <v>87.342650184151012</v>
      </c>
      <c r="L1043" s="19">
        <f t="shared" ca="1" si="151"/>
        <v>-3.8526521841510117</v>
      </c>
      <c r="M1043" s="19">
        <f t="shared" ca="1" si="152"/>
        <v>-4.8839973763498747</v>
      </c>
      <c r="AA1043" s="37">
        <v>1023</v>
      </c>
      <c r="AB1043" s="37">
        <v>1.7979448629162027</v>
      </c>
      <c r="AC1043" s="37">
        <v>2.7315742559139933</v>
      </c>
      <c r="AD1043" s="37">
        <v>3.3579861330519525</v>
      </c>
    </row>
    <row r="1044" spans="2:30" x14ac:dyDescent="0.3">
      <c r="B1044" s="28">
        <v>44147</v>
      </c>
      <c r="C1044" s="25">
        <v>43.73</v>
      </c>
      <c r="D1044" s="18">
        <f t="shared" si="144"/>
        <v>1.6503951650395088E-2</v>
      </c>
      <c r="E1044" s="32">
        <f t="shared" ca="1" si="145"/>
        <v>-7.9006813216514465E-3</v>
      </c>
      <c r="F1044" s="18">
        <f t="shared" ca="1" si="146"/>
        <v>57.849312264233824</v>
      </c>
      <c r="G1044" s="19">
        <f t="shared" ca="1" si="147"/>
        <v>0.46068873576617619</v>
      </c>
      <c r="H1044" s="27">
        <v>64.019997000000004</v>
      </c>
      <c r="I1044" s="19">
        <f t="shared" si="148"/>
        <v>4.6874510177397077E-4</v>
      </c>
      <c r="J1044" s="19">
        <f t="shared" ca="1" si="149"/>
        <v>-1.0701239335946947E-2</v>
      </c>
      <c r="K1044" s="19">
        <f t="shared" ca="1" si="150"/>
        <v>82.596551549244268</v>
      </c>
      <c r="L1044" s="19">
        <f t="shared" ca="1" si="151"/>
        <v>0.89344645075573226</v>
      </c>
      <c r="M1044" s="19">
        <f t="shared" ca="1" si="152"/>
        <v>1.3541351865219085</v>
      </c>
      <c r="AA1044" s="37">
        <v>1024</v>
      </c>
      <c r="AB1044" s="37">
        <v>1.9289122374331109</v>
      </c>
      <c r="AC1044" s="37">
        <v>2.8488918143909676</v>
      </c>
      <c r="AD1044" s="37">
        <v>3.2819377803950673</v>
      </c>
    </row>
    <row r="1045" spans="2:30" x14ac:dyDescent="0.3">
      <c r="B1045" s="28">
        <v>44148</v>
      </c>
      <c r="C1045" s="25">
        <v>43.490001999999997</v>
      </c>
      <c r="D1045" s="18">
        <f t="shared" si="144"/>
        <v>-5.4881774525497029E-3</v>
      </c>
      <c r="E1045" s="32">
        <f t="shared" ca="1" si="145"/>
        <v>2.8524174225444624E-2</v>
      </c>
      <c r="F1045" s="18">
        <f t="shared" ca="1" si="146"/>
        <v>59.973245627609856</v>
      </c>
      <c r="G1045" s="19">
        <f t="shared" ca="1" si="147"/>
        <v>-1.6632446276098563</v>
      </c>
      <c r="H1045" s="27">
        <v>65.190002000000007</v>
      </c>
      <c r="I1045" s="19">
        <f t="shared" si="148"/>
        <v>1.8275617851091219E-2</v>
      </c>
      <c r="J1045" s="19">
        <f t="shared" ca="1" si="149"/>
        <v>7.9176736691999837E-3</v>
      </c>
      <c r="K1045" s="19">
        <f t="shared" ca="1" si="150"/>
        <v>84.151044558806149</v>
      </c>
      <c r="L1045" s="19">
        <f t="shared" ca="1" si="151"/>
        <v>-0.66104655880614871</v>
      </c>
      <c r="M1045" s="19">
        <f t="shared" ca="1" si="152"/>
        <v>-2.324291186416005</v>
      </c>
      <c r="AA1045" s="37">
        <v>1025</v>
      </c>
      <c r="AB1045" s="37">
        <v>1.7908639523342755</v>
      </c>
      <c r="AC1045" s="37">
        <v>2.6982291547636392</v>
      </c>
      <c r="AD1045" s="37">
        <v>3.3361689827168322</v>
      </c>
    </row>
    <row r="1046" spans="2:30" x14ac:dyDescent="0.3">
      <c r="B1046" s="28">
        <v>44152</v>
      </c>
      <c r="C1046" s="25">
        <v>45.09</v>
      </c>
      <c r="D1046" s="18">
        <f t="shared" si="144"/>
        <v>3.679001900252854E-2</v>
      </c>
      <c r="E1046" s="32">
        <f t="shared" ca="1" si="145"/>
        <v>-2.9032815749677345E-2</v>
      </c>
      <c r="F1046" s="18">
        <f t="shared" ca="1" si="146"/>
        <v>56.617097484603498</v>
      </c>
      <c r="G1046" s="19">
        <f t="shared" ca="1" si="147"/>
        <v>1.6929035153965017</v>
      </c>
      <c r="H1046" s="27">
        <v>67.180000000000007</v>
      </c>
      <c r="I1046" s="19">
        <f t="shared" si="148"/>
        <v>3.0526122702067005E-2</v>
      </c>
      <c r="J1046" s="19">
        <f t="shared" ca="1" si="149"/>
        <v>3.5565737561751451E-2</v>
      </c>
      <c r="K1046" s="19">
        <f t="shared" ca="1" si="150"/>
        <v>86.459381357899161</v>
      </c>
      <c r="L1046" s="19">
        <f t="shared" ca="1" si="151"/>
        <v>-2.9693833578991615</v>
      </c>
      <c r="M1046" s="19">
        <f t="shared" ca="1" si="152"/>
        <v>-1.2764798425026598</v>
      </c>
      <c r="AA1046" s="37">
        <v>1026</v>
      </c>
      <c r="AB1046" s="37">
        <v>1.7519699534995439</v>
      </c>
      <c r="AC1046" s="37">
        <v>2.7015043308085107</v>
      </c>
      <c r="AD1046" s="37">
        <v>2.9612130535588936</v>
      </c>
    </row>
    <row r="1047" spans="2:30" x14ac:dyDescent="0.3">
      <c r="B1047" s="28">
        <v>44153</v>
      </c>
      <c r="C1047" s="25">
        <v>44.759998000000003</v>
      </c>
      <c r="D1047" s="18">
        <f t="shared" si="144"/>
        <v>-7.3187402971833793E-3</v>
      </c>
      <c r="E1047" s="32">
        <f t="shared" ca="1" si="145"/>
        <v>-8.1091737613685579E-4</v>
      </c>
      <c r="F1047" s="18">
        <f t="shared" ca="1" si="146"/>
        <v>58.262716406986542</v>
      </c>
      <c r="G1047" s="19">
        <f t="shared" ca="1" si="147"/>
        <v>4.728459301345822E-2</v>
      </c>
      <c r="H1047" s="27">
        <v>67.160004000000001</v>
      </c>
      <c r="I1047" s="19">
        <f t="shared" si="148"/>
        <v>-2.9764810955645871E-4</v>
      </c>
      <c r="J1047" s="19">
        <f t="shared" ca="1" si="149"/>
        <v>-1.6652675385866417E-2</v>
      </c>
      <c r="K1047" s="19">
        <f t="shared" ca="1" si="150"/>
        <v>82.099666165339357</v>
      </c>
      <c r="L1047" s="19">
        <f t="shared" ca="1" si="151"/>
        <v>1.3903318346606426</v>
      </c>
      <c r="M1047" s="19">
        <f t="shared" ca="1" si="152"/>
        <v>1.4376164276741008</v>
      </c>
      <c r="AA1047" s="37">
        <v>1027</v>
      </c>
      <c r="AB1047" s="37">
        <v>1.7410567266823092</v>
      </c>
      <c r="AC1047" s="37">
        <v>2.9311688617523517</v>
      </c>
      <c r="AD1047" s="37">
        <v>3.4163397183842834</v>
      </c>
    </row>
    <row r="1048" spans="2:30" x14ac:dyDescent="0.3">
      <c r="B1048" s="28">
        <v>44154</v>
      </c>
      <c r="C1048" s="25">
        <v>43.150002000000001</v>
      </c>
      <c r="D1048" s="18">
        <f t="shared" si="144"/>
        <v>-3.5969527970041493E-2</v>
      </c>
      <c r="E1048" s="32">
        <f t="shared" ca="1" si="145"/>
        <v>7.9470637332548224E-5</v>
      </c>
      <c r="F1048" s="18">
        <f t="shared" ca="1" si="146"/>
        <v>58.314634932942333</v>
      </c>
      <c r="G1048" s="19">
        <f t="shared" ca="1" si="147"/>
        <v>-4.6339329423332742E-3</v>
      </c>
      <c r="H1048" s="27">
        <v>65.839995999999999</v>
      </c>
      <c r="I1048" s="19">
        <f t="shared" si="148"/>
        <v>-1.9654674231407099E-2</v>
      </c>
      <c r="J1048" s="19">
        <f t="shared" ca="1" si="149"/>
        <v>1.0090201873096019E-2</v>
      </c>
      <c r="K1048" s="19">
        <f t="shared" ca="1" si="150"/>
        <v>84.332428934204373</v>
      </c>
      <c r="L1048" s="19">
        <f t="shared" ca="1" si="151"/>
        <v>-0.84243093420437276</v>
      </c>
      <c r="M1048" s="19">
        <f t="shared" ca="1" si="152"/>
        <v>-0.84706486714670604</v>
      </c>
      <c r="AA1048" s="37">
        <v>1028</v>
      </c>
      <c r="AB1048" s="37">
        <v>1.8037815875160232</v>
      </c>
      <c r="AC1048" s="37">
        <v>2.7990509406625361</v>
      </c>
      <c r="AD1048" s="37">
        <v>3.3423315284175374</v>
      </c>
    </row>
    <row r="1049" spans="2:30" x14ac:dyDescent="0.3">
      <c r="B1049" s="28">
        <v>44155</v>
      </c>
      <c r="C1049" s="25">
        <v>41.91</v>
      </c>
      <c r="D1049" s="18">
        <f t="shared" si="144"/>
        <v>-2.8737009096778343E-2</v>
      </c>
      <c r="E1049" s="32">
        <f t="shared" ca="1" si="145"/>
        <v>-1.2978469703087971E-2</v>
      </c>
      <c r="F1049" s="18">
        <f t="shared" ca="1" si="146"/>
        <v>57.553226418634466</v>
      </c>
      <c r="G1049" s="19">
        <f t="shared" ca="1" si="147"/>
        <v>0.75677458136553355</v>
      </c>
      <c r="H1049" s="27">
        <v>66.400002000000001</v>
      </c>
      <c r="I1049" s="19">
        <f t="shared" si="148"/>
        <v>8.5055594474823248E-3</v>
      </c>
      <c r="J1049" s="19">
        <f t="shared" ca="1" si="149"/>
        <v>-2.5148241331513577E-3</v>
      </c>
      <c r="K1049" s="19">
        <f t="shared" ca="1" si="150"/>
        <v>83.280035338152842</v>
      </c>
      <c r="L1049" s="19">
        <f t="shared" ca="1" si="151"/>
        <v>0.20996266184715751</v>
      </c>
      <c r="M1049" s="19">
        <f t="shared" ca="1" si="152"/>
        <v>0.96673724321269106</v>
      </c>
      <c r="AA1049" s="37">
        <v>1029</v>
      </c>
      <c r="AB1049" s="37">
        <v>1.7953766033984242</v>
      </c>
      <c r="AC1049" s="37">
        <v>2.8174622658454682</v>
      </c>
      <c r="AD1049" s="37">
        <v>3.2784034679973644</v>
      </c>
    </row>
    <row r="1050" spans="2:30" x14ac:dyDescent="0.3">
      <c r="B1050" s="28">
        <v>44158</v>
      </c>
      <c r="C1050" s="25">
        <v>42.73</v>
      </c>
      <c r="D1050" s="18">
        <f t="shared" si="144"/>
        <v>1.9565736101169184E-2</v>
      </c>
      <c r="E1050" s="32">
        <f t="shared" ca="1" si="145"/>
        <v>2.0544559711361272E-2</v>
      </c>
      <c r="F1050" s="18">
        <f t="shared" ca="1" si="146"/>
        <v>59.507954297314043</v>
      </c>
      <c r="G1050" s="19">
        <f t="shared" ca="1" si="147"/>
        <v>-1.1979532973140437</v>
      </c>
      <c r="H1050" s="27">
        <v>67.879997000000003</v>
      </c>
      <c r="I1050" s="19">
        <f t="shared" si="148"/>
        <v>2.2289080653943305E-2</v>
      </c>
      <c r="J1050" s="19">
        <f t="shared" ca="1" si="149"/>
        <v>-2.573059804987126E-2</v>
      </c>
      <c r="K1050" s="19">
        <f t="shared" ca="1" si="150"/>
        <v>81.34175042027745</v>
      </c>
      <c r="L1050" s="19">
        <f t="shared" ca="1" si="151"/>
        <v>2.1482475797225504</v>
      </c>
      <c r="M1050" s="19">
        <f t="shared" ca="1" si="152"/>
        <v>0.95029428240850677</v>
      </c>
      <c r="AA1050" s="37">
        <v>1030</v>
      </c>
      <c r="AB1050" s="37">
        <v>1.7407787559968995</v>
      </c>
      <c r="AC1050" s="37">
        <v>2.7910141167340634</v>
      </c>
      <c r="AD1050" s="37">
        <v>3.3073758156720214</v>
      </c>
    </row>
    <row r="1051" spans="2:30" x14ac:dyDescent="0.3">
      <c r="B1051" s="28">
        <v>44159</v>
      </c>
      <c r="C1051" s="25">
        <v>42.810001</v>
      </c>
      <c r="D1051" s="18">
        <f t="shared" si="144"/>
        <v>1.8722443248304632E-3</v>
      </c>
      <c r="E1051" s="32">
        <f t="shared" ca="1" si="145"/>
        <v>-2.2641640431253543E-3</v>
      </c>
      <c r="F1051" s="18">
        <f t="shared" ca="1" si="146"/>
        <v>58.177977592381197</v>
      </c>
      <c r="G1051" s="19">
        <f t="shared" ca="1" si="147"/>
        <v>0.13202340761880293</v>
      </c>
      <c r="H1051" s="27">
        <v>69.730002999999996</v>
      </c>
      <c r="I1051" s="19">
        <f t="shared" si="148"/>
        <v>2.7254067203332344E-2</v>
      </c>
      <c r="J1051" s="19">
        <f t="shared" ca="1" si="149"/>
        <v>2.7676591292473171E-2</v>
      </c>
      <c r="K1051" s="19">
        <f t="shared" ca="1" si="150"/>
        <v>85.800716551655412</v>
      </c>
      <c r="L1051" s="19">
        <f t="shared" ca="1" si="151"/>
        <v>-2.3107185516554125</v>
      </c>
      <c r="M1051" s="19">
        <f t="shared" ca="1" si="152"/>
        <v>-2.1786951440366096</v>
      </c>
      <c r="AA1051" s="37">
        <v>1031</v>
      </c>
      <c r="AB1051" s="37">
        <v>1.7577770543306006</v>
      </c>
      <c r="AC1051" s="37">
        <v>2.7774117750396212</v>
      </c>
      <c r="AD1051" s="37">
        <v>3.0421140582126607</v>
      </c>
    </row>
    <row r="1052" spans="2:30" x14ac:dyDescent="0.3">
      <c r="B1052" s="28">
        <v>44160</v>
      </c>
      <c r="C1052" s="25">
        <v>42.5</v>
      </c>
      <c r="D1052" s="18">
        <f t="shared" si="144"/>
        <v>-7.2413219518495664E-3</v>
      </c>
      <c r="E1052" s="32">
        <f t="shared" ca="1" si="145"/>
        <v>-1.9950392904978388E-2</v>
      </c>
      <c r="F1052" s="18">
        <f t="shared" ca="1" si="146"/>
        <v>57.146693569760316</v>
      </c>
      <c r="G1052" s="19">
        <f t="shared" ca="1" si="147"/>
        <v>1.1633074302396835</v>
      </c>
      <c r="H1052" s="27">
        <v>71.110000999999997</v>
      </c>
      <c r="I1052" s="19">
        <f t="shared" si="148"/>
        <v>1.9790591433073601E-2</v>
      </c>
      <c r="J1052" s="19">
        <f t="shared" ca="1" si="149"/>
        <v>-1.21342852444907E-2</v>
      </c>
      <c r="K1052" s="19">
        <f t="shared" ca="1" si="150"/>
        <v>82.476906549206049</v>
      </c>
      <c r="L1052" s="19">
        <f t="shared" ca="1" si="151"/>
        <v>1.0130914507939508</v>
      </c>
      <c r="M1052" s="19">
        <f t="shared" ca="1" si="152"/>
        <v>2.1763988810336343</v>
      </c>
      <c r="AA1052" s="37">
        <v>1032</v>
      </c>
      <c r="AB1052" s="37">
        <v>1.8059457722090742</v>
      </c>
      <c r="AC1052" s="37">
        <v>2.9220262374225339</v>
      </c>
      <c r="AD1052" s="37">
        <v>3.1167162020445462</v>
      </c>
    </row>
    <row r="1053" spans="2:30" x14ac:dyDescent="0.3">
      <c r="B1053" s="28">
        <v>44161</v>
      </c>
      <c r="C1053" s="25">
        <v>43</v>
      </c>
      <c r="D1053" s="18">
        <f t="shared" si="144"/>
        <v>1.1764705882352899E-2</v>
      </c>
      <c r="E1053" s="32">
        <f t="shared" ca="1" si="145"/>
        <v>-3.4707803418209948E-3</v>
      </c>
      <c r="F1053" s="18">
        <f t="shared" ca="1" si="146"/>
        <v>58.107619794797635</v>
      </c>
      <c r="G1053" s="19">
        <f t="shared" ca="1" si="147"/>
        <v>0.20238120520236436</v>
      </c>
      <c r="H1053" s="27">
        <v>73.629997000000003</v>
      </c>
      <c r="I1053" s="19">
        <f t="shared" si="148"/>
        <v>3.5437996970355989E-2</v>
      </c>
      <c r="J1053" s="19">
        <f t="shared" ca="1" si="149"/>
        <v>1.0141557753619079E-2</v>
      </c>
      <c r="K1053" s="19">
        <f t="shared" ca="1" si="150"/>
        <v>84.336716636566535</v>
      </c>
      <c r="L1053" s="19">
        <f t="shared" ca="1" si="151"/>
        <v>-0.84671863656653557</v>
      </c>
      <c r="M1053" s="19">
        <f t="shared" ca="1" si="152"/>
        <v>-0.64433743136417121</v>
      </c>
      <c r="AA1053" s="37">
        <v>1033</v>
      </c>
      <c r="AB1053" s="37">
        <v>1.8049421390136668</v>
      </c>
      <c r="AC1053" s="37">
        <v>2.8149452371752886</v>
      </c>
      <c r="AD1053" s="37">
        <v>3.4440790399269416</v>
      </c>
    </row>
    <row r="1054" spans="2:30" x14ac:dyDescent="0.3">
      <c r="B1054" s="28">
        <v>44162</v>
      </c>
      <c r="C1054" s="25">
        <v>43.130001</v>
      </c>
      <c r="D1054" s="18">
        <f t="shared" si="144"/>
        <v>3.0232790697675149E-3</v>
      </c>
      <c r="E1054" s="32">
        <f t="shared" ca="1" si="145"/>
        <v>-3.6833757544978175E-2</v>
      </c>
      <c r="F1054" s="18">
        <f t="shared" ca="1" si="146"/>
        <v>56.162224560718563</v>
      </c>
      <c r="G1054" s="19">
        <f t="shared" ca="1" si="147"/>
        <v>2.1477764392814365</v>
      </c>
      <c r="H1054" s="27">
        <v>71.319999999999993</v>
      </c>
      <c r="I1054" s="19">
        <f t="shared" si="148"/>
        <v>-3.1373042158347686E-2</v>
      </c>
      <c r="J1054" s="19">
        <f t="shared" ca="1" si="149"/>
        <v>9.5191062691534802E-3</v>
      </c>
      <c r="K1054" s="19">
        <f t="shared" ca="1" si="150"/>
        <v>84.284748163373422</v>
      </c>
      <c r="L1054" s="19">
        <f t="shared" ca="1" si="151"/>
        <v>-0.79475016337342197</v>
      </c>
      <c r="M1054" s="19">
        <f t="shared" ca="1" si="152"/>
        <v>1.3530262759080145</v>
      </c>
      <c r="AA1054" s="37">
        <v>1034</v>
      </c>
      <c r="AB1054" s="37">
        <v>1.7618732295007566</v>
      </c>
      <c r="AC1054" s="37">
        <v>2.8339123250496225</v>
      </c>
      <c r="AD1054" s="37">
        <v>3.4417981444416514</v>
      </c>
    </row>
    <row r="1055" spans="2:30" x14ac:dyDescent="0.3">
      <c r="B1055" s="28">
        <v>44165</v>
      </c>
      <c r="C1055" s="25">
        <v>42.759998000000003</v>
      </c>
      <c r="D1055" s="18">
        <f t="shared" si="144"/>
        <v>-8.578784869492484E-3</v>
      </c>
      <c r="E1055" s="32">
        <f t="shared" ca="1" si="145"/>
        <v>1.9154245723190147E-2</v>
      </c>
      <c r="F1055" s="18">
        <f t="shared" ca="1" si="146"/>
        <v>59.426885087273462</v>
      </c>
      <c r="G1055" s="19">
        <f t="shared" ca="1" si="147"/>
        <v>-1.116884087273462</v>
      </c>
      <c r="H1055" s="27">
        <v>73.339995999999999</v>
      </c>
      <c r="I1055" s="19">
        <f t="shared" si="148"/>
        <v>2.8322994952327596E-2</v>
      </c>
      <c r="J1055" s="19">
        <f t="shared" ca="1" si="149"/>
        <v>4.8882973539637149E-3</v>
      </c>
      <c r="K1055" s="19">
        <f t="shared" ca="1" si="150"/>
        <v>83.898121936305827</v>
      </c>
      <c r="L1055" s="19">
        <f t="shared" ca="1" si="151"/>
        <v>-0.40812393630582733</v>
      </c>
      <c r="M1055" s="19">
        <f t="shared" ca="1" si="152"/>
        <v>-1.5250080235792893</v>
      </c>
      <c r="AA1055" s="37">
        <v>1035</v>
      </c>
      <c r="AB1055" s="37">
        <v>1.9232439294866965</v>
      </c>
      <c r="AC1055" s="37">
        <v>2.6982995138624588</v>
      </c>
      <c r="AD1055" s="37">
        <v>3.4093951203161517</v>
      </c>
    </row>
    <row r="1056" spans="2:30" x14ac:dyDescent="0.3">
      <c r="B1056" s="28">
        <v>44166</v>
      </c>
      <c r="C1056" s="25">
        <v>42.799999</v>
      </c>
      <c r="D1056" s="18">
        <f t="shared" si="144"/>
        <v>9.3547712513908365E-4</v>
      </c>
      <c r="E1056" s="32">
        <f t="shared" ca="1" si="145"/>
        <v>9.0993674573199741E-3</v>
      </c>
      <c r="F1056" s="18">
        <f t="shared" ca="1" si="146"/>
        <v>58.840585125535689</v>
      </c>
      <c r="G1056" s="19">
        <f t="shared" ca="1" si="147"/>
        <v>-0.53058412553568957</v>
      </c>
      <c r="H1056" s="27">
        <v>75.010002</v>
      </c>
      <c r="I1056" s="19">
        <f t="shared" si="148"/>
        <v>2.2770740265652512E-2</v>
      </c>
      <c r="J1056" s="19">
        <f t="shared" ca="1" si="149"/>
        <v>1.9704310584618141E-2</v>
      </c>
      <c r="K1056" s="19">
        <f t="shared" ca="1" si="150"/>
        <v>85.13511085130115</v>
      </c>
      <c r="L1056" s="19">
        <f t="shared" ca="1" si="151"/>
        <v>-1.6451128513011497</v>
      </c>
      <c r="M1056" s="19">
        <f t="shared" ca="1" si="152"/>
        <v>-2.1756969768368393</v>
      </c>
      <c r="AA1056" s="37">
        <v>1036</v>
      </c>
      <c r="AB1056" s="37">
        <v>1.7652613965577519</v>
      </c>
      <c r="AC1056" s="37">
        <v>2.8289238799994867</v>
      </c>
      <c r="AD1056" s="37">
        <v>3.36091110359212</v>
      </c>
    </row>
    <row r="1057" spans="2:30" x14ac:dyDescent="0.3">
      <c r="B1057" s="28">
        <v>44167</v>
      </c>
      <c r="C1057" s="25">
        <v>43.82</v>
      </c>
      <c r="D1057" s="18">
        <f t="shared" si="144"/>
        <v>2.3831799622238359E-2</v>
      </c>
      <c r="E1057" s="32">
        <f t="shared" ca="1" si="145"/>
        <v>7.6651559827354437E-4</v>
      </c>
      <c r="F1057" s="18">
        <f t="shared" ca="1" si="146"/>
        <v>58.35469652530184</v>
      </c>
      <c r="G1057" s="19">
        <f t="shared" ca="1" si="147"/>
        <v>-4.4695525301840178E-2</v>
      </c>
      <c r="H1057" s="27">
        <v>78.779999000000004</v>
      </c>
      <c r="I1057" s="19">
        <f t="shared" si="148"/>
        <v>5.0259924003201562E-2</v>
      </c>
      <c r="J1057" s="19">
        <f t="shared" ca="1" si="149"/>
        <v>-5.9402358854858542E-3</v>
      </c>
      <c r="K1057" s="19">
        <f t="shared" ca="1" si="150"/>
        <v>82.994047717801251</v>
      </c>
      <c r="L1057" s="19">
        <f t="shared" ca="1" si="151"/>
        <v>0.49595028219874848</v>
      </c>
      <c r="M1057" s="19">
        <f t="shared" ca="1" si="152"/>
        <v>0.4512547568969083</v>
      </c>
      <c r="AA1057" s="37">
        <v>1037</v>
      </c>
      <c r="AB1057" s="37">
        <v>1.7484038437550085</v>
      </c>
      <c r="AC1057" s="37">
        <v>2.7398299834023931</v>
      </c>
      <c r="AD1057" s="37">
        <v>3.3385168143276114</v>
      </c>
    </row>
    <row r="1058" spans="2:30" x14ac:dyDescent="0.3">
      <c r="B1058" s="28">
        <v>44168</v>
      </c>
      <c r="C1058" s="25">
        <v>43.459999000000003</v>
      </c>
      <c r="D1058" s="18">
        <f t="shared" si="144"/>
        <v>-8.2154495664079619E-3</v>
      </c>
      <c r="E1058" s="32">
        <f t="shared" ca="1" si="145"/>
        <v>3.2888664514513256E-2</v>
      </c>
      <c r="F1058" s="18">
        <f t="shared" ca="1" si="146"/>
        <v>60.227739060729931</v>
      </c>
      <c r="G1058" s="19">
        <f t="shared" ca="1" si="147"/>
        <v>-1.9177380607299312</v>
      </c>
      <c r="H1058" s="27">
        <v>81.129997000000003</v>
      </c>
      <c r="I1058" s="19">
        <f t="shared" si="148"/>
        <v>2.9829881059023622E-2</v>
      </c>
      <c r="J1058" s="19">
        <f t="shared" ca="1" si="149"/>
        <v>8.0186555711144331E-3</v>
      </c>
      <c r="K1058" s="19">
        <f t="shared" ca="1" si="150"/>
        <v>84.159475537595029</v>
      </c>
      <c r="L1058" s="19">
        <f t="shared" ca="1" si="151"/>
        <v>-0.66947753759502859</v>
      </c>
      <c r="M1058" s="19">
        <f t="shared" ca="1" si="152"/>
        <v>-2.5872155983249598</v>
      </c>
      <c r="AA1058" s="37">
        <v>1038</v>
      </c>
      <c r="AB1058" s="37">
        <v>1.9012311097063765</v>
      </c>
      <c r="AC1058" s="37">
        <v>2.8251517963837212</v>
      </c>
      <c r="AD1058" s="37">
        <v>3.3670167848190102</v>
      </c>
    </row>
    <row r="1059" spans="2:30" x14ac:dyDescent="0.3">
      <c r="B1059" s="28">
        <v>44169</v>
      </c>
      <c r="C1059" s="25">
        <v>43.48</v>
      </c>
      <c r="D1059" s="18">
        <f t="shared" si="144"/>
        <v>4.6021630143133763E-4</v>
      </c>
      <c r="E1059" s="32">
        <f t="shared" ca="1" si="145"/>
        <v>-7.7749553942549647E-3</v>
      </c>
      <c r="F1059" s="18">
        <f t="shared" ca="1" si="146"/>
        <v>57.856643343186036</v>
      </c>
      <c r="G1059" s="19">
        <f t="shared" ca="1" si="147"/>
        <v>0.45335765681396367</v>
      </c>
      <c r="H1059" s="27">
        <v>80.279999000000004</v>
      </c>
      <c r="I1059" s="19">
        <f t="shared" si="148"/>
        <v>-1.047698793825913E-2</v>
      </c>
      <c r="J1059" s="19">
        <f t="shared" ca="1" si="149"/>
        <v>2.1763980095567514E-2</v>
      </c>
      <c r="K1059" s="19">
        <f t="shared" ca="1" si="150"/>
        <v>85.30707265465098</v>
      </c>
      <c r="L1059" s="19">
        <f t="shared" ca="1" si="151"/>
        <v>-1.8170746546509804</v>
      </c>
      <c r="M1059" s="19">
        <f t="shared" ca="1" si="152"/>
        <v>-1.3637169978370167</v>
      </c>
      <c r="AA1059" s="37">
        <v>1039</v>
      </c>
      <c r="AB1059" s="37">
        <v>1.8001790263818176</v>
      </c>
      <c r="AC1059" s="37">
        <v>2.9280258789910842</v>
      </c>
      <c r="AD1059" s="37">
        <v>3.1796474184338415</v>
      </c>
    </row>
    <row r="1060" spans="2:30" x14ac:dyDescent="0.3">
      <c r="B1060" s="28">
        <v>44172</v>
      </c>
      <c r="C1060" s="25">
        <v>42.91</v>
      </c>
      <c r="D1060" s="18">
        <f t="shared" si="144"/>
        <v>-1.3109475620975197E-2</v>
      </c>
      <c r="E1060" s="32">
        <f t="shared" ca="1" si="145"/>
        <v>3.5473625583174418E-3</v>
      </c>
      <c r="F1060" s="18">
        <f t="shared" ca="1" si="146"/>
        <v>58.516847714322843</v>
      </c>
      <c r="G1060" s="19">
        <f t="shared" ca="1" si="147"/>
        <v>-0.20684671432284318</v>
      </c>
      <c r="H1060" s="27">
        <v>78.589995999999999</v>
      </c>
      <c r="I1060" s="19">
        <f t="shared" si="148"/>
        <v>-2.1051358010106602E-2</v>
      </c>
      <c r="J1060" s="19">
        <f t="shared" ca="1" si="149"/>
        <v>2.4334239820453372E-2</v>
      </c>
      <c r="K1060" s="19">
        <f t="shared" ca="1" si="150"/>
        <v>85.521663633941174</v>
      </c>
      <c r="L1060" s="19">
        <f t="shared" ca="1" si="151"/>
        <v>-2.0316656339411736</v>
      </c>
      <c r="M1060" s="19">
        <f t="shared" ca="1" si="152"/>
        <v>-2.2385123482640168</v>
      </c>
      <c r="AA1060" s="37">
        <v>1040</v>
      </c>
      <c r="AB1060" s="37">
        <v>1.7010025603954864</v>
      </c>
      <c r="AC1060" s="37">
        <v>2.7936111321278876</v>
      </c>
      <c r="AD1060" s="37">
        <v>3.2995244814301059</v>
      </c>
    </row>
    <row r="1061" spans="2:30" x14ac:dyDescent="0.3">
      <c r="B1061" s="28">
        <v>44173</v>
      </c>
      <c r="C1061" s="25">
        <v>42.939999</v>
      </c>
      <c r="D1061" s="18">
        <f t="shared" si="144"/>
        <v>6.991144255419357E-4</v>
      </c>
      <c r="E1061" s="32">
        <f t="shared" ca="1" si="145"/>
        <v>1.4375182085933811E-2</v>
      </c>
      <c r="F1061" s="18">
        <f t="shared" ca="1" si="146"/>
        <v>59.148217881805991</v>
      </c>
      <c r="G1061" s="19">
        <f t="shared" ca="1" si="147"/>
        <v>-0.83821688180599097</v>
      </c>
      <c r="H1061" s="27">
        <v>78.360000999999997</v>
      </c>
      <c r="I1061" s="19">
        <f t="shared" si="148"/>
        <v>-2.9265175175731128E-3</v>
      </c>
      <c r="J1061" s="19">
        <f t="shared" ca="1" si="149"/>
        <v>1.5197462675456551E-3</v>
      </c>
      <c r="K1061" s="19">
        <f t="shared" ca="1" si="150"/>
        <v>83.616881612837886</v>
      </c>
      <c r="L1061" s="19">
        <f t="shared" ca="1" si="151"/>
        <v>-0.12688361283788652</v>
      </c>
      <c r="M1061" s="19">
        <f t="shared" ca="1" si="152"/>
        <v>-0.96510049464387748</v>
      </c>
      <c r="AA1061" s="37">
        <v>1041</v>
      </c>
      <c r="AB1061" s="37">
        <v>1.8251353804658841</v>
      </c>
      <c r="AC1061" s="37">
        <v>2.8369743355769814</v>
      </c>
      <c r="AD1061" s="37">
        <v>3.3967814737230029</v>
      </c>
    </row>
    <row r="1062" spans="2:30" x14ac:dyDescent="0.3">
      <c r="B1062" s="28">
        <v>44174</v>
      </c>
      <c r="C1062" s="25">
        <v>42.540000999999997</v>
      </c>
      <c r="D1062" s="18">
        <f t="shared" si="144"/>
        <v>-9.3152773478174522E-3</v>
      </c>
      <c r="E1062" s="32">
        <f t="shared" ca="1" si="145"/>
        <v>2.3091186182668651E-2</v>
      </c>
      <c r="F1062" s="18">
        <f t="shared" ca="1" si="146"/>
        <v>59.656448089402595</v>
      </c>
      <c r="G1062" s="19">
        <f t="shared" ca="1" si="147"/>
        <v>-1.3464470894025951</v>
      </c>
      <c r="H1062" s="27">
        <v>76.819999999999993</v>
      </c>
      <c r="I1062" s="19">
        <f t="shared" si="148"/>
        <v>-1.9652896635363848E-2</v>
      </c>
      <c r="J1062" s="19">
        <f t="shared" ca="1" si="149"/>
        <v>-1.5747609177261968E-2</v>
      </c>
      <c r="K1062" s="19">
        <f t="shared" ca="1" si="150"/>
        <v>82.175230141285624</v>
      </c>
      <c r="L1062" s="19">
        <f t="shared" ca="1" si="151"/>
        <v>1.3147678587143758</v>
      </c>
      <c r="M1062" s="19">
        <f t="shared" ca="1" si="152"/>
        <v>-3.1679230688219207E-2</v>
      </c>
      <c r="AA1062" s="37">
        <v>1042</v>
      </c>
      <c r="AB1062" s="37">
        <v>1.9632096059000159</v>
      </c>
      <c r="AC1062" s="37">
        <v>2.8120555205396114</v>
      </c>
      <c r="AD1062" s="37">
        <v>3.2827500540419696</v>
      </c>
    </row>
    <row r="1063" spans="2:30" x14ac:dyDescent="0.3">
      <c r="B1063" s="28">
        <v>44175</v>
      </c>
      <c r="C1063" s="25">
        <v>42.040000999999997</v>
      </c>
      <c r="D1063" s="18">
        <f t="shared" si="144"/>
        <v>-1.1753643353228926E-2</v>
      </c>
      <c r="E1063" s="32">
        <f t="shared" ca="1" si="145"/>
        <v>-2.8444767960999803E-2</v>
      </c>
      <c r="F1063" s="18">
        <f t="shared" ca="1" si="146"/>
        <v>56.651386551749333</v>
      </c>
      <c r="G1063" s="19">
        <f t="shared" ca="1" si="147"/>
        <v>1.6586144482506668</v>
      </c>
      <c r="H1063" s="27">
        <v>78.180000000000007</v>
      </c>
      <c r="I1063" s="19">
        <f t="shared" si="148"/>
        <v>1.7703722988805071E-2</v>
      </c>
      <c r="J1063" s="19">
        <f t="shared" ca="1" si="149"/>
        <v>1.8890200748269859E-2</v>
      </c>
      <c r="K1063" s="19">
        <f t="shared" ca="1" si="150"/>
        <v>85.06714082269265</v>
      </c>
      <c r="L1063" s="19">
        <f t="shared" ca="1" si="151"/>
        <v>-1.5771428226926503</v>
      </c>
      <c r="M1063" s="19">
        <f t="shared" ca="1" si="152"/>
        <v>8.1471625558016569E-2</v>
      </c>
      <c r="AA1063" s="37">
        <v>1043</v>
      </c>
      <c r="AB1063" s="37">
        <v>1.8140869442603833</v>
      </c>
      <c r="AC1063" s="37">
        <v>2.7044437454913881</v>
      </c>
      <c r="AD1063" s="37">
        <v>3.1733940957357318</v>
      </c>
    </row>
    <row r="1064" spans="2:30" x14ac:dyDescent="0.3">
      <c r="B1064" s="28">
        <v>44176</v>
      </c>
      <c r="C1064" s="25">
        <v>42.040000999999997</v>
      </c>
      <c r="D1064" s="18">
        <f t="shared" si="144"/>
        <v>0</v>
      </c>
      <c r="E1064" s="32">
        <f t="shared" ca="1" si="145"/>
        <v>7.4160173779035674E-3</v>
      </c>
      <c r="F1064" s="18">
        <f t="shared" ca="1" si="146"/>
        <v>58.742428980721577</v>
      </c>
      <c r="G1064" s="19">
        <f t="shared" ca="1" si="147"/>
        <v>-0.4324279807215774</v>
      </c>
      <c r="H1064" s="27">
        <v>78.470000999999996</v>
      </c>
      <c r="I1064" s="19">
        <f t="shared" si="148"/>
        <v>3.7094013814273907E-3</v>
      </c>
      <c r="J1064" s="19">
        <f t="shared" ca="1" si="149"/>
        <v>3.2458046237775753E-3</v>
      </c>
      <c r="K1064" s="19">
        <f t="shared" ca="1" si="150"/>
        <v>83.760990221547573</v>
      </c>
      <c r="L1064" s="19">
        <f t="shared" ca="1" si="151"/>
        <v>-0.27099222154757285</v>
      </c>
      <c r="M1064" s="19">
        <f t="shared" ca="1" si="152"/>
        <v>-0.70342020226915025</v>
      </c>
      <c r="AA1064" s="37">
        <v>1044</v>
      </c>
      <c r="AB1064" s="37">
        <v>1.7281694980891416</v>
      </c>
      <c r="AC1064" s="37">
        <v>2.7645930428479799</v>
      </c>
      <c r="AD1064" s="37">
        <v>3.2334683926719876</v>
      </c>
    </row>
    <row r="1065" spans="2:30" x14ac:dyDescent="0.3">
      <c r="B1065" s="28">
        <v>44179</v>
      </c>
      <c r="C1065" s="25">
        <v>42.919998</v>
      </c>
      <c r="D1065" s="18">
        <f t="shared" si="144"/>
        <v>2.0932373431675311E-2</v>
      </c>
      <c r="E1065" s="32">
        <f t="shared" ca="1" si="145"/>
        <v>-3.0470947325246991E-3</v>
      </c>
      <c r="F1065" s="18">
        <f t="shared" ca="1" si="146"/>
        <v>58.132324903099388</v>
      </c>
      <c r="G1065" s="19">
        <f t="shared" ca="1" si="147"/>
        <v>0.17767609690061192</v>
      </c>
      <c r="H1065" s="27">
        <v>77.769997000000004</v>
      </c>
      <c r="I1065" s="19">
        <f t="shared" si="148"/>
        <v>-8.92065746246129E-3</v>
      </c>
      <c r="J1065" s="19">
        <f t="shared" ca="1" si="149"/>
        <v>-2.9525444883198793E-2</v>
      </c>
      <c r="K1065" s="19">
        <f t="shared" ca="1" si="150"/>
        <v>81.024918665752622</v>
      </c>
      <c r="L1065" s="19">
        <f t="shared" ca="1" si="151"/>
        <v>2.4650793342473776</v>
      </c>
      <c r="M1065" s="19">
        <f t="shared" ca="1" si="152"/>
        <v>2.6427554311479895</v>
      </c>
      <c r="AA1065" s="37">
        <v>1045</v>
      </c>
      <c r="AB1065" s="37">
        <v>1.8296590920213061</v>
      </c>
      <c r="AC1065" s="37">
        <v>2.7984894251646706</v>
      </c>
      <c r="AD1065" s="37">
        <v>3.2943528560874906</v>
      </c>
    </row>
    <row r="1066" spans="2:30" x14ac:dyDescent="0.3">
      <c r="B1066" s="28">
        <v>44180</v>
      </c>
      <c r="C1066" s="25">
        <v>42.849997999999999</v>
      </c>
      <c r="D1066" s="18">
        <f t="shared" si="144"/>
        <v>-1.6309413621128366E-3</v>
      </c>
      <c r="E1066" s="32">
        <f t="shared" ca="1" si="145"/>
        <v>3.2604782819420542E-3</v>
      </c>
      <c r="F1066" s="18">
        <f t="shared" ca="1" si="146"/>
        <v>58.500119491880518</v>
      </c>
      <c r="G1066" s="19">
        <f t="shared" ca="1" si="147"/>
        <v>-0.19011849188051855</v>
      </c>
      <c r="H1066" s="27">
        <v>81.080001999999993</v>
      </c>
      <c r="I1066" s="19">
        <f t="shared" si="148"/>
        <v>4.2561464931006654E-2</v>
      </c>
      <c r="J1066" s="19">
        <f t="shared" ca="1" si="149"/>
        <v>-1.552196972427388E-2</v>
      </c>
      <c r="K1066" s="19">
        <f t="shared" ca="1" si="150"/>
        <v>82.194068778764318</v>
      </c>
      <c r="L1066" s="19">
        <f t="shared" ca="1" si="151"/>
        <v>1.2959292212356814</v>
      </c>
      <c r="M1066" s="19">
        <f t="shared" ca="1" si="152"/>
        <v>1.1058107293551629</v>
      </c>
      <c r="AA1066" s="37">
        <v>1046</v>
      </c>
      <c r="AB1066" s="37">
        <v>1.7377497152978376</v>
      </c>
      <c r="AC1066" s="37">
        <v>3.0217174312089909</v>
      </c>
      <c r="AD1066" s="37">
        <v>3.2657186300610155</v>
      </c>
    </row>
    <row r="1067" spans="2:30" x14ac:dyDescent="0.3">
      <c r="B1067" s="28">
        <v>44181</v>
      </c>
      <c r="C1067" s="25">
        <v>43.049999</v>
      </c>
      <c r="D1067" s="18">
        <f t="shared" si="144"/>
        <v>4.6674681291700715E-3</v>
      </c>
      <c r="E1067" s="32">
        <f t="shared" ca="1" si="145"/>
        <v>-2.5114095120494354E-3</v>
      </c>
      <c r="F1067" s="18">
        <f t="shared" ca="1" si="146"/>
        <v>58.16356070884099</v>
      </c>
      <c r="G1067" s="19">
        <f t="shared" ca="1" si="147"/>
        <v>0.14644029115900992</v>
      </c>
      <c r="H1067" s="27">
        <v>80.360000999999997</v>
      </c>
      <c r="I1067" s="19">
        <f t="shared" si="148"/>
        <v>-8.8801305160303157E-3</v>
      </c>
      <c r="J1067" s="19">
        <f t="shared" ca="1" si="149"/>
        <v>6.4235809169554722E-2</v>
      </c>
      <c r="K1067" s="19">
        <f t="shared" ca="1" si="150"/>
        <v>88.853045579094513</v>
      </c>
      <c r="L1067" s="19">
        <f t="shared" ca="1" si="151"/>
        <v>-5.3630475790945127</v>
      </c>
      <c r="M1067" s="19">
        <f t="shared" ca="1" si="152"/>
        <v>-5.2166072879355028</v>
      </c>
      <c r="AA1067" s="37">
        <v>1047</v>
      </c>
      <c r="AB1067" s="37">
        <v>1.6366043032368158</v>
      </c>
      <c r="AC1067" s="37">
        <v>2.7616058463489117</v>
      </c>
      <c r="AD1067" s="37">
        <v>3.2485715738375274</v>
      </c>
    </row>
    <row r="1068" spans="2:30" x14ac:dyDescent="0.3">
      <c r="B1068" s="28">
        <v>44182</v>
      </c>
      <c r="C1068" s="25">
        <v>43.389999000000003</v>
      </c>
      <c r="D1068" s="18">
        <f t="shared" si="144"/>
        <v>7.8977934471033961E-3</v>
      </c>
      <c r="E1068" s="32">
        <f t="shared" ca="1" si="145"/>
        <v>-9.4997720658312728E-3</v>
      </c>
      <c r="F1068" s="18">
        <f t="shared" ca="1" si="146"/>
        <v>57.756069281341603</v>
      </c>
      <c r="G1068" s="19">
        <f t="shared" ca="1" si="147"/>
        <v>0.55393171865839719</v>
      </c>
      <c r="H1068" s="27">
        <v>82.470000999999996</v>
      </c>
      <c r="I1068" s="19">
        <f t="shared" si="148"/>
        <v>2.6256843874354896E-2</v>
      </c>
      <c r="J1068" s="19">
        <f t="shared" ca="1" si="149"/>
        <v>-1.074424131322047E-2</v>
      </c>
      <c r="K1068" s="19">
        <f t="shared" ca="1" si="150"/>
        <v>82.592961314247702</v>
      </c>
      <c r="L1068" s="19">
        <f t="shared" ca="1" si="151"/>
        <v>0.89703668575229756</v>
      </c>
      <c r="M1068" s="19">
        <f t="shared" ca="1" si="152"/>
        <v>1.4509684044106947</v>
      </c>
      <c r="AA1068" s="37">
        <v>1048</v>
      </c>
      <c r="AB1068" s="37">
        <v>1.7893902520687706</v>
      </c>
      <c r="AC1068" s="37">
        <v>2.7722991949374771</v>
      </c>
      <c r="AD1068" s="37">
        <v>3.5155415645807149</v>
      </c>
    </row>
    <row r="1069" spans="2:30" x14ac:dyDescent="0.3">
      <c r="B1069" s="28">
        <v>44183</v>
      </c>
      <c r="C1069" s="25">
        <v>43.029998999999997</v>
      </c>
      <c r="D1069" s="18">
        <f t="shared" si="144"/>
        <v>-8.2968427816743073E-3</v>
      </c>
      <c r="E1069" s="32">
        <f t="shared" ca="1" si="145"/>
        <v>5.6136262563207234E-3</v>
      </c>
      <c r="F1069" s="18">
        <f t="shared" ca="1" si="146"/>
        <v>58.637331552619685</v>
      </c>
      <c r="G1069" s="19">
        <f t="shared" ca="1" si="147"/>
        <v>-0.32733055261968502</v>
      </c>
      <c r="H1069" s="27">
        <v>83.43</v>
      </c>
      <c r="I1069" s="19">
        <f t="shared" si="148"/>
        <v>1.1640584313804103E-2</v>
      </c>
      <c r="J1069" s="19">
        <f t="shared" ca="1" si="149"/>
        <v>1.1834736513188277E-2</v>
      </c>
      <c r="K1069" s="19">
        <f t="shared" ca="1" si="150"/>
        <v>84.478080127816625</v>
      </c>
      <c r="L1069" s="19">
        <f t="shared" ca="1" si="151"/>
        <v>-0.98808212781662519</v>
      </c>
      <c r="M1069" s="19">
        <f t="shared" ca="1" si="152"/>
        <v>-1.3154126804363102</v>
      </c>
      <c r="AA1069" s="37">
        <v>1049</v>
      </c>
      <c r="AB1069" s="37">
        <v>1.7049098951660986</v>
      </c>
      <c r="AC1069" s="37">
        <v>3.0305158480885348</v>
      </c>
      <c r="AD1069" s="37">
        <v>3.3031703641542967</v>
      </c>
    </row>
    <row r="1070" spans="2:30" x14ac:dyDescent="0.3">
      <c r="B1070" s="28">
        <v>44186</v>
      </c>
      <c r="C1070" s="25">
        <v>41.970001000000003</v>
      </c>
      <c r="D1070" s="18">
        <f t="shared" si="144"/>
        <v>-2.4633930388889724E-2</v>
      </c>
      <c r="E1070" s="32">
        <f t="shared" ca="1" si="145"/>
        <v>-3.8331006556542327E-2</v>
      </c>
      <c r="F1070" s="18">
        <f t="shared" ca="1" si="146"/>
        <v>56.074919969357012</v>
      </c>
      <c r="G1070" s="19">
        <f t="shared" ca="1" si="147"/>
        <v>2.2350810306429878</v>
      </c>
      <c r="H1070" s="27">
        <v>83.849997999999999</v>
      </c>
      <c r="I1070" s="19">
        <f t="shared" si="148"/>
        <v>5.0341364017738588E-3</v>
      </c>
      <c r="J1070" s="19">
        <f t="shared" ca="1" si="149"/>
        <v>3.9697803015703484E-2</v>
      </c>
      <c r="K1070" s="19">
        <f t="shared" ca="1" si="150"/>
        <v>86.804367494385488</v>
      </c>
      <c r="L1070" s="19">
        <f t="shared" ca="1" si="151"/>
        <v>-3.3143694943854882</v>
      </c>
      <c r="M1070" s="19">
        <f t="shared" ca="1" si="152"/>
        <v>-1.0792884637425004</v>
      </c>
      <c r="AA1070" s="37">
        <v>1050</v>
      </c>
      <c r="AB1070" s="37">
        <v>1.8844695295681764</v>
      </c>
      <c r="AC1070" s="37">
        <v>2.788021855998561</v>
      </c>
      <c r="AD1070" s="37">
        <v>3.2110777504940446</v>
      </c>
    </row>
    <row r="1071" spans="2:30" x14ac:dyDescent="0.3">
      <c r="B1071" s="28">
        <v>44187</v>
      </c>
      <c r="C1071" s="25">
        <v>42.139999000000003</v>
      </c>
      <c r="D1071" s="18">
        <f t="shared" si="144"/>
        <v>4.0504645210754919E-3</v>
      </c>
      <c r="E1071" s="32">
        <f t="shared" ca="1" si="145"/>
        <v>-1.2663816681694726E-2</v>
      </c>
      <c r="F1071" s="18">
        <f t="shared" ca="1" si="146"/>
        <v>57.571573836626563</v>
      </c>
      <c r="G1071" s="19">
        <f t="shared" ca="1" si="147"/>
        <v>0.73842716337343717</v>
      </c>
      <c r="H1071" s="27">
        <v>80.370002999999997</v>
      </c>
      <c r="I1071" s="19">
        <f t="shared" si="148"/>
        <v>-4.1502624722781767E-2</v>
      </c>
      <c r="J1071" s="19">
        <f t="shared" ca="1" si="149"/>
        <v>-1.7760710374732251E-2</v>
      </c>
      <c r="K1071" s="19">
        <f t="shared" ca="1" si="150"/>
        <v>82.007156326335021</v>
      </c>
      <c r="L1071" s="19">
        <f t="shared" ca="1" si="151"/>
        <v>1.4828416736649785</v>
      </c>
      <c r="M1071" s="19">
        <f t="shared" ca="1" si="152"/>
        <v>2.2212688370384157</v>
      </c>
      <c r="AA1071" s="37">
        <v>1051</v>
      </c>
      <c r="AB1071" s="37">
        <v>1.771832496709866</v>
      </c>
      <c r="AC1071" s="37">
        <v>2.9370978054651369</v>
      </c>
      <c r="AD1071" s="37">
        <v>3.3382469025431769</v>
      </c>
    </row>
    <row r="1072" spans="2:30" x14ac:dyDescent="0.3">
      <c r="B1072" s="28">
        <v>44188</v>
      </c>
      <c r="C1072" s="25">
        <v>43.25</v>
      </c>
      <c r="D1072" s="18">
        <f t="shared" si="144"/>
        <v>2.634079322118632E-2</v>
      </c>
      <c r="E1072" s="32">
        <f t="shared" ca="1" si="145"/>
        <v>-6.8659904051248302E-3</v>
      </c>
      <c r="F1072" s="18">
        <f t="shared" ca="1" si="146"/>
        <v>57.909645092611179</v>
      </c>
      <c r="G1072" s="19">
        <f t="shared" ca="1" si="147"/>
        <v>0.40035590738882121</v>
      </c>
      <c r="H1072" s="27">
        <v>83.419998000000007</v>
      </c>
      <c r="I1072" s="19">
        <f t="shared" si="148"/>
        <v>3.7949420009353529E-2</v>
      </c>
      <c r="J1072" s="19">
        <f t="shared" ca="1" si="149"/>
        <v>1.8535514572789329E-2</v>
      </c>
      <c r="K1072" s="19">
        <f t="shared" ca="1" si="150"/>
        <v>85.037528074611146</v>
      </c>
      <c r="L1072" s="19">
        <f t="shared" ca="1" si="151"/>
        <v>-1.5475300746111458</v>
      </c>
      <c r="M1072" s="19">
        <f t="shared" ca="1" si="152"/>
        <v>-1.1471741672223246</v>
      </c>
      <c r="AA1072" s="37">
        <v>1052</v>
      </c>
      <c r="AB1072" s="37">
        <v>1.7414760201785533</v>
      </c>
      <c r="AC1072" s="37">
        <v>2.7780733705708669</v>
      </c>
      <c r="AD1072" s="37">
        <v>3.2878647457230614</v>
      </c>
    </row>
    <row r="1073" spans="2:30" x14ac:dyDescent="0.3">
      <c r="B1073" s="28">
        <v>44189</v>
      </c>
      <c r="C1073" s="25">
        <v>42.59</v>
      </c>
      <c r="D1073" s="18">
        <f t="shared" si="144"/>
        <v>-1.5260115606936298E-2</v>
      </c>
      <c r="E1073" s="32">
        <f t="shared" ca="1" si="145"/>
        <v>1.7499165987032651E-2</v>
      </c>
      <c r="F1073" s="18">
        <f t="shared" ca="1" si="146"/>
        <v>59.330377386203047</v>
      </c>
      <c r="G1073" s="19">
        <f t="shared" ca="1" si="147"/>
        <v>-1.020376386203047</v>
      </c>
      <c r="H1073" s="27">
        <v>82.260002</v>
      </c>
      <c r="I1073" s="19">
        <f t="shared" si="148"/>
        <v>-1.3905490623483452E-2</v>
      </c>
      <c r="J1073" s="19">
        <f t="shared" ca="1" si="149"/>
        <v>1.98876855347354E-2</v>
      </c>
      <c r="K1073" s="19">
        <f t="shared" ca="1" si="150"/>
        <v>85.150420825519689</v>
      </c>
      <c r="L1073" s="19">
        <f t="shared" ca="1" si="151"/>
        <v>-1.6604228255196887</v>
      </c>
      <c r="M1073" s="19">
        <f t="shared" ca="1" si="152"/>
        <v>-2.6807992117227357</v>
      </c>
      <c r="AA1073" s="37">
        <v>1053</v>
      </c>
      <c r="AB1073" s="37">
        <v>1.8627812344460173</v>
      </c>
      <c r="AC1073" s="37">
        <v>2.802869832081579</v>
      </c>
      <c r="AD1073" s="37">
        <v>3.3016576501055099</v>
      </c>
    </row>
    <row r="1074" spans="2:30" x14ac:dyDescent="0.3">
      <c r="B1074" s="28">
        <v>44193</v>
      </c>
      <c r="C1074" s="25">
        <v>43.07</v>
      </c>
      <c r="D1074" s="18">
        <f t="shared" si="144"/>
        <v>1.1270251232683659E-2</v>
      </c>
      <c r="E1074" s="32">
        <f t="shared" ca="1" si="145"/>
        <v>2.978950284884422E-2</v>
      </c>
      <c r="F1074" s="18">
        <f t="shared" ca="1" si="146"/>
        <v>60.04702694090561</v>
      </c>
      <c r="G1074" s="19">
        <f t="shared" ca="1" si="147"/>
        <v>-1.7370259409056104</v>
      </c>
      <c r="H1074" s="27">
        <v>85.139999000000003</v>
      </c>
      <c r="I1074" s="19">
        <f t="shared" si="148"/>
        <v>3.5010903598081677E-2</v>
      </c>
      <c r="J1074" s="19">
        <f t="shared" ca="1" si="149"/>
        <v>1.1073167580244669E-3</v>
      </c>
      <c r="K1074" s="19">
        <f t="shared" ca="1" si="150"/>
        <v>83.582447873912827</v>
      </c>
      <c r="L1074" s="19">
        <f t="shared" ca="1" si="151"/>
        <v>-9.2449873912826774E-2</v>
      </c>
      <c r="M1074" s="19">
        <f t="shared" ca="1" si="152"/>
        <v>-1.8294758148184371</v>
      </c>
      <c r="AA1074" s="37">
        <v>1054</v>
      </c>
      <c r="AB1074" s="37">
        <v>1.7357855136923197</v>
      </c>
      <c r="AC1074" s="37">
        <v>2.8507285513773475</v>
      </c>
      <c r="AD1074" s="37">
        <v>3.0465784999590118</v>
      </c>
    </row>
    <row r="1075" spans="2:30" x14ac:dyDescent="0.3">
      <c r="B1075" s="28">
        <v>44194</v>
      </c>
      <c r="C1075" s="25">
        <v>43.709999000000003</v>
      </c>
      <c r="D1075" s="18">
        <f t="shared" si="144"/>
        <v>1.4859507778035796E-2</v>
      </c>
      <c r="E1075" s="32">
        <f t="shared" ca="1" si="145"/>
        <v>-1.1598823030806808E-2</v>
      </c>
      <c r="F1075" s="18">
        <f t="shared" ca="1" si="146"/>
        <v>57.633673617474827</v>
      </c>
      <c r="G1075" s="19">
        <f t="shared" ca="1" si="147"/>
        <v>0.67632738252517299</v>
      </c>
      <c r="H1075" s="27">
        <v>86.639999000000003</v>
      </c>
      <c r="I1075" s="19">
        <f t="shared" si="148"/>
        <v>1.761804108078513E-2</v>
      </c>
      <c r="J1075" s="19">
        <f t="shared" ca="1" si="149"/>
        <v>-7.135849924383428E-3</v>
      </c>
      <c r="K1075" s="19">
        <f t="shared" ca="1" si="150"/>
        <v>82.894225904084934</v>
      </c>
      <c r="L1075" s="19">
        <f t="shared" ca="1" si="151"/>
        <v>0.5957720959150663</v>
      </c>
      <c r="M1075" s="19">
        <f t="shared" ca="1" si="152"/>
        <v>1.2720994784402393</v>
      </c>
      <c r="AA1075" s="37">
        <v>1055</v>
      </c>
      <c r="AB1075" s="37">
        <v>1.6712258932987214</v>
      </c>
      <c r="AC1075" s="37">
        <v>2.8628180857855594</v>
      </c>
      <c r="AD1075" s="37">
        <v>3.3952074813601301</v>
      </c>
    </row>
    <row r="1076" spans="2:30" x14ac:dyDescent="0.3">
      <c r="B1076" s="28">
        <v>44195</v>
      </c>
      <c r="C1076" s="25">
        <v>43.209999000000003</v>
      </c>
      <c r="D1076" s="18">
        <f t="shared" si="144"/>
        <v>-1.1439030231961356E-2</v>
      </c>
      <c r="E1076" s="32">
        <f t="shared" ca="1" si="145"/>
        <v>3.0823837700575021E-2</v>
      </c>
      <c r="F1076" s="18">
        <f t="shared" ca="1" si="146"/>
        <v>60.107339007144361</v>
      </c>
      <c r="G1076" s="19">
        <f t="shared" ca="1" si="147"/>
        <v>-1.7973380071443614</v>
      </c>
      <c r="H1076" s="27">
        <v>86.300003000000004</v>
      </c>
      <c r="I1076" s="19">
        <f t="shared" si="148"/>
        <v>-3.9242382724403724E-3</v>
      </c>
      <c r="J1076" s="19">
        <f t="shared" ca="1" si="149"/>
        <v>2.5205398607995224E-2</v>
      </c>
      <c r="K1076" s="19">
        <f t="shared" ca="1" si="150"/>
        <v>85.594396679370718</v>
      </c>
      <c r="L1076" s="19">
        <f t="shared" ca="1" si="151"/>
        <v>-2.1043986793707177</v>
      </c>
      <c r="M1076" s="19">
        <f t="shared" ca="1" si="152"/>
        <v>-3.9017366865150791</v>
      </c>
      <c r="AA1076" s="37">
        <v>1056</v>
      </c>
      <c r="AB1076" s="37">
        <v>1.8974096496640596</v>
      </c>
      <c r="AC1076" s="37">
        <v>2.8980056693500416</v>
      </c>
      <c r="AD1076" s="37">
        <v>3.43765332146054</v>
      </c>
    </row>
    <row r="1077" spans="2:30" x14ac:dyDescent="0.3">
      <c r="B1077" s="28">
        <v>44196</v>
      </c>
      <c r="C1077" s="25">
        <v>43.240001999999997</v>
      </c>
      <c r="D1077" s="18">
        <f t="shared" si="144"/>
        <v>6.9435317506005845E-4</v>
      </c>
      <c r="E1077" s="32">
        <f t="shared" ca="1" si="145"/>
        <v>2.4179233469236385E-3</v>
      </c>
      <c r="F1077" s="18">
        <f t="shared" ca="1" si="146"/>
        <v>58.450990112777042</v>
      </c>
      <c r="G1077" s="19">
        <f t="shared" ca="1" si="147"/>
        <v>-0.14098911277704218</v>
      </c>
      <c r="H1077" s="27">
        <v>84.120002999999997</v>
      </c>
      <c r="I1077" s="19">
        <f t="shared" si="148"/>
        <v>-2.5260717545977474E-2</v>
      </c>
      <c r="J1077" s="19">
        <f t="shared" ca="1" si="149"/>
        <v>-6.3044179362432718E-3</v>
      </c>
      <c r="K1077" s="19">
        <f t="shared" ca="1" si="150"/>
        <v>82.963642159111885</v>
      </c>
      <c r="L1077" s="19">
        <f t="shared" ca="1" si="151"/>
        <v>0.52635584088811527</v>
      </c>
      <c r="M1077" s="19">
        <f t="shared" ca="1" si="152"/>
        <v>0.38536672811107309</v>
      </c>
      <c r="AA1077" s="37">
        <v>1057</v>
      </c>
      <c r="AB1077" s="37">
        <v>1.7841709238860954</v>
      </c>
      <c r="AC1077" s="37">
        <v>2.7447996055910107</v>
      </c>
      <c r="AD1077" s="37">
        <v>3.4194226794523819</v>
      </c>
    </row>
    <row r="1078" spans="2:30" x14ac:dyDescent="0.3">
      <c r="B1078" s="28">
        <v>44200</v>
      </c>
      <c r="C1078" s="25">
        <v>42.849997999999999</v>
      </c>
      <c r="D1078" s="18">
        <f t="shared" si="144"/>
        <v>-9.0195185467382144E-3</v>
      </c>
      <c r="E1078" s="32">
        <f t="shared" ca="1" si="145"/>
        <v>-1.4529367158639745E-2</v>
      </c>
      <c r="F1078" s="18">
        <f t="shared" ca="1" si="146"/>
        <v>57.462793586450353</v>
      </c>
      <c r="G1078" s="19">
        <f t="shared" ca="1" si="147"/>
        <v>0.84720741354964701</v>
      </c>
      <c r="H1078" s="27">
        <v>88.709998999999996</v>
      </c>
      <c r="I1078" s="19">
        <f t="shared" si="148"/>
        <v>5.4564857778238496E-2</v>
      </c>
      <c r="J1078" s="19">
        <f t="shared" ca="1" si="149"/>
        <v>-6.4038811512662098E-3</v>
      </c>
      <c r="K1078" s="19">
        <f t="shared" ca="1" si="150"/>
        <v>82.955337975488547</v>
      </c>
      <c r="L1078" s="19">
        <f t="shared" ca="1" si="151"/>
        <v>0.534660024511453</v>
      </c>
      <c r="M1078" s="19">
        <f t="shared" ca="1" si="152"/>
        <v>1.3818674380611</v>
      </c>
      <c r="AA1078" s="37">
        <v>1058</v>
      </c>
      <c r="AB1078" s="37">
        <v>1.8122023607887037</v>
      </c>
      <c r="AC1078" s="37">
        <v>2.8884885227958939</v>
      </c>
      <c r="AD1078" s="37">
        <v>3.3076259369135355</v>
      </c>
    </row>
    <row r="1079" spans="2:30" x14ac:dyDescent="0.3">
      <c r="B1079" s="28">
        <v>44201</v>
      </c>
      <c r="C1079" s="25">
        <v>43.049999</v>
      </c>
      <c r="D1079" s="18">
        <f t="shared" si="144"/>
        <v>4.6674681291700715E-3</v>
      </c>
      <c r="E1079" s="32">
        <f t="shared" ca="1" si="145"/>
        <v>-3.9709228310431686E-2</v>
      </c>
      <c r="F1079" s="18">
        <f t="shared" ca="1" si="146"/>
        <v>55.994555857509503</v>
      </c>
      <c r="G1079" s="19">
        <f t="shared" ca="1" si="147"/>
        <v>2.3154451424904963</v>
      </c>
      <c r="H1079" s="27">
        <v>90.860000999999997</v>
      </c>
      <c r="I1079" s="19">
        <f t="shared" si="148"/>
        <v>2.4236298323033534E-2</v>
      </c>
      <c r="J1079" s="19">
        <f t="shared" ca="1" si="149"/>
        <v>-8.5571328673426494E-3</v>
      </c>
      <c r="K1079" s="19">
        <f t="shared" ca="1" si="150"/>
        <v>82.775562994019836</v>
      </c>
      <c r="L1079" s="19">
        <f t="shared" ca="1" si="151"/>
        <v>0.71443500598016385</v>
      </c>
      <c r="M1079" s="19">
        <f t="shared" ca="1" si="152"/>
        <v>3.0298801484706601</v>
      </c>
      <c r="AA1079" s="37">
        <v>1059</v>
      </c>
      <c r="AB1079" s="37">
        <v>1.7227708688659542</v>
      </c>
      <c r="AC1079" s="37">
        <v>2.9343088483162547</v>
      </c>
      <c r="AD1079" s="37">
        <v>3.4551034375600951</v>
      </c>
    </row>
    <row r="1080" spans="2:30" x14ac:dyDescent="0.3">
      <c r="B1080" s="28">
        <v>44202</v>
      </c>
      <c r="C1080" s="25">
        <v>42.919998</v>
      </c>
      <c r="D1080" s="18">
        <f t="shared" si="144"/>
        <v>-3.0197677821084401E-3</v>
      </c>
      <c r="E1080" s="32">
        <f t="shared" ca="1" si="145"/>
        <v>-4.2180612147091345E-3</v>
      </c>
      <c r="F1080" s="18">
        <f t="shared" ca="1" si="146"/>
        <v>58.064045846352251</v>
      </c>
      <c r="G1080" s="19">
        <f t="shared" ca="1" si="147"/>
        <v>0.24595515364774911</v>
      </c>
      <c r="H1080" s="27">
        <v>91.540001000000004</v>
      </c>
      <c r="I1080" s="19">
        <f t="shared" si="148"/>
        <v>7.4840412999777062E-3</v>
      </c>
      <c r="J1080" s="19">
        <f t="shared" ca="1" si="149"/>
        <v>4.1678806349930132E-2</v>
      </c>
      <c r="K1080" s="19">
        <f t="shared" ca="1" si="150"/>
        <v>86.969761458798047</v>
      </c>
      <c r="L1080" s="19">
        <f t="shared" ca="1" si="151"/>
        <v>-3.4797634587980468</v>
      </c>
      <c r="M1080" s="19">
        <f t="shared" ca="1" si="152"/>
        <v>-3.2338083051502977</v>
      </c>
      <c r="AA1080" s="37">
        <v>1060</v>
      </c>
      <c r="AB1080" s="37">
        <v>1.7366941981235875</v>
      </c>
      <c r="AC1080" s="37">
        <v>2.8450510364404265</v>
      </c>
      <c r="AD1080" s="37">
        <v>3.3618998201571628</v>
      </c>
    </row>
    <row r="1081" spans="2:30" x14ac:dyDescent="0.3">
      <c r="B1081" s="28">
        <v>44203</v>
      </c>
      <c r="C1081" s="25">
        <v>43.52</v>
      </c>
      <c r="D1081" s="18">
        <f t="shared" si="144"/>
        <v>1.3979543987863163E-2</v>
      </c>
      <c r="E1081" s="32">
        <f t="shared" ca="1" si="145"/>
        <v>-3.3846631905980603E-3</v>
      </c>
      <c r="F1081" s="18">
        <f t="shared" ca="1" si="146"/>
        <v>58.112641285971563</v>
      </c>
      <c r="G1081" s="19">
        <f t="shared" ca="1" si="147"/>
        <v>0.19735971402843688</v>
      </c>
      <c r="H1081" s="27">
        <v>92.610000999999997</v>
      </c>
      <c r="I1081" s="19">
        <f t="shared" si="148"/>
        <v>1.168887905080962E-2</v>
      </c>
      <c r="J1081" s="19">
        <f t="shared" ca="1" si="149"/>
        <v>-4.6820415976102696E-2</v>
      </c>
      <c r="K1081" s="19">
        <f t="shared" ca="1" si="150"/>
        <v>79.580961563796023</v>
      </c>
      <c r="L1081" s="19">
        <f t="shared" ca="1" si="151"/>
        <v>3.9090364362039765</v>
      </c>
      <c r="M1081" s="19">
        <f t="shared" ca="1" si="152"/>
        <v>4.1063961502324133</v>
      </c>
      <c r="AA1081" s="37">
        <v>1061</v>
      </c>
      <c r="AB1081" s="37">
        <v>1.7153136681620429</v>
      </c>
      <c r="AC1081" s="37">
        <v>2.5908283868081514</v>
      </c>
      <c r="AD1081" s="37">
        <v>3.1582550531115805</v>
      </c>
    </row>
    <row r="1082" spans="2:30" x14ac:dyDescent="0.3">
      <c r="B1082" s="28">
        <v>44204</v>
      </c>
      <c r="C1082" s="25">
        <v>43.360000999999997</v>
      </c>
      <c r="D1082" s="18">
        <f t="shared" si="144"/>
        <v>-3.6764476102942867E-3</v>
      </c>
      <c r="E1082" s="32">
        <f t="shared" ca="1" si="145"/>
        <v>-5.0399410130842074E-3</v>
      </c>
      <c r="F1082" s="18">
        <f t="shared" ca="1" si="146"/>
        <v>58.016122034487118</v>
      </c>
      <c r="G1082" s="19">
        <f t="shared" ca="1" si="147"/>
        <v>0.29387896551288151</v>
      </c>
      <c r="H1082" s="27">
        <v>97.230002999999996</v>
      </c>
      <c r="I1082" s="19">
        <f t="shared" si="148"/>
        <v>4.9886642372458212E-2</v>
      </c>
      <c r="J1082" s="19">
        <f t="shared" ca="1" si="149"/>
        <v>-1.4639958787953246E-2</v>
      </c>
      <c r="K1082" s="19">
        <f t="shared" ca="1" si="150"/>
        <v>82.267707870073707</v>
      </c>
      <c r="L1082" s="19">
        <f t="shared" ca="1" si="151"/>
        <v>1.2222901299262929</v>
      </c>
      <c r="M1082" s="19">
        <f t="shared" ca="1" si="152"/>
        <v>1.5161690954391744</v>
      </c>
      <c r="AA1082" s="37">
        <v>1062</v>
      </c>
      <c r="AB1082" s="37">
        <v>1.768670866464287</v>
      </c>
      <c r="AC1082" s="37">
        <v>2.7099909414807875</v>
      </c>
      <c r="AD1082" s="37">
        <v>3.2293209127294884</v>
      </c>
    </row>
    <row r="1083" spans="2:30" x14ac:dyDescent="0.3">
      <c r="B1083" s="28">
        <v>44207</v>
      </c>
      <c r="C1083" s="25">
        <v>43.669998</v>
      </c>
      <c r="D1083" s="18">
        <f t="shared" si="144"/>
        <v>7.1493771413888574E-3</v>
      </c>
      <c r="E1083" s="32">
        <f t="shared" ca="1" si="145"/>
        <v>-4.345356770492575E-3</v>
      </c>
      <c r="F1083" s="18">
        <f t="shared" ca="1" si="146"/>
        <v>58.056623242367223</v>
      </c>
      <c r="G1083" s="19">
        <f t="shared" ca="1" si="147"/>
        <v>0.25337775763277648</v>
      </c>
      <c r="H1083" s="27">
        <v>93.260002</v>
      </c>
      <c r="I1083" s="19">
        <f t="shared" si="148"/>
        <v>-4.0831028257810487E-2</v>
      </c>
      <c r="J1083" s="19">
        <f t="shared" ca="1" si="149"/>
        <v>2.783388314128709E-2</v>
      </c>
      <c r="K1083" s="19">
        <f t="shared" ca="1" si="150"/>
        <v>85.813848847798283</v>
      </c>
      <c r="L1083" s="19">
        <f t="shared" ca="1" si="151"/>
        <v>-2.3238508477982833</v>
      </c>
      <c r="M1083" s="19">
        <f t="shared" ca="1" si="152"/>
        <v>-2.0704730901655068</v>
      </c>
      <c r="AA1083" s="37">
        <v>1063</v>
      </c>
      <c r="AB1083" s="37">
        <v>1.8291840632268048</v>
      </c>
      <c r="AC1083" s="37">
        <v>3.0228420930533431</v>
      </c>
      <c r="AD1083" s="37">
        <v>3.4352772270258365</v>
      </c>
    </row>
    <row r="1084" spans="2:30" x14ac:dyDescent="0.3">
      <c r="B1084" s="28">
        <v>44208</v>
      </c>
      <c r="C1084" s="25">
        <v>43.119999</v>
      </c>
      <c r="D1084" s="18">
        <f t="shared" si="144"/>
        <v>-1.2594436116072139E-2</v>
      </c>
      <c r="E1084" s="32">
        <f t="shared" ca="1" si="145"/>
        <v>-7.0408644889155192E-3</v>
      </c>
      <c r="F1084" s="18">
        <f t="shared" ca="1" si="146"/>
        <v>57.89944818461047</v>
      </c>
      <c r="G1084" s="19">
        <f t="shared" ca="1" si="147"/>
        <v>0.41055281538952926</v>
      </c>
      <c r="H1084" s="27">
        <v>92.489998</v>
      </c>
      <c r="I1084" s="19">
        <f t="shared" si="148"/>
        <v>-8.2565299537522563E-3</v>
      </c>
      <c r="J1084" s="19">
        <f t="shared" ca="1" si="149"/>
        <v>2.3830628788354815E-2</v>
      </c>
      <c r="K1084" s="19">
        <f t="shared" ca="1" si="150"/>
        <v>85.479617149878479</v>
      </c>
      <c r="L1084" s="19">
        <f t="shared" ca="1" si="151"/>
        <v>-1.9896191498784788</v>
      </c>
      <c r="M1084" s="19">
        <f t="shared" ca="1" si="152"/>
        <v>-1.5790663344889495</v>
      </c>
      <c r="AA1084" s="37">
        <v>1064</v>
      </c>
      <c r="AB1084" s="37">
        <v>1.7613443701388021</v>
      </c>
      <c r="AC1084" s="37">
        <v>2.6753858957643883</v>
      </c>
      <c r="AD1084" s="37">
        <v>3.3647298614185015</v>
      </c>
    </row>
    <row r="1085" spans="2:30" x14ac:dyDescent="0.3">
      <c r="B1085" s="28">
        <v>44209</v>
      </c>
      <c r="C1085" s="25">
        <v>43.349997999999999</v>
      </c>
      <c r="D1085" s="18">
        <f t="shared" si="144"/>
        <v>5.333928695128165E-3</v>
      </c>
      <c r="E1085" s="32">
        <f t="shared" ca="1" si="145"/>
        <v>4.1919956981176343E-2</v>
      </c>
      <c r="F1085" s="18">
        <f t="shared" ca="1" si="146"/>
        <v>60.754353733492351</v>
      </c>
      <c r="G1085" s="19">
        <f t="shared" ca="1" si="147"/>
        <v>-2.4443527334923516</v>
      </c>
      <c r="H1085" s="27">
        <v>91.019997000000004</v>
      </c>
      <c r="I1085" s="19">
        <f t="shared" si="148"/>
        <v>-1.5893621275675618E-2</v>
      </c>
      <c r="J1085" s="19">
        <f t="shared" ca="1" si="149"/>
        <v>-2.8629058330605357E-3</v>
      </c>
      <c r="K1085" s="19">
        <f t="shared" ca="1" si="150"/>
        <v>83.250973997723591</v>
      </c>
      <c r="L1085" s="19">
        <f t="shared" ca="1" si="151"/>
        <v>0.23902400227640896</v>
      </c>
      <c r="M1085" s="19">
        <f t="shared" ca="1" si="152"/>
        <v>-2.2053287312159426</v>
      </c>
      <c r="AA1085" s="37">
        <v>1065</v>
      </c>
      <c r="AB1085" s="37">
        <v>1.7677563691944365</v>
      </c>
      <c r="AC1085" s="37">
        <v>3.0067273407342587</v>
      </c>
      <c r="AD1085" s="37">
        <v>3.3203291405794562</v>
      </c>
    </row>
    <row r="1086" spans="2:30" x14ac:dyDescent="0.3">
      <c r="B1086" s="28">
        <v>44210</v>
      </c>
      <c r="C1086" s="25">
        <v>42.669998</v>
      </c>
      <c r="D1086" s="18">
        <f t="shared" si="144"/>
        <v>-1.5686275233507518E-2</v>
      </c>
      <c r="E1086" s="32">
        <f t="shared" ca="1" si="145"/>
        <v>-1.3999654557178958E-2</v>
      </c>
      <c r="F1086" s="18">
        <f t="shared" ca="1" si="146"/>
        <v>57.493681128771236</v>
      </c>
      <c r="G1086" s="19">
        <f t="shared" ca="1" si="147"/>
        <v>0.81631987122876382</v>
      </c>
      <c r="H1086" s="27">
        <v>91.010002</v>
      </c>
      <c r="I1086" s="19">
        <f t="shared" si="148"/>
        <v>-1.0981103416207727E-4</v>
      </c>
      <c r="J1086" s="19">
        <f t="shared" ca="1" si="149"/>
        <v>3.3318444834324252E-3</v>
      </c>
      <c r="K1086" s="19">
        <f t="shared" ca="1" si="150"/>
        <v>83.768173689258091</v>
      </c>
      <c r="L1086" s="19">
        <f t="shared" ca="1" si="151"/>
        <v>-0.27817568925809155</v>
      </c>
      <c r="M1086" s="19">
        <f t="shared" ca="1" si="152"/>
        <v>0.53814418197067226</v>
      </c>
      <c r="AA1086" s="37">
        <v>1066</v>
      </c>
      <c r="AB1086" s="37">
        <v>1.8707380205340725</v>
      </c>
      <c r="AC1086" s="37">
        <v>2.7974446190016895</v>
      </c>
      <c r="AD1086" s="37">
        <v>3.3362433228230017</v>
      </c>
    </row>
    <row r="1087" spans="2:30" x14ac:dyDescent="0.3">
      <c r="B1087" s="28">
        <v>44211</v>
      </c>
      <c r="C1087" s="25">
        <v>42.57</v>
      </c>
      <c r="D1087" s="18">
        <f t="shared" si="144"/>
        <v>-2.3435201473409606E-3</v>
      </c>
      <c r="E1087" s="32">
        <f t="shared" ca="1" si="145"/>
        <v>-1.7826062657342722E-3</v>
      </c>
      <c r="F1087" s="18">
        <f t="shared" ca="1" si="146"/>
        <v>58.206057226862427</v>
      </c>
      <c r="G1087" s="19">
        <f t="shared" ca="1" si="147"/>
        <v>0.10394377313757275</v>
      </c>
      <c r="H1087" s="27">
        <v>88.199996999999996</v>
      </c>
      <c r="I1087" s="19">
        <f t="shared" si="148"/>
        <v>-3.08757822024881E-2</v>
      </c>
      <c r="J1087" s="19">
        <f t="shared" ca="1" si="149"/>
        <v>1.2866369656821563E-3</v>
      </c>
      <c r="K1087" s="19">
        <f t="shared" ca="1" si="150"/>
        <v>83.597419317691518</v>
      </c>
      <c r="L1087" s="19">
        <f t="shared" ca="1" si="151"/>
        <v>-0.10742131769151797</v>
      </c>
      <c r="M1087" s="19">
        <f t="shared" ca="1" si="152"/>
        <v>-3.4775445539452221E-3</v>
      </c>
      <c r="AA1087" s="37">
        <v>1067</v>
      </c>
      <c r="AB1087" s="37">
        <v>1.7586279113646639</v>
      </c>
      <c r="AC1087" s="37">
        <v>2.7009049603847455</v>
      </c>
      <c r="AD1087" s="37">
        <v>3.5131204918823098</v>
      </c>
    </row>
    <row r="1088" spans="2:30" x14ac:dyDescent="0.3">
      <c r="B1088" s="28">
        <v>44214</v>
      </c>
      <c r="C1088" s="25">
        <v>43.23</v>
      </c>
      <c r="D1088" s="18">
        <f t="shared" si="144"/>
        <v>1.5503875968992276E-2</v>
      </c>
      <c r="E1088" s="32">
        <f t="shared" ca="1" si="145"/>
        <v>4.2094495858950812E-3</v>
      </c>
      <c r="F1088" s="18">
        <f t="shared" ca="1" si="146"/>
        <v>58.555454009562993</v>
      </c>
      <c r="G1088" s="19">
        <f t="shared" ca="1" si="147"/>
        <v>-0.24545300956299343</v>
      </c>
      <c r="H1088" s="27">
        <v>91.389999000000003</v>
      </c>
      <c r="I1088" s="19">
        <f t="shared" si="148"/>
        <v>3.6167824359449874E-2</v>
      </c>
      <c r="J1088" s="19">
        <f t="shared" ca="1" si="149"/>
        <v>1.5373600743912976E-2</v>
      </c>
      <c r="K1088" s="19">
        <f t="shared" ca="1" si="150"/>
        <v>84.773539895362092</v>
      </c>
      <c r="L1088" s="19">
        <f t="shared" ca="1" si="151"/>
        <v>-1.2835418953620916</v>
      </c>
      <c r="M1088" s="19">
        <f t="shared" ca="1" si="152"/>
        <v>-1.5289949049250851</v>
      </c>
      <c r="AA1088" s="37">
        <v>1068</v>
      </c>
      <c r="AB1088" s="37">
        <v>1.774592115704388</v>
      </c>
      <c r="AC1088" s="37">
        <v>2.9563130616113265</v>
      </c>
      <c r="AD1088" s="37">
        <v>3.3385038548916959</v>
      </c>
    </row>
    <row r="1089" spans="2:30" x14ac:dyDescent="0.3">
      <c r="B1089" s="28">
        <v>44215</v>
      </c>
      <c r="C1089" s="25">
        <v>42.599997999999999</v>
      </c>
      <c r="D1089" s="18">
        <f t="shared" si="144"/>
        <v>-1.4573259310663889E-2</v>
      </c>
      <c r="E1089" s="32">
        <f t="shared" ca="1" si="145"/>
        <v>-1.8269645517648953E-2</v>
      </c>
      <c r="F1089" s="18">
        <f t="shared" ca="1" si="146"/>
        <v>57.244697951596244</v>
      </c>
      <c r="G1089" s="19">
        <f t="shared" ca="1" si="147"/>
        <v>1.0653030484037558</v>
      </c>
      <c r="H1089" s="27">
        <v>89.129997000000003</v>
      </c>
      <c r="I1089" s="19">
        <f t="shared" si="148"/>
        <v>-2.4729204778741742E-2</v>
      </c>
      <c r="J1089" s="19">
        <f t="shared" ca="1" si="149"/>
        <v>-1.2711563185431663E-2</v>
      </c>
      <c r="K1089" s="19">
        <f t="shared" ca="1" si="150"/>
        <v>82.42870961507144</v>
      </c>
      <c r="L1089" s="19">
        <f t="shared" ca="1" si="151"/>
        <v>1.0612883849285595</v>
      </c>
      <c r="M1089" s="19">
        <f t="shared" ca="1" si="152"/>
        <v>2.1265914333323153</v>
      </c>
      <c r="AA1089" s="37">
        <v>1069</v>
      </c>
      <c r="AB1089" s="37">
        <v>1.8856239279404352</v>
      </c>
      <c r="AC1089" s="37">
        <v>2.9112875873721933</v>
      </c>
      <c r="AD1089" s="37">
        <v>3.2091759263416995</v>
      </c>
    </row>
    <row r="1090" spans="2:30" x14ac:dyDescent="0.3">
      <c r="B1090" s="28">
        <v>44216</v>
      </c>
      <c r="C1090" s="25">
        <v>42.98</v>
      </c>
      <c r="D1090" s="18">
        <f t="shared" si="144"/>
        <v>8.9202351605743857E-3</v>
      </c>
      <c r="E1090" s="32">
        <f t="shared" ca="1" si="145"/>
        <v>5.3022843853881216E-3</v>
      </c>
      <c r="F1090" s="18">
        <f t="shared" ca="1" si="146"/>
        <v>58.619177207814261</v>
      </c>
      <c r="G1090" s="19">
        <f t="shared" ca="1" si="147"/>
        <v>-0.30917620781426081</v>
      </c>
      <c r="H1090" s="27">
        <v>89.599997999999999</v>
      </c>
      <c r="I1090" s="19">
        <f t="shared" si="148"/>
        <v>5.2732078516730674E-3</v>
      </c>
      <c r="J1090" s="19">
        <f t="shared" ca="1" si="149"/>
        <v>5.6611526892851205E-2</v>
      </c>
      <c r="K1090" s="19">
        <f t="shared" ca="1" si="150"/>
        <v>88.216494267061108</v>
      </c>
      <c r="L1090" s="19">
        <f t="shared" ca="1" si="151"/>
        <v>-4.7264962670611084</v>
      </c>
      <c r="M1090" s="19">
        <f t="shared" ca="1" si="152"/>
        <v>-5.0356724748753692</v>
      </c>
      <c r="AA1090" s="37">
        <v>1070</v>
      </c>
      <c r="AB1090" s="37">
        <v>1.6698482940870494</v>
      </c>
      <c r="AC1090" s="37">
        <v>2.7650697876438488</v>
      </c>
      <c r="AD1090" s="37">
        <v>3.2508975788905015</v>
      </c>
    </row>
    <row r="1091" spans="2:30" x14ac:dyDescent="0.3">
      <c r="B1091" s="28">
        <v>44217</v>
      </c>
      <c r="C1091" s="25">
        <v>42.549999</v>
      </c>
      <c r="D1091" s="18">
        <f t="shared" si="144"/>
        <v>-1.0004676593764472E-2</v>
      </c>
      <c r="E1091" s="32">
        <f t="shared" ca="1" si="145"/>
        <v>-1.2880337519713247E-2</v>
      </c>
      <c r="F1091" s="18">
        <f t="shared" ca="1" si="146"/>
        <v>57.558948506345182</v>
      </c>
      <c r="G1091" s="19">
        <f t="shared" ca="1" si="147"/>
        <v>0.75105249365481797</v>
      </c>
      <c r="H1091" s="27">
        <v>90.290001000000004</v>
      </c>
      <c r="I1091" s="19">
        <f t="shared" si="148"/>
        <v>7.7009265111813718E-3</v>
      </c>
      <c r="J1091" s="19">
        <f t="shared" ca="1" si="149"/>
        <v>-1.9376939592453221E-2</v>
      </c>
      <c r="K1091" s="19">
        <f t="shared" ca="1" si="150"/>
        <v>81.872217352179959</v>
      </c>
      <c r="L1091" s="19">
        <f t="shared" ca="1" si="151"/>
        <v>1.6177806478200409</v>
      </c>
      <c r="M1091" s="19">
        <f t="shared" ca="1" si="152"/>
        <v>2.3688331414748589</v>
      </c>
      <c r="AA1091" s="37">
        <v>1071</v>
      </c>
      <c r="AB1091" s="37">
        <v>1.8422416427646311</v>
      </c>
      <c r="AC1091" s="37">
        <v>2.9211143787315064</v>
      </c>
      <c r="AD1091" s="37">
        <v>3.4133321141347888</v>
      </c>
    </row>
    <row r="1092" spans="2:30" x14ac:dyDescent="0.3">
      <c r="B1092" s="28">
        <v>44218</v>
      </c>
      <c r="C1092" s="25">
        <v>42.16</v>
      </c>
      <c r="D1092" s="18">
        <f t="shared" si="144"/>
        <v>-9.1656641402036998E-3</v>
      </c>
      <c r="E1092" s="32">
        <f t="shared" ca="1" si="145"/>
        <v>1.6647377469084162E-2</v>
      </c>
      <c r="F1092" s="18">
        <f t="shared" ca="1" si="146"/>
        <v>59.28070959686967</v>
      </c>
      <c r="G1092" s="19">
        <f t="shared" ca="1" si="147"/>
        <v>-0.97070859686967026</v>
      </c>
      <c r="H1092" s="27">
        <v>90.209998999999996</v>
      </c>
      <c r="I1092" s="19">
        <f t="shared" si="148"/>
        <v>-8.8605603183022907E-4</v>
      </c>
      <c r="J1092" s="19">
        <f t="shared" ca="1" si="149"/>
        <v>-1.2825199072880314E-2</v>
      </c>
      <c r="K1092" s="19">
        <f t="shared" ca="1" si="150"/>
        <v>82.419222155055621</v>
      </c>
      <c r="L1092" s="19">
        <f t="shared" ca="1" si="151"/>
        <v>1.0707758449443787</v>
      </c>
      <c r="M1092" s="19">
        <f t="shared" ca="1" si="152"/>
        <v>0.10006724807470846</v>
      </c>
      <c r="AA1092" s="37">
        <v>1072</v>
      </c>
      <c r="AB1092" s="37">
        <v>1.835361105481855</v>
      </c>
      <c r="AC1092" s="37">
        <v>2.8885298816385729</v>
      </c>
      <c r="AD1092" s="37">
        <v>3.4816168682226594</v>
      </c>
    </row>
    <row r="1093" spans="2:30" x14ac:dyDescent="0.3">
      <c r="B1093" s="28">
        <v>44221</v>
      </c>
      <c r="C1093" s="25">
        <v>42.25</v>
      </c>
      <c r="D1093" s="18">
        <f t="shared" si="144"/>
        <v>2.1347248576850664E-3</v>
      </c>
      <c r="E1093" s="32">
        <f t="shared" ca="1" si="145"/>
        <v>-7.0731778740540131E-3</v>
      </c>
      <c r="F1093" s="18">
        <f t="shared" ca="1" si="146"/>
        <v>57.897563991090728</v>
      </c>
      <c r="G1093" s="19">
        <f t="shared" ca="1" si="147"/>
        <v>0.41243700890927215</v>
      </c>
      <c r="H1093" s="27">
        <v>92.269997000000004</v>
      </c>
      <c r="I1093" s="19">
        <f t="shared" si="148"/>
        <v>2.2835583891315681E-2</v>
      </c>
      <c r="J1093" s="19">
        <f t="shared" ca="1" si="149"/>
        <v>3.0528340797092253E-3</v>
      </c>
      <c r="K1093" s="19">
        <f t="shared" ca="1" si="150"/>
        <v>83.744879111209244</v>
      </c>
      <c r="L1093" s="19">
        <f t="shared" ca="1" si="151"/>
        <v>-0.25488111120924373</v>
      </c>
      <c r="M1093" s="19">
        <f t="shared" ca="1" si="152"/>
        <v>0.15755589770002842</v>
      </c>
      <c r="AA1093" s="37">
        <v>1073</v>
      </c>
      <c r="AB1093" s="37">
        <v>1.9005336783652871</v>
      </c>
      <c r="AC1093" s="37">
        <v>3.0670705280624047</v>
      </c>
      <c r="AD1093" s="37">
        <v>3.2169870971856924</v>
      </c>
    </row>
    <row r="1094" spans="2:30" x14ac:dyDescent="0.3">
      <c r="B1094" s="28">
        <v>44222</v>
      </c>
      <c r="C1094" s="25">
        <v>41.98</v>
      </c>
      <c r="D1094" s="18">
        <f t="shared" si="144"/>
        <v>-6.3905325443788241E-3</v>
      </c>
      <c r="E1094" s="32">
        <f t="shared" ca="1" si="145"/>
        <v>-3.2886137914197896E-3</v>
      </c>
      <c r="F1094" s="18">
        <f t="shared" ca="1" si="146"/>
        <v>58.118241926533699</v>
      </c>
      <c r="G1094" s="19">
        <f t="shared" ca="1" si="147"/>
        <v>0.19175907346630083</v>
      </c>
      <c r="H1094" s="27">
        <v>90.860000999999997</v>
      </c>
      <c r="I1094" s="19">
        <f t="shared" si="148"/>
        <v>-1.5281196985407974E-2</v>
      </c>
      <c r="J1094" s="19">
        <f t="shared" ca="1" si="149"/>
        <v>2.0909035759406027E-2</v>
      </c>
      <c r="K1094" s="19">
        <f t="shared" ca="1" si="150"/>
        <v>85.235693353734732</v>
      </c>
      <c r="L1094" s="19">
        <f t="shared" ca="1" si="151"/>
        <v>-1.7456953537347317</v>
      </c>
      <c r="M1094" s="19">
        <f t="shared" ca="1" si="152"/>
        <v>-1.5539362802684309</v>
      </c>
      <c r="AA1094" s="37">
        <v>1074</v>
      </c>
      <c r="AB1094" s="37">
        <v>1.7251199917316047</v>
      </c>
      <c r="AC1094" s="37">
        <v>2.8734675264732554</v>
      </c>
      <c r="AD1094" s="37">
        <v>3.2984909395647484</v>
      </c>
    </row>
    <row r="1095" spans="2:30" x14ac:dyDescent="0.3">
      <c r="B1095" s="28">
        <v>44223</v>
      </c>
      <c r="C1095" s="25">
        <v>40.479999999999997</v>
      </c>
      <c r="D1095" s="18">
        <f t="shared" si="144"/>
        <v>-3.5731300619342599E-2</v>
      </c>
      <c r="E1095" s="32">
        <f t="shared" ca="1" si="145"/>
        <v>-5.0355200739257137E-2</v>
      </c>
      <c r="F1095" s="18">
        <f t="shared" ca="1" si="146"/>
        <v>55.373789194538716</v>
      </c>
      <c r="G1095" s="19">
        <f t="shared" ca="1" si="147"/>
        <v>2.9362118054612836</v>
      </c>
      <c r="H1095" s="27">
        <v>90.75</v>
      </c>
      <c r="I1095" s="19">
        <f t="shared" si="148"/>
        <v>-1.2106647456453512E-3</v>
      </c>
      <c r="J1095" s="19">
        <f t="shared" ca="1" si="149"/>
        <v>2.6441461945151852E-2</v>
      </c>
      <c r="K1095" s="19">
        <f t="shared" ca="1" si="150"/>
        <v>85.697595604917808</v>
      </c>
      <c r="L1095" s="19">
        <f t="shared" ca="1" si="151"/>
        <v>-2.2075976049178081</v>
      </c>
      <c r="M1095" s="19">
        <f t="shared" ca="1" si="152"/>
        <v>0.72861420054347548</v>
      </c>
      <c r="AA1095" s="37">
        <v>1075</v>
      </c>
      <c r="AB1095" s="37">
        <v>1.7762853421247293</v>
      </c>
      <c r="AC1095" s="37">
        <v>2.6687047373695516</v>
      </c>
      <c r="AD1095" s="37">
        <v>3.3370516971862605</v>
      </c>
    </row>
    <row r="1096" spans="2:30" x14ac:dyDescent="0.3">
      <c r="B1096" s="28">
        <v>44224</v>
      </c>
      <c r="C1096" s="25">
        <v>40.130001</v>
      </c>
      <c r="D1096" s="18">
        <f t="shared" ref="D1096:D1159" si="153">C1096/C1095-1</f>
        <v>-8.646220355731149E-3</v>
      </c>
      <c r="E1096" s="32">
        <f t="shared" ref="E1096:E1159" ca="1" si="154">NORMINV(RAND(),$E$3,$E$4)</f>
        <v>-9.2209418549081511E-3</v>
      </c>
      <c r="F1096" s="18">
        <f t="shared" ref="F1096:F1159" ca="1" si="155">$C$1261*(1+E1096)</f>
        <v>57.77232787121936</v>
      </c>
      <c r="G1096" s="19">
        <f t="shared" ref="G1096:G1159" ca="1" si="156">$C$1261-F1096</f>
        <v>0.53767312878063933</v>
      </c>
      <c r="H1096" s="27">
        <v>90.879997000000003</v>
      </c>
      <c r="I1096" s="19">
        <f t="shared" ref="I1096:I1159" si="157">H1096/H1095-1</f>
        <v>1.4324738292010863E-3</v>
      </c>
      <c r="J1096" s="19">
        <f t="shared" ref="J1096:J1159" ca="1" si="158">NORMINV(RAND(),$J$3,$J$4)</f>
        <v>-8.8631901716485894E-3</v>
      </c>
      <c r="K1096" s="19">
        <f t="shared" ref="K1096:K1159" ca="1" si="159">$H$1261*(1+J1096)</f>
        <v>82.750010270295434</v>
      </c>
      <c r="L1096" s="19">
        <f t="shared" ref="L1096:L1159" ca="1" si="160">$H$1261-K1096</f>
        <v>0.73998772970456628</v>
      </c>
      <c r="M1096" s="19">
        <f t="shared" ref="M1096:M1159" ca="1" si="161">SUM(G1096,L1096)</f>
        <v>1.2776608584852056</v>
      </c>
      <c r="AA1096" s="37">
        <v>1076</v>
      </c>
      <c r="AB1096" s="37">
        <v>1.8578211479059732</v>
      </c>
      <c r="AC1096" s="37">
        <v>2.8446074713837346</v>
      </c>
      <c r="AD1096" s="37">
        <v>3.3113963290771036</v>
      </c>
    </row>
    <row r="1097" spans="2:30" x14ac:dyDescent="0.3">
      <c r="B1097" s="28">
        <v>44225</v>
      </c>
      <c r="C1097" s="25">
        <v>38.520000000000003</v>
      </c>
      <c r="D1097" s="18">
        <f t="shared" si="153"/>
        <v>-4.011963518266537E-2</v>
      </c>
      <c r="E1097" s="32">
        <f t="shared" ca="1" si="154"/>
        <v>-1.679493190201882E-2</v>
      </c>
      <c r="F1097" s="18">
        <f t="shared" ca="1" si="155"/>
        <v>57.330688503998346</v>
      </c>
      <c r="G1097" s="19">
        <f t="shared" ca="1" si="156"/>
        <v>0.97931249600165415</v>
      </c>
      <c r="H1097" s="27">
        <v>87.839995999999999</v>
      </c>
      <c r="I1097" s="19">
        <f t="shared" si="157"/>
        <v>-3.3450716333100261E-2</v>
      </c>
      <c r="J1097" s="19">
        <f t="shared" ca="1" si="158"/>
        <v>2.012888579051933E-2</v>
      </c>
      <c r="K1097" s="19">
        <f t="shared" ca="1" si="159"/>
        <v>85.170558634392691</v>
      </c>
      <c r="L1097" s="19">
        <f t="shared" ca="1" si="160"/>
        <v>-1.6805606343926911</v>
      </c>
      <c r="M1097" s="19">
        <f t="shared" ca="1" si="161"/>
        <v>-0.70124813839103695</v>
      </c>
      <c r="AA1097" s="37">
        <v>1077</v>
      </c>
      <c r="AB1097" s="37">
        <v>1.6491673311122692</v>
      </c>
      <c r="AC1097" s="37">
        <v>2.6793908517454827</v>
      </c>
      <c r="AD1097" s="37">
        <v>3.4345832095468669</v>
      </c>
    </row>
    <row r="1098" spans="2:30" x14ac:dyDescent="0.3">
      <c r="B1098" s="28">
        <v>44229</v>
      </c>
      <c r="C1098" s="25">
        <v>40.060001</v>
      </c>
      <c r="D1098" s="18">
        <f t="shared" si="153"/>
        <v>3.9979257528556467E-2</v>
      </c>
      <c r="E1098" s="32">
        <f t="shared" ca="1" si="154"/>
        <v>2.1991280893119348E-2</v>
      </c>
      <c r="F1098" s="18">
        <f t="shared" ca="1" si="155"/>
        <v>59.592312610869065</v>
      </c>
      <c r="G1098" s="19">
        <f t="shared" ca="1" si="156"/>
        <v>-1.2823116108690655</v>
      </c>
      <c r="H1098" s="27">
        <v>91.440002000000007</v>
      </c>
      <c r="I1098" s="19">
        <f t="shared" si="157"/>
        <v>4.0983676729675622E-2</v>
      </c>
      <c r="J1098" s="19">
        <f t="shared" ca="1" si="158"/>
        <v>-7.7716720204231192E-3</v>
      </c>
      <c r="K1098" s="19">
        <f t="shared" ca="1" si="159"/>
        <v>82.841141118558212</v>
      </c>
      <c r="L1098" s="19">
        <f t="shared" ca="1" si="160"/>
        <v>0.64885688144178744</v>
      </c>
      <c r="M1098" s="19">
        <f t="shared" ca="1" si="161"/>
        <v>-0.6334547294272781</v>
      </c>
      <c r="AA1098" s="37">
        <v>1078</v>
      </c>
      <c r="AB1098" s="37">
        <v>1.8137125422818752</v>
      </c>
      <c r="AC1098" s="37">
        <v>2.7535620932003964</v>
      </c>
      <c r="AD1098" s="37">
        <v>3.3388723634528135</v>
      </c>
    </row>
    <row r="1099" spans="2:30" x14ac:dyDescent="0.3">
      <c r="B1099" s="28">
        <v>44230</v>
      </c>
      <c r="C1099" s="25">
        <v>40.150002000000001</v>
      </c>
      <c r="D1099" s="18">
        <f t="shared" si="153"/>
        <v>2.2466549613915365E-3</v>
      </c>
      <c r="E1099" s="32">
        <f t="shared" ca="1" si="154"/>
        <v>2.5424187534282029E-2</v>
      </c>
      <c r="F1099" s="18">
        <f t="shared" ca="1" si="155"/>
        <v>59.792485400548173</v>
      </c>
      <c r="G1099" s="19">
        <f t="shared" ca="1" si="156"/>
        <v>-1.4824844005481737</v>
      </c>
      <c r="H1099" s="27">
        <v>91.150002000000001</v>
      </c>
      <c r="I1099" s="19">
        <f t="shared" si="157"/>
        <v>-3.1714784958120079E-3</v>
      </c>
      <c r="J1099" s="19">
        <f t="shared" ca="1" si="158"/>
        <v>-2.495955764858504E-2</v>
      </c>
      <c r="K1099" s="19">
        <f t="shared" ca="1" si="159"/>
        <v>81.406124581838753</v>
      </c>
      <c r="L1099" s="19">
        <f t="shared" ca="1" si="160"/>
        <v>2.0838734181612466</v>
      </c>
      <c r="M1099" s="19">
        <f t="shared" ca="1" si="161"/>
        <v>0.60138901761307295</v>
      </c>
      <c r="AA1099" s="37">
        <v>1079</v>
      </c>
      <c r="AB1099" s="37">
        <v>1.8163698562111499</v>
      </c>
      <c r="AC1099" s="37">
        <v>2.8256752073650384</v>
      </c>
      <c r="AD1099" s="37">
        <v>3.4867868857817048</v>
      </c>
    </row>
    <row r="1100" spans="2:30" x14ac:dyDescent="0.3">
      <c r="B1100" s="28">
        <v>44231</v>
      </c>
      <c r="C1100" s="25">
        <v>39.990001999999997</v>
      </c>
      <c r="D1100" s="18">
        <f t="shared" si="153"/>
        <v>-3.9850558413422332E-3</v>
      </c>
      <c r="E1100" s="32">
        <f t="shared" ca="1" si="154"/>
        <v>1.1401754618824931E-2</v>
      </c>
      <c r="F1100" s="18">
        <f t="shared" ca="1" si="155"/>
        <v>58.974837323225437</v>
      </c>
      <c r="G1100" s="19">
        <f t="shared" ca="1" si="156"/>
        <v>-0.66483632322543684</v>
      </c>
      <c r="H1100" s="27">
        <v>87.900002000000001</v>
      </c>
      <c r="I1100" s="19">
        <f t="shared" si="157"/>
        <v>-3.5655512108491272E-2</v>
      </c>
      <c r="J1100" s="19">
        <f t="shared" ca="1" si="158"/>
        <v>-3.5502234414611696E-3</v>
      </c>
      <c r="K1100" s="19">
        <f t="shared" ca="1" si="159"/>
        <v>83.19358985197286</v>
      </c>
      <c r="L1100" s="19">
        <f t="shared" ca="1" si="160"/>
        <v>0.29640814802714033</v>
      </c>
      <c r="M1100" s="19">
        <f t="shared" ca="1" si="161"/>
        <v>-0.36842817519829651</v>
      </c>
      <c r="AA1100" s="37">
        <v>1080</v>
      </c>
      <c r="AB1100" s="37">
        <v>1.8429100779355307</v>
      </c>
      <c r="AC1100" s="37">
        <v>2.9535101545624354</v>
      </c>
      <c r="AD1100" s="37">
        <v>3.4287615591461531</v>
      </c>
    </row>
    <row r="1101" spans="2:30" x14ac:dyDescent="0.3">
      <c r="B1101" s="28">
        <v>44232</v>
      </c>
      <c r="C1101" s="25">
        <v>39.549999</v>
      </c>
      <c r="D1101" s="18">
        <f t="shared" si="153"/>
        <v>-1.10028251561477E-2</v>
      </c>
      <c r="E1101" s="32">
        <f t="shared" ca="1" si="154"/>
        <v>-1.6677164307157454E-2</v>
      </c>
      <c r="F1101" s="18">
        <f t="shared" ca="1" si="155"/>
        <v>57.33755553257248</v>
      </c>
      <c r="G1101" s="19">
        <f t="shared" ca="1" si="156"/>
        <v>0.97244546742751936</v>
      </c>
      <c r="H1101" s="27">
        <v>87.470000999999996</v>
      </c>
      <c r="I1101" s="19">
        <f t="shared" si="157"/>
        <v>-4.8919339046203936E-3</v>
      </c>
      <c r="J1101" s="19">
        <f t="shared" ca="1" si="158"/>
        <v>1.4106864162055078E-2</v>
      </c>
      <c r="K1101" s="19">
        <f t="shared" ca="1" si="159"/>
        <v>84.667780060676236</v>
      </c>
      <c r="L1101" s="19">
        <f t="shared" ca="1" si="160"/>
        <v>-1.1777820606762361</v>
      </c>
      <c r="M1101" s="19">
        <f t="shared" ca="1" si="161"/>
        <v>-0.20533659324871678</v>
      </c>
      <c r="AA1101" s="37">
        <v>1081</v>
      </c>
      <c r="AB1101" s="37">
        <v>1.7681253607835077</v>
      </c>
      <c r="AC1101" s="37">
        <v>2.6714319006204472</v>
      </c>
      <c r="AD1101" s="37">
        <v>3.2117096785609967</v>
      </c>
    </row>
    <row r="1102" spans="2:30" x14ac:dyDescent="0.3">
      <c r="B1102" s="28">
        <v>44235</v>
      </c>
      <c r="C1102" s="25">
        <v>39.490001999999997</v>
      </c>
      <c r="D1102" s="18">
        <f t="shared" si="153"/>
        <v>-1.5169911887988885E-3</v>
      </c>
      <c r="E1102" s="32">
        <f t="shared" ca="1" si="154"/>
        <v>-9.183837022029729E-3</v>
      </c>
      <c r="F1102" s="18">
        <f t="shared" ca="1" si="155"/>
        <v>57.774491454061611</v>
      </c>
      <c r="G1102" s="19">
        <f t="shared" ca="1" si="156"/>
        <v>0.53550954593838895</v>
      </c>
      <c r="H1102" s="27">
        <v>89.989998</v>
      </c>
      <c r="I1102" s="19">
        <f t="shared" si="157"/>
        <v>2.8809843045503047E-2</v>
      </c>
      <c r="J1102" s="19">
        <f t="shared" ca="1" si="158"/>
        <v>-6.0689944884809608E-3</v>
      </c>
      <c r="K1102" s="19">
        <f t="shared" ca="1" si="159"/>
        <v>82.983297662294717</v>
      </c>
      <c r="L1102" s="19">
        <f t="shared" ca="1" si="160"/>
        <v>0.50670033770528278</v>
      </c>
      <c r="M1102" s="19">
        <f t="shared" ca="1" si="161"/>
        <v>1.0422098836436717</v>
      </c>
      <c r="AA1102" s="37">
        <v>1082</v>
      </c>
      <c r="AB1102" s="37">
        <v>1.8532245941572585</v>
      </c>
      <c r="AC1102" s="37">
        <v>2.8466623792538912</v>
      </c>
      <c r="AD1102" s="37">
        <v>3.2295626717221979</v>
      </c>
    </row>
    <row r="1103" spans="2:30" x14ac:dyDescent="0.3">
      <c r="B1103" s="28">
        <v>44236</v>
      </c>
      <c r="C1103" s="25">
        <v>39.700001</v>
      </c>
      <c r="D1103" s="18">
        <f t="shared" si="153"/>
        <v>5.3177763829943547E-3</v>
      </c>
      <c r="E1103" s="32">
        <f t="shared" ca="1" si="154"/>
        <v>-1.1275058057530641E-3</v>
      </c>
      <c r="F1103" s="18">
        <f t="shared" ca="1" si="155"/>
        <v>58.244256135339036</v>
      </c>
      <c r="G1103" s="19">
        <f t="shared" ca="1" si="156"/>
        <v>6.5744864660963742E-2</v>
      </c>
      <c r="H1103" s="27">
        <v>93.160004000000001</v>
      </c>
      <c r="I1103" s="19">
        <f t="shared" si="157"/>
        <v>3.5226203694326053E-2</v>
      </c>
      <c r="J1103" s="19">
        <f t="shared" ca="1" si="158"/>
        <v>-8.588765898595618E-3</v>
      </c>
      <c r="K1103" s="19">
        <f t="shared" ca="1" si="159"/>
        <v>82.77292195230379</v>
      </c>
      <c r="L1103" s="19">
        <f t="shared" ca="1" si="160"/>
        <v>0.71707604769621014</v>
      </c>
      <c r="M1103" s="19">
        <f t="shared" ca="1" si="161"/>
        <v>0.78282091235717388</v>
      </c>
      <c r="AA1103" s="37">
        <v>1083</v>
      </c>
      <c r="AB1103" s="37">
        <v>1.7984976479127566</v>
      </c>
      <c r="AC1103" s="37">
        <v>2.7133415222171671</v>
      </c>
      <c r="AD1103" s="37">
        <v>3.1741155184265213</v>
      </c>
    </row>
    <row r="1104" spans="2:30" x14ac:dyDescent="0.3">
      <c r="B1104" s="28">
        <v>44237</v>
      </c>
      <c r="C1104" s="25">
        <v>39.659999999999997</v>
      </c>
      <c r="D1104" s="18">
        <f t="shared" si="153"/>
        <v>-1.0075818386000579E-3</v>
      </c>
      <c r="E1104" s="32">
        <f t="shared" ca="1" si="154"/>
        <v>-2.0168801765254818E-2</v>
      </c>
      <c r="F1104" s="18">
        <f t="shared" ca="1" si="155"/>
        <v>57.13395814889919</v>
      </c>
      <c r="G1104" s="19">
        <f t="shared" ca="1" si="156"/>
        <v>1.1760428511008101</v>
      </c>
      <c r="H1104" s="27">
        <v>91.949996999999996</v>
      </c>
      <c r="I1104" s="19">
        <f t="shared" si="157"/>
        <v>-1.2988481623508741E-2</v>
      </c>
      <c r="J1104" s="19">
        <f t="shared" ca="1" si="158"/>
        <v>6.7278943090825676E-3</v>
      </c>
      <c r="K1104" s="19">
        <f t="shared" ca="1" si="159"/>
        <v>84.051709882409511</v>
      </c>
      <c r="L1104" s="19">
        <f t="shared" ca="1" si="160"/>
        <v>-0.56171188240951153</v>
      </c>
      <c r="M1104" s="19">
        <f t="shared" ca="1" si="161"/>
        <v>0.61433096869129855</v>
      </c>
      <c r="AA1104" s="37">
        <v>1084</v>
      </c>
      <c r="AB1104" s="37">
        <v>1.8310608276681386</v>
      </c>
      <c r="AC1104" s="37">
        <v>2.6458397874139559</v>
      </c>
      <c r="AD1104" s="37">
        <v>3.3484475234880864</v>
      </c>
    </row>
    <row r="1105" spans="2:30" x14ac:dyDescent="0.3">
      <c r="B1105" s="28">
        <v>44238</v>
      </c>
      <c r="C1105" s="25">
        <v>39.200001</v>
      </c>
      <c r="D1105" s="18">
        <f t="shared" si="153"/>
        <v>-1.1598562783661004E-2</v>
      </c>
      <c r="E1105" s="32">
        <f t="shared" ca="1" si="154"/>
        <v>-7.2819619040393364E-3</v>
      </c>
      <c r="F1105" s="18">
        <f t="shared" ca="1" si="155"/>
        <v>57.885389794093506</v>
      </c>
      <c r="G1105" s="19">
        <f t="shared" ca="1" si="156"/>
        <v>0.42461120590649415</v>
      </c>
      <c r="H1105" s="27">
        <v>89.970000999999996</v>
      </c>
      <c r="I1105" s="19">
        <f t="shared" si="157"/>
        <v>-2.153339928874598E-2</v>
      </c>
      <c r="J1105" s="19">
        <f t="shared" ca="1" si="158"/>
        <v>1.2125347484606716E-2</v>
      </c>
      <c r="K1105" s="19">
        <f t="shared" ca="1" si="159"/>
        <v>84.502343237239131</v>
      </c>
      <c r="L1105" s="19">
        <f t="shared" ca="1" si="160"/>
        <v>-1.0123452372391313</v>
      </c>
      <c r="M1105" s="19">
        <f t="shared" ca="1" si="161"/>
        <v>-0.58773403133263713</v>
      </c>
      <c r="AA1105" s="37">
        <v>1085</v>
      </c>
      <c r="AB1105" s="37">
        <v>1.7937173017469492</v>
      </c>
      <c r="AC1105" s="37">
        <v>2.9769588075891722</v>
      </c>
      <c r="AD1105" s="37">
        <v>3.5758014899311186</v>
      </c>
    </row>
    <row r="1106" spans="2:30" x14ac:dyDescent="0.3">
      <c r="B1106" s="28">
        <v>44239</v>
      </c>
      <c r="C1106" s="25">
        <v>39.159999999999997</v>
      </c>
      <c r="D1106" s="18">
        <f t="shared" si="153"/>
        <v>-1.0204336474379794E-3</v>
      </c>
      <c r="E1106" s="32">
        <f t="shared" ca="1" si="154"/>
        <v>5.3557419178763364E-3</v>
      </c>
      <c r="F1106" s="18">
        <f t="shared" ca="1" si="155"/>
        <v>58.622294316587109</v>
      </c>
      <c r="G1106" s="19">
        <f t="shared" ca="1" si="156"/>
        <v>-0.3122933165871089</v>
      </c>
      <c r="H1106" s="27">
        <v>88.190002000000007</v>
      </c>
      <c r="I1106" s="19">
        <f t="shared" si="157"/>
        <v>-1.9784361233918246E-2</v>
      </c>
      <c r="J1106" s="19">
        <f t="shared" ca="1" si="158"/>
        <v>-2.0249785756713178E-2</v>
      </c>
      <c r="K1106" s="19">
        <f t="shared" ca="1" si="159"/>
        <v>81.799343427671587</v>
      </c>
      <c r="L1106" s="19">
        <f t="shared" ca="1" si="160"/>
        <v>1.6906545723284125</v>
      </c>
      <c r="M1106" s="19">
        <f t="shared" ca="1" si="161"/>
        <v>1.3783612557413036</v>
      </c>
      <c r="AA1106" s="37">
        <v>1086</v>
      </c>
      <c r="AB1106" s="37">
        <v>1.7952900423088733</v>
      </c>
      <c r="AC1106" s="37">
        <v>2.7489949565242102</v>
      </c>
      <c r="AD1106" s="37">
        <v>3.404995107183439</v>
      </c>
    </row>
    <row r="1107" spans="2:30" x14ac:dyDescent="0.3">
      <c r="B1107" s="28">
        <v>44242</v>
      </c>
      <c r="C1107" s="25">
        <v>39.110000999999997</v>
      </c>
      <c r="D1107" s="18">
        <f t="shared" si="153"/>
        <v>-1.2767875383044025E-3</v>
      </c>
      <c r="E1107" s="32">
        <f t="shared" ca="1" si="154"/>
        <v>1.8037700836088723E-2</v>
      </c>
      <c r="F1107" s="18">
        <f t="shared" ca="1" si="155"/>
        <v>59.361779353790041</v>
      </c>
      <c r="G1107" s="19">
        <f t="shared" ca="1" si="156"/>
        <v>-1.0517783537900414</v>
      </c>
      <c r="H1107" s="27">
        <v>89.440002000000007</v>
      </c>
      <c r="I1107" s="19">
        <f t="shared" si="157"/>
        <v>1.417394230243918E-2</v>
      </c>
      <c r="J1107" s="19">
        <f t="shared" ca="1" si="158"/>
        <v>-1.8241308284662455E-2</v>
      </c>
      <c r="K1107" s="19">
        <f t="shared" ca="1" si="159"/>
        <v>81.967031207796154</v>
      </c>
      <c r="L1107" s="19">
        <f t="shared" ca="1" si="160"/>
        <v>1.5229667922038459</v>
      </c>
      <c r="M1107" s="19">
        <f t="shared" ca="1" si="161"/>
        <v>0.47118843841380453</v>
      </c>
      <c r="AA1107" s="37">
        <v>1087</v>
      </c>
      <c r="AB1107" s="37">
        <v>1.7451291442095784</v>
      </c>
      <c r="AC1107" s="37">
        <v>2.9113528910056719</v>
      </c>
      <c r="AD1107" s="37">
        <v>3.2149655573669667</v>
      </c>
    </row>
    <row r="1108" spans="2:30" x14ac:dyDescent="0.3">
      <c r="B1108" s="28">
        <v>44243</v>
      </c>
      <c r="C1108" s="25">
        <v>38.990001999999997</v>
      </c>
      <c r="D1108" s="18">
        <f t="shared" si="153"/>
        <v>-3.0682433375545104E-3</v>
      </c>
      <c r="E1108" s="32">
        <f t="shared" ca="1" si="154"/>
        <v>5.3907459287643872E-3</v>
      </c>
      <c r="F1108" s="18">
        <f t="shared" ca="1" si="155"/>
        <v>58.624335400496996</v>
      </c>
      <c r="G1108" s="19">
        <f t="shared" ca="1" si="156"/>
        <v>-0.31433440049699612</v>
      </c>
      <c r="H1108" s="27">
        <v>92.599997999999999</v>
      </c>
      <c r="I1108" s="19">
        <f t="shared" si="157"/>
        <v>3.53309026088795E-2</v>
      </c>
      <c r="J1108" s="19">
        <f t="shared" ca="1" si="158"/>
        <v>-1.1341662725303974E-2</v>
      </c>
      <c r="K1108" s="19">
        <f t="shared" ca="1" si="159"/>
        <v>82.543082601747699</v>
      </c>
      <c r="L1108" s="19">
        <f t="shared" ca="1" si="160"/>
        <v>0.94691539825230109</v>
      </c>
      <c r="M1108" s="19">
        <f t="shared" ca="1" si="161"/>
        <v>0.63258099775530496</v>
      </c>
      <c r="AA1108" s="37">
        <v>1088</v>
      </c>
      <c r="AB1108" s="37">
        <v>1.6638610783053096</v>
      </c>
      <c r="AC1108" s="37">
        <v>2.8047103543353695</v>
      </c>
      <c r="AD1108" s="37">
        <v>3.3228066693455065</v>
      </c>
    </row>
    <row r="1109" spans="2:30" x14ac:dyDescent="0.3">
      <c r="B1109" s="28">
        <v>44244</v>
      </c>
      <c r="C1109" s="25">
        <v>38.860000999999997</v>
      </c>
      <c r="D1109" s="18">
        <f t="shared" si="153"/>
        <v>-3.3342137299711139E-3</v>
      </c>
      <c r="E1109" s="32">
        <f t="shared" ca="1" si="154"/>
        <v>-3.182809076848836E-2</v>
      </c>
      <c r="F1109" s="18">
        <f t="shared" ca="1" si="155"/>
        <v>56.45410499546135</v>
      </c>
      <c r="G1109" s="19">
        <f t="shared" ca="1" si="156"/>
        <v>1.8558960045386499</v>
      </c>
      <c r="H1109" s="27">
        <v>96.290001000000004</v>
      </c>
      <c r="I1109" s="19">
        <f t="shared" si="157"/>
        <v>3.9848845353106954E-2</v>
      </c>
      <c r="J1109" s="19">
        <f t="shared" ca="1" si="158"/>
        <v>-3.2204627221131703E-2</v>
      </c>
      <c r="K1109" s="19">
        <f t="shared" ca="1" si="159"/>
        <v>80.80123373771697</v>
      </c>
      <c r="L1109" s="19">
        <f t="shared" ca="1" si="160"/>
        <v>2.6887642622830299</v>
      </c>
      <c r="M1109" s="19">
        <f t="shared" ca="1" si="161"/>
        <v>4.5446602668216798</v>
      </c>
      <c r="AA1109" s="37">
        <v>1089</v>
      </c>
      <c r="AB1109" s="37">
        <v>1.8369060532933703</v>
      </c>
      <c r="AC1109" s="37">
        <v>2.6541456566140464</v>
      </c>
      <c r="AD1109" s="37">
        <v>3.6433046923285253</v>
      </c>
    </row>
    <row r="1110" spans="2:30" x14ac:dyDescent="0.3">
      <c r="B1110" s="28">
        <v>44245</v>
      </c>
      <c r="C1110" s="25">
        <v>38.330002</v>
      </c>
      <c r="D1110" s="18">
        <f t="shared" si="153"/>
        <v>-1.3638676952169804E-2</v>
      </c>
      <c r="E1110" s="32">
        <f t="shared" ca="1" si="154"/>
        <v>-1.0966935163889242E-3</v>
      </c>
      <c r="F1110" s="18">
        <f t="shared" ca="1" si="155"/>
        <v>58.246052799962662</v>
      </c>
      <c r="G1110" s="19">
        <f t="shared" ca="1" si="156"/>
        <v>6.3948200037337699E-2</v>
      </c>
      <c r="H1110" s="27">
        <v>97.980002999999996</v>
      </c>
      <c r="I1110" s="19">
        <f t="shared" si="157"/>
        <v>1.7551168163348452E-2</v>
      </c>
      <c r="J1110" s="19">
        <f t="shared" ca="1" si="158"/>
        <v>-3.001275947572235E-2</v>
      </c>
      <c r="K1110" s="19">
        <f t="shared" ca="1" si="159"/>
        <v>80.984232771397458</v>
      </c>
      <c r="L1110" s="19">
        <f t="shared" ca="1" si="160"/>
        <v>2.5057652286025416</v>
      </c>
      <c r="M1110" s="19">
        <f t="shared" ca="1" si="161"/>
        <v>2.5697134286398793</v>
      </c>
      <c r="AA1110" s="37">
        <v>1090</v>
      </c>
      <c r="AB1110" s="37">
        <v>1.7944492594549257</v>
      </c>
      <c r="AC1110" s="37">
        <v>2.9938992065903802</v>
      </c>
      <c r="AD1110" s="37">
        <v>3.3164800615105889</v>
      </c>
    </row>
    <row r="1111" spans="2:30" x14ac:dyDescent="0.3">
      <c r="B1111" s="28">
        <v>44246</v>
      </c>
      <c r="C1111" s="25">
        <v>38.360000999999997</v>
      </c>
      <c r="D1111" s="18">
        <f t="shared" si="153"/>
        <v>7.826506244377196E-4</v>
      </c>
      <c r="E1111" s="32">
        <f t="shared" ca="1" si="154"/>
        <v>1.3861190662469911E-2</v>
      </c>
      <c r="F1111" s="18">
        <f t="shared" ca="1" si="155"/>
        <v>59.118247041389814</v>
      </c>
      <c r="G1111" s="19">
        <f t="shared" ca="1" si="156"/>
        <v>-0.80824604138981471</v>
      </c>
      <c r="H1111" s="27">
        <v>101.93</v>
      </c>
      <c r="I1111" s="19">
        <f t="shared" si="157"/>
        <v>4.0314318014462724E-2</v>
      </c>
      <c r="J1111" s="19">
        <f t="shared" ca="1" si="158"/>
        <v>-3.2775935660644712E-2</v>
      </c>
      <c r="K1111" s="19">
        <f t="shared" ca="1" si="159"/>
        <v>80.753535197244645</v>
      </c>
      <c r="L1111" s="19">
        <f t="shared" ca="1" si="160"/>
        <v>2.736462802755355</v>
      </c>
      <c r="M1111" s="19">
        <f t="shared" ca="1" si="161"/>
        <v>1.9282167613655403</v>
      </c>
      <c r="AA1111" s="37">
        <v>1091</v>
      </c>
      <c r="AB1111" s="37">
        <v>1.8204217545235133</v>
      </c>
      <c r="AC1111" s="37">
        <v>2.6684091840033752</v>
      </c>
      <c r="AD1111" s="37">
        <v>3.2732933104690924</v>
      </c>
    </row>
    <row r="1112" spans="2:30" x14ac:dyDescent="0.3">
      <c r="B1112" s="28">
        <v>44249</v>
      </c>
      <c r="C1112" s="25">
        <v>37.099997999999999</v>
      </c>
      <c r="D1112" s="18">
        <f t="shared" si="153"/>
        <v>-3.2846792678654979E-2</v>
      </c>
      <c r="E1112" s="32">
        <f t="shared" ca="1" si="154"/>
        <v>7.8143170714347378E-3</v>
      </c>
      <c r="F1112" s="18">
        <f t="shared" ca="1" si="155"/>
        <v>58.765653836249669</v>
      </c>
      <c r="G1112" s="19">
        <f t="shared" ca="1" si="156"/>
        <v>-0.45565283624966924</v>
      </c>
      <c r="H1112" s="27">
        <v>109.970001</v>
      </c>
      <c r="I1112" s="19">
        <f t="shared" si="157"/>
        <v>7.8877670950652234E-2</v>
      </c>
      <c r="J1112" s="19">
        <f t="shared" ca="1" si="158"/>
        <v>1.6009135953170474E-2</v>
      </c>
      <c r="K1112" s="19">
        <f t="shared" ca="1" si="159"/>
        <v>84.826600728711924</v>
      </c>
      <c r="L1112" s="19">
        <f t="shared" ca="1" si="160"/>
        <v>-1.3366027287119238</v>
      </c>
      <c r="M1112" s="19">
        <f t="shared" ca="1" si="161"/>
        <v>-1.792255564961593</v>
      </c>
      <c r="AA1112" s="37">
        <v>1092</v>
      </c>
      <c r="AB1112" s="37">
        <v>1.7704815265108556</v>
      </c>
      <c r="AC1112" s="37">
        <v>2.8808490899959267</v>
      </c>
      <c r="AD1112" s="37">
        <v>3.1274794368551979</v>
      </c>
    </row>
    <row r="1113" spans="2:30" x14ac:dyDescent="0.3">
      <c r="B1113" s="28">
        <v>44250</v>
      </c>
      <c r="C1113" s="25">
        <v>38.029998999999997</v>
      </c>
      <c r="D1113" s="18">
        <f t="shared" si="153"/>
        <v>2.5067413750264889E-2</v>
      </c>
      <c r="E1113" s="32">
        <f t="shared" ca="1" si="154"/>
        <v>-4.2810819587259172E-3</v>
      </c>
      <c r="F1113" s="18">
        <f t="shared" ca="1" si="155"/>
        <v>58.06037110670561</v>
      </c>
      <c r="G1113" s="19">
        <f t="shared" ca="1" si="156"/>
        <v>0.24962989329439011</v>
      </c>
      <c r="H1113" s="27">
        <v>108.290001</v>
      </c>
      <c r="I1113" s="19">
        <f t="shared" si="157"/>
        <v>-1.527689355936257E-2</v>
      </c>
      <c r="J1113" s="19">
        <f t="shared" ca="1" si="158"/>
        <v>8.0809757924712872E-3</v>
      </c>
      <c r="K1113" s="19">
        <f t="shared" ca="1" si="159"/>
        <v>84.164678652751476</v>
      </c>
      <c r="L1113" s="19">
        <f t="shared" ca="1" si="160"/>
        <v>-0.67468065275147637</v>
      </c>
      <c r="M1113" s="19">
        <f t="shared" ca="1" si="161"/>
        <v>-0.42505075945708626</v>
      </c>
      <c r="AA1113" s="37">
        <v>1093</v>
      </c>
      <c r="AB1113" s="37">
        <v>1.8624262956867526</v>
      </c>
      <c r="AC1113" s="37">
        <v>2.8434096423143895</v>
      </c>
      <c r="AD1113" s="37">
        <v>3.3170467363067995</v>
      </c>
    </row>
    <row r="1114" spans="2:30" x14ac:dyDescent="0.3">
      <c r="B1114" s="28">
        <v>44251</v>
      </c>
      <c r="C1114" s="25">
        <v>38.860000999999997</v>
      </c>
      <c r="D1114" s="18">
        <f t="shared" si="153"/>
        <v>2.1824928262554E-2</v>
      </c>
      <c r="E1114" s="32">
        <f t="shared" ca="1" si="154"/>
        <v>-1.2716057279322793E-2</v>
      </c>
      <c r="F1114" s="18">
        <f t="shared" ca="1" si="155"/>
        <v>57.568527687326629</v>
      </c>
      <c r="G1114" s="19">
        <f t="shared" ca="1" si="156"/>
        <v>0.7414733126733708</v>
      </c>
      <c r="H1114" s="27">
        <v>104.279999</v>
      </c>
      <c r="I1114" s="19">
        <f t="shared" si="157"/>
        <v>-3.703021482103408E-2</v>
      </c>
      <c r="J1114" s="19">
        <f t="shared" ca="1" si="158"/>
        <v>1.6615580532891923E-2</v>
      </c>
      <c r="K1114" s="19">
        <f t="shared" ca="1" si="159"/>
        <v>84.877232785459995</v>
      </c>
      <c r="L1114" s="19">
        <f t="shared" ca="1" si="160"/>
        <v>-1.3872347854599951</v>
      </c>
      <c r="M1114" s="19">
        <f t="shared" ca="1" si="161"/>
        <v>-0.64576147278662432</v>
      </c>
      <c r="AA1114" s="37">
        <v>1094</v>
      </c>
      <c r="AB1114" s="37">
        <v>1.7922469292343157</v>
      </c>
      <c r="AC1114" s="37">
        <v>3.0522053201844925</v>
      </c>
      <c r="AD1114" s="37">
        <v>3.4278561484362786</v>
      </c>
    </row>
    <row r="1115" spans="2:30" x14ac:dyDescent="0.3">
      <c r="B1115" s="28">
        <v>44252</v>
      </c>
      <c r="C1115" s="25">
        <v>38.130001</v>
      </c>
      <c r="D1115" s="18">
        <f t="shared" si="153"/>
        <v>-1.8785382944277229E-2</v>
      </c>
      <c r="E1115" s="32">
        <f t="shared" ca="1" si="154"/>
        <v>-2.5043811681647116E-2</v>
      </c>
      <c r="F1115" s="18">
        <f t="shared" ca="1" si="155"/>
        <v>56.849696315799342</v>
      </c>
      <c r="G1115" s="19">
        <f t="shared" ca="1" si="156"/>
        <v>1.4603046842006577</v>
      </c>
      <c r="H1115" s="27">
        <v>99.75</v>
      </c>
      <c r="I1115" s="19">
        <f t="shared" si="157"/>
        <v>-4.3440727305722349E-2</v>
      </c>
      <c r="J1115" s="19">
        <f t="shared" ca="1" si="158"/>
        <v>6.3768833310115791E-3</v>
      </c>
      <c r="K1115" s="19">
        <f t="shared" ca="1" si="159"/>
        <v>84.022403976552397</v>
      </c>
      <c r="L1115" s="19">
        <f t="shared" ca="1" si="160"/>
        <v>-0.53240597655239696</v>
      </c>
      <c r="M1115" s="19">
        <f t="shared" ca="1" si="161"/>
        <v>0.92789870764826077</v>
      </c>
      <c r="AA1115" s="37">
        <v>1095</v>
      </c>
      <c r="AB1115" s="37">
        <v>1.8870077928053863</v>
      </c>
      <c r="AC1115" s="37">
        <v>2.9394937436618713</v>
      </c>
      <c r="AD1115" s="37">
        <v>3.3084094320459854</v>
      </c>
    </row>
    <row r="1116" spans="2:30" x14ac:dyDescent="0.3">
      <c r="B1116" s="28">
        <v>44253</v>
      </c>
      <c r="C1116" s="25">
        <v>39.299999</v>
      </c>
      <c r="D1116" s="18">
        <f t="shared" si="153"/>
        <v>3.0684447136521076E-2</v>
      </c>
      <c r="E1116" s="32">
        <f t="shared" ca="1" si="154"/>
        <v>2.0921207905478603E-2</v>
      </c>
      <c r="F1116" s="18">
        <f t="shared" ca="1" si="155"/>
        <v>59.529916653889664</v>
      </c>
      <c r="G1116" s="19">
        <f t="shared" ca="1" si="156"/>
        <v>-1.2199156538896645</v>
      </c>
      <c r="H1116" s="27">
        <v>99.330001999999993</v>
      </c>
      <c r="I1116" s="19">
        <f t="shared" si="157"/>
        <v>-4.2105062656642156E-3</v>
      </c>
      <c r="J1116" s="19">
        <f t="shared" ca="1" si="158"/>
        <v>-8.2210142232075172E-3</v>
      </c>
      <c r="K1116" s="19">
        <f t="shared" ca="1" si="159"/>
        <v>82.803625538946434</v>
      </c>
      <c r="L1116" s="19">
        <f t="shared" ca="1" si="160"/>
        <v>0.68637246105356553</v>
      </c>
      <c r="M1116" s="19">
        <f t="shared" ca="1" si="161"/>
        <v>-0.53354319283609897</v>
      </c>
      <c r="AA1116" s="37">
        <v>1096</v>
      </c>
      <c r="AB1116" s="37">
        <v>1.9341873501825102</v>
      </c>
      <c r="AC1116" s="37">
        <v>2.8538318197953072</v>
      </c>
      <c r="AD1116" s="37">
        <v>3.2624903729304999</v>
      </c>
    </row>
    <row r="1117" spans="2:30" x14ac:dyDescent="0.3">
      <c r="B1117" s="28">
        <v>44256</v>
      </c>
      <c r="C1117" s="25">
        <v>39.700001</v>
      </c>
      <c r="D1117" s="18">
        <f t="shared" si="153"/>
        <v>1.0178168197917836E-2</v>
      </c>
      <c r="E1117" s="32">
        <f t="shared" ca="1" si="154"/>
        <v>2.5675786481840466E-2</v>
      </c>
      <c r="F1117" s="18">
        <f t="shared" ca="1" si="155"/>
        <v>59.807156135431903</v>
      </c>
      <c r="G1117" s="19">
        <f t="shared" ca="1" si="156"/>
        <v>-1.4971551354319033</v>
      </c>
      <c r="H1117" s="27">
        <v>99.389999000000003</v>
      </c>
      <c r="I1117" s="19">
        <f t="shared" si="157"/>
        <v>6.0401690115741147E-4</v>
      </c>
      <c r="J1117" s="19">
        <f t="shared" ca="1" si="158"/>
        <v>-3.8047007609346539E-2</v>
      </c>
      <c r="K1117" s="19">
        <f t="shared" ca="1" si="159"/>
        <v>80.313453410789677</v>
      </c>
      <c r="L1117" s="19">
        <f t="shared" ca="1" si="160"/>
        <v>3.176544589210323</v>
      </c>
      <c r="M1117" s="19">
        <f t="shared" ca="1" si="161"/>
        <v>1.6793894537784197</v>
      </c>
      <c r="AA1117" s="37">
        <v>1097</v>
      </c>
      <c r="AB1117" s="37">
        <v>1.7811325965979246</v>
      </c>
      <c r="AC1117" s="37">
        <v>2.9960621296043435</v>
      </c>
      <c r="AD1117" s="37">
        <v>3.4706919972910324</v>
      </c>
    </row>
    <row r="1118" spans="2:30" x14ac:dyDescent="0.3">
      <c r="B1118" s="28">
        <v>44257</v>
      </c>
      <c r="C1118" s="25">
        <v>40.590000000000003</v>
      </c>
      <c r="D1118" s="18">
        <f t="shared" si="153"/>
        <v>2.2418110266546387E-2</v>
      </c>
      <c r="E1118" s="32">
        <f t="shared" ca="1" si="154"/>
        <v>-1.24368291312217E-2</v>
      </c>
      <c r="F1118" s="18">
        <f t="shared" ca="1" si="155"/>
        <v>57.584809480921635</v>
      </c>
      <c r="G1118" s="19">
        <f t="shared" ca="1" si="156"/>
        <v>0.72519151907836488</v>
      </c>
      <c r="H1118" s="27">
        <v>105.769997</v>
      </c>
      <c r="I1118" s="19">
        <f t="shared" si="157"/>
        <v>6.4191549091372924E-2</v>
      </c>
      <c r="J1118" s="19">
        <f t="shared" ca="1" si="158"/>
        <v>-2.3480281554606148E-2</v>
      </c>
      <c r="K1118" s="19">
        <f t="shared" ca="1" si="159"/>
        <v>81.52962933996649</v>
      </c>
      <c r="L1118" s="19">
        <f t="shared" ca="1" si="160"/>
        <v>1.9603686600335095</v>
      </c>
      <c r="M1118" s="19">
        <f t="shared" ca="1" si="161"/>
        <v>2.6855601791118744</v>
      </c>
      <c r="AA1118" s="37">
        <v>1098</v>
      </c>
      <c r="AB1118" s="37">
        <v>1.7469445854336589</v>
      </c>
      <c r="AC1118" s="37">
        <v>2.9008902365322751</v>
      </c>
      <c r="AD1118" s="37">
        <v>3.2022340690089361</v>
      </c>
    </row>
    <row r="1119" spans="2:30" x14ac:dyDescent="0.3">
      <c r="B1119" s="28">
        <v>44258</v>
      </c>
      <c r="C1119" s="25">
        <v>40.790000999999997</v>
      </c>
      <c r="D1119" s="18">
        <f t="shared" si="153"/>
        <v>4.927346637102481E-3</v>
      </c>
      <c r="E1119" s="32">
        <f t="shared" ca="1" si="154"/>
        <v>-1.7756809930165221E-2</v>
      </c>
      <c r="F1119" s="18">
        <f t="shared" ca="1" si="155"/>
        <v>57.274601395215257</v>
      </c>
      <c r="G1119" s="19">
        <f t="shared" ca="1" si="156"/>
        <v>1.0353996047847431</v>
      </c>
      <c r="H1119" s="27">
        <v>103.959999</v>
      </c>
      <c r="I1119" s="19">
        <f t="shared" si="157"/>
        <v>-1.7112584393852326E-2</v>
      </c>
      <c r="J1119" s="19">
        <f t="shared" ca="1" si="158"/>
        <v>4.1673203438260479E-3</v>
      </c>
      <c r="K1119" s="19">
        <f t="shared" ca="1" si="159"/>
        <v>83.837927567171391</v>
      </c>
      <c r="L1119" s="19">
        <f t="shared" ca="1" si="160"/>
        <v>-0.34792956717139134</v>
      </c>
      <c r="M1119" s="19">
        <f t="shared" ca="1" si="161"/>
        <v>0.68747003761335179</v>
      </c>
      <c r="AA1119" s="37">
        <v>1099</v>
      </c>
      <c r="AB1119" s="37">
        <v>1.7449158183039533</v>
      </c>
      <c r="AC1119" s="37">
        <v>2.8276041395344556</v>
      </c>
      <c r="AD1119" s="37">
        <v>3.2932118227121721</v>
      </c>
    </row>
    <row r="1120" spans="2:30" x14ac:dyDescent="0.3">
      <c r="B1120" s="28">
        <v>44259</v>
      </c>
      <c r="C1120" s="25">
        <v>40.619999</v>
      </c>
      <c r="D1120" s="18">
        <f t="shared" si="153"/>
        <v>-4.1677370883123066E-3</v>
      </c>
      <c r="E1120" s="32">
        <f t="shared" ca="1" si="154"/>
        <v>-7.5725058520417559E-3</v>
      </c>
      <c r="F1120" s="18">
        <f t="shared" ca="1" si="155"/>
        <v>57.868448176194939</v>
      </c>
      <c r="G1120" s="19">
        <f t="shared" ca="1" si="156"/>
        <v>0.44155282380506122</v>
      </c>
      <c r="H1120" s="27">
        <v>100.550003</v>
      </c>
      <c r="I1120" s="19">
        <f t="shared" si="157"/>
        <v>-3.2801039176616364E-2</v>
      </c>
      <c r="J1120" s="19">
        <f t="shared" ca="1" si="158"/>
        <v>7.4681607216913392E-3</v>
      </c>
      <c r="K1120" s="19">
        <f t="shared" ca="1" si="159"/>
        <v>84.113514723717685</v>
      </c>
      <c r="L1120" s="19">
        <f t="shared" ca="1" si="160"/>
        <v>-0.6235167237176853</v>
      </c>
      <c r="M1120" s="19">
        <f t="shared" ca="1" si="161"/>
        <v>-0.18196389991262407</v>
      </c>
      <c r="AA1120" s="37">
        <v>1100</v>
      </c>
      <c r="AB1120" s="37">
        <v>1.8725457475490102</v>
      </c>
      <c r="AC1120" s="37">
        <v>2.8509365298049687</v>
      </c>
      <c r="AD1120" s="37">
        <v>3.366946988819806</v>
      </c>
    </row>
    <row r="1121" spans="2:30" x14ac:dyDescent="0.3">
      <c r="B1121" s="28">
        <v>44260</v>
      </c>
      <c r="C1121" s="25">
        <v>41.48</v>
      </c>
      <c r="D1121" s="18">
        <f t="shared" si="153"/>
        <v>2.1171861673359382E-2</v>
      </c>
      <c r="E1121" s="32">
        <f t="shared" ca="1" si="154"/>
        <v>-3.4336250725471879E-3</v>
      </c>
      <c r="F1121" s="18">
        <f t="shared" ca="1" si="155"/>
        <v>58.109786318586146</v>
      </c>
      <c r="G1121" s="19">
        <f t="shared" ca="1" si="156"/>
        <v>0.20021468141385412</v>
      </c>
      <c r="H1121" s="27">
        <v>100.199997</v>
      </c>
      <c r="I1121" s="19">
        <f t="shared" si="157"/>
        <v>-3.480914863821627E-3</v>
      </c>
      <c r="J1121" s="19">
        <f t="shared" ca="1" si="158"/>
        <v>1.2517883683527917E-2</v>
      </c>
      <c r="K1121" s="19">
        <f t="shared" ca="1" si="159"/>
        <v>84.535116083701993</v>
      </c>
      <c r="L1121" s="19">
        <f t="shared" ca="1" si="160"/>
        <v>-1.0451180837019933</v>
      </c>
      <c r="M1121" s="19">
        <f t="shared" ca="1" si="161"/>
        <v>-0.8449034022881392</v>
      </c>
      <c r="AA1121" s="37">
        <v>1101</v>
      </c>
      <c r="AB1121" s="37">
        <v>1.9071586074508198</v>
      </c>
      <c r="AC1121" s="37">
        <v>2.7395410660272828</v>
      </c>
      <c r="AD1121" s="37">
        <v>3.6073996831318178</v>
      </c>
    </row>
    <row r="1122" spans="2:30" x14ac:dyDescent="0.3">
      <c r="B1122" s="28">
        <v>44263</v>
      </c>
      <c r="C1122" s="25">
        <v>41.810001</v>
      </c>
      <c r="D1122" s="18">
        <f t="shared" si="153"/>
        <v>7.9556653809065292E-3</v>
      </c>
      <c r="E1122" s="32">
        <f t="shared" ca="1" si="154"/>
        <v>2.4741166552960214E-2</v>
      </c>
      <c r="F1122" s="18">
        <f t="shared" ca="1" si="155"/>
        <v>59.752658446444279</v>
      </c>
      <c r="G1122" s="19">
        <f t="shared" ca="1" si="156"/>
        <v>-1.4426574464442794</v>
      </c>
      <c r="H1122" s="27">
        <v>104.970001</v>
      </c>
      <c r="I1122" s="19">
        <f t="shared" si="157"/>
        <v>4.7604831764615829E-2</v>
      </c>
      <c r="J1122" s="19">
        <f t="shared" ca="1" si="158"/>
        <v>1.1213850694063639E-2</v>
      </c>
      <c r="K1122" s="19">
        <f t="shared" ca="1" si="159"/>
        <v>84.426242372019658</v>
      </c>
      <c r="L1122" s="19">
        <f t="shared" ca="1" si="160"/>
        <v>-0.93624437201965804</v>
      </c>
      <c r="M1122" s="19">
        <f t="shared" ca="1" si="161"/>
        <v>-2.3789018184639374</v>
      </c>
      <c r="AA1122" s="37">
        <v>1102</v>
      </c>
      <c r="AB1122" s="37">
        <v>1.8057199175259766</v>
      </c>
      <c r="AC1122" s="37">
        <v>2.7769642133456505</v>
      </c>
      <c r="AD1122" s="37">
        <v>3.3070118369700259</v>
      </c>
    </row>
    <row r="1123" spans="2:30" x14ac:dyDescent="0.3">
      <c r="B1123" s="28">
        <v>44264</v>
      </c>
      <c r="C1123" s="25">
        <v>42.369999</v>
      </c>
      <c r="D1123" s="18">
        <f t="shared" si="153"/>
        <v>1.3393876742552546E-2</v>
      </c>
      <c r="E1123" s="32">
        <f t="shared" ca="1" si="154"/>
        <v>-1.0905788998492798E-2</v>
      </c>
      <c r="F1123" s="18">
        <f t="shared" ca="1" si="155"/>
        <v>57.674084432592096</v>
      </c>
      <c r="G1123" s="19">
        <f t="shared" ca="1" si="156"/>
        <v>0.6359165674079037</v>
      </c>
      <c r="H1123" s="27">
        <v>105.599998</v>
      </c>
      <c r="I1123" s="19">
        <f t="shared" si="157"/>
        <v>6.0016861388807463E-3</v>
      </c>
      <c r="J1123" s="19">
        <f t="shared" ca="1" si="158"/>
        <v>-1.1597230153510728E-2</v>
      </c>
      <c r="K1123" s="19">
        <f t="shared" ca="1" si="159"/>
        <v>82.521745277677852</v>
      </c>
      <c r="L1123" s="19">
        <f t="shared" ca="1" si="160"/>
        <v>0.96825272232214843</v>
      </c>
      <c r="M1123" s="19">
        <f t="shared" ca="1" si="161"/>
        <v>1.6041692897300521</v>
      </c>
      <c r="AA1123" s="37">
        <v>1103</v>
      </c>
      <c r="AB1123" s="37">
        <v>1.7958578128838771</v>
      </c>
      <c r="AC1123" s="37">
        <v>2.7536256333096754</v>
      </c>
      <c r="AD1123" s="37">
        <v>3.4043583370154016</v>
      </c>
    </row>
    <row r="1124" spans="2:30" x14ac:dyDescent="0.3">
      <c r="B1124" s="28">
        <v>44265</v>
      </c>
      <c r="C1124" s="25">
        <v>42.75</v>
      </c>
      <c r="D1124" s="18">
        <f t="shared" si="153"/>
        <v>8.9686336787500043E-3</v>
      </c>
      <c r="E1124" s="32">
        <f t="shared" ca="1" si="154"/>
        <v>1.6084697919362938E-2</v>
      </c>
      <c r="F1124" s="18">
        <f t="shared" ca="1" si="155"/>
        <v>59.247899751762752</v>
      </c>
      <c r="G1124" s="19">
        <f t="shared" ca="1" si="156"/>
        <v>-0.93789875176275217</v>
      </c>
      <c r="H1124" s="27">
        <v>106.019997</v>
      </c>
      <c r="I1124" s="19">
        <f t="shared" si="157"/>
        <v>3.9772633329027141E-3</v>
      </c>
      <c r="J1124" s="19">
        <f t="shared" ca="1" si="158"/>
        <v>-1.5303315307550264E-2</v>
      </c>
      <c r="K1124" s="19">
        <f t="shared" ca="1" si="159"/>
        <v>82.21232423557926</v>
      </c>
      <c r="L1124" s="19">
        <f t="shared" ca="1" si="160"/>
        <v>1.2776737644207401</v>
      </c>
      <c r="M1124" s="19">
        <f t="shared" ca="1" si="161"/>
        <v>0.33977501265798793</v>
      </c>
      <c r="AA1124" s="37">
        <v>1104</v>
      </c>
      <c r="AB1124" s="37">
        <v>1.7602863538433626</v>
      </c>
      <c r="AC1124" s="37">
        <v>2.842872903253947</v>
      </c>
      <c r="AD1124" s="37">
        <v>3.4506719000831469</v>
      </c>
    </row>
    <row r="1125" spans="2:30" x14ac:dyDescent="0.3">
      <c r="B1125" s="28">
        <v>44266</v>
      </c>
      <c r="C1125" s="25">
        <v>43.209999000000003</v>
      </c>
      <c r="D1125" s="18">
        <f t="shared" si="153"/>
        <v>1.0760210526315817E-2</v>
      </c>
      <c r="E1125" s="32">
        <f t="shared" ca="1" si="154"/>
        <v>-1.26736811333089E-2</v>
      </c>
      <c r="F1125" s="18">
        <f t="shared" ca="1" si="155"/>
        <v>57.570998640443079</v>
      </c>
      <c r="G1125" s="19">
        <f t="shared" ca="1" si="156"/>
        <v>0.7390023595569204</v>
      </c>
      <c r="H1125" s="27">
        <v>106.66999800000001</v>
      </c>
      <c r="I1125" s="19">
        <f t="shared" si="157"/>
        <v>6.130928300252636E-3</v>
      </c>
      <c r="J1125" s="19">
        <f t="shared" ca="1" si="158"/>
        <v>-2.226454725028747E-2</v>
      </c>
      <c r="K1125" s="19">
        <f t="shared" ca="1" si="159"/>
        <v>81.631130994602586</v>
      </c>
      <c r="L1125" s="19">
        <f t="shared" ca="1" si="160"/>
        <v>1.8588670053974141</v>
      </c>
      <c r="M1125" s="19">
        <f t="shared" ca="1" si="161"/>
        <v>2.5978693649543345</v>
      </c>
      <c r="AA1125" s="37">
        <v>1105</v>
      </c>
      <c r="AB1125" s="37">
        <v>1.7869329166438213</v>
      </c>
      <c r="AC1125" s="37">
        <v>2.7961081694958465</v>
      </c>
      <c r="AD1125" s="37">
        <v>3.3760691957654183</v>
      </c>
    </row>
    <row r="1126" spans="2:30" x14ac:dyDescent="0.3">
      <c r="B1126" s="28">
        <v>44267</v>
      </c>
      <c r="C1126" s="25">
        <v>43.029998999999997</v>
      </c>
      <c r="D1126" s="18">
        <f t="shared" si="153"/>
        <v>-4.1657024801136089E-3</v>
      </c>
      <c r="E1126" s="32">
        <f t="shared" ca="1" si="154"/>
        <v>-4.584681317426541E-3</v>
      </c>
      <c r="F1126" s="18">
        <f t="shared" ca="1" si="155"/>
        <v>58.042668227796177</v>
      </c>
      <c r="G1126" s="19">
        <f t="shared" ca="1" si="156"/>
        <v>0.26733277220382234</v>
      </c>
      <c r="H1126" s="27">
        <v>107.75</v>
      </c>
      <c r="I1126" s="19">
        <f t="shared" si="157"/>
        <v>1.0124702542883668E-2</v>
      </c>
      <c r="J1126" s="19">
        <f t="shared" ca="1" si="158"/>
        <v>7.8216546976300032E-3</v>
      </c>
      <c r="K1126" s="19">
        <f t="shared" ca="1" si="159"/>
        <v>84.143027935061809</v>
      </c>
      <c r="L1126" s="19">
        <f t="shared" ca="1" si="160"/>
        <v>-0.6530299350618094</v>
      </c>
      <c r="M1126" s="19">
        <f t="shared" ca="1" si="161"/>
        <v>-0.38569716285798705</v>
      </c>
      <c r="AA1126" s="37">
        <v>1106</v>
      </c>
      <c r="AB1126" s="37">
        <v>1.7362347872056174</v>
      </c>
      <c r="AC1126" s="37">
        <v>2.9252776018361639</v>
      </c>
      <c r="AD1126" s="37">
        <v>3.4543503336167922</v>
      </c>
    </row>
    <row r="1127" spans="2:30" x14ac:dyDescent="0.3">
      <c r="B1127" s="28">
        <v>44271</v>
      </c>
      <c r="C1127" s="25">
        <v>43.91</v>
      </c>
      <c r="D1127" s="18">
        <f t="shared" si="153"/>
        <v>2.0450871960280503E-2</v>
      </c>
      <c r="E1127" s="32">
        <f t="shared" ca="1" si="154"/>
        <v>-2.734093511332707E-2</v>
      </c>
      <c r="F1127" s="18">
        <f t="shared" ca="1" si="155"/>
        <v>56.715751046200964</v>
      </c>
      <c r="G1127" s="19">
        <f t="shared" ca="1" si="156"/>
        <v>1.5942499537990358</v>
      </c>
      <c r="H1127" s="27">
        <v>104.489998</v>
      </c>
      <c r="I1127" s="19">
        <f t="shared" si="157"/>
        <v>-3.0255238979118304E-2</v>
      </c>
      <c r="J1127" s="19">
        <f t="shared" ca="1" si="158"/>
        <v>2.3137910944404587E-2</v>
      </c>
      <c r="K1127" s="19">
        <f t="shared" ca="1" si="159"/>
        <v>85.421782138472508</v>
      </c>
      <c r="L1127" s="19">
        <f t="shared" ca="1" si="160"/>
        <v>-1.9317841384725085</v>
      </c>
      <c r="M1127" s="19">
        <f t="shared" ca="1" si="161"/>
        <v>-0.33753418467347274</v>
      </c>
      <c r="AA1127" s="37">
        <v>1107</v>
      </c>
      <c r="AB1127" s="37">
        <v>1.8787369185450729</v>
      </c>
      <c r="AC1127" s="37">
        <v>2.8161182835500838</v>
      </c>
      <c r="AD1127" s="37">
        <v>3.3136046341556038</v>
      </c>
    </row>
    <row r="1128" spans="2:30" x14ac:dyDescent="0.3">
      <c r="B1128" s="28">
        <v>44272</v>
      </c>
      <c r="C1128" s="25">
        <v>43.619999</v>
      </c>
      <c r="D1128" s="18">
        <f t="shared" si="153"/>
        <v>-6.6044409018446437E-3</v>
      </c>
      <c r="E1128" s="32">
        <f t="shared" ca="1" si="154"/>
        <v>-4.2944541087255314E-4</v>
      </c>
      <c r="F1128" s="18">
        <f t="shared" ca="1" si="155"/>
        <v>58.284960037662579</v>
      </c>
      <c r="G1128" s="19">
        <f t="shared" ca="1" si="156"/>
        <v>2.5040962337421035E-2</v>
      </c>
      <c r="H1128" s="27">
        <v>104.260002</v>
      </c>
      <c r="I1128" s="19">
        <f t="shared" si="157"/>
        <v>-2.2011293368002782E-3</v>
      </c>
      <c r="J1128" s="19">
        <f t="shared" ca="1" si="158"/>
        <v>7.3515225688601613E-3</v>
      </c>
      <c r="K1128" s="19">
        <f t="shared" ca="1" si="159"/>
        <v>84.103776604571081</v>
      </c>
      <c r="L1128" s="19">
        <f t="shared" ca="1" si="160"/>
        <v>-0.61377860457108113</v>
      </c>
      <c r="M1128" s="19">
        <f t="shared" ca="1" si="161"/>
        <v>-0.5887376422336601</v>
      </c>
      <c r="AA1128" s="37">
        <v>1108</v>
      </c>
      <c r="AB1128" s="37">
        <v>1.8435358216540938</v>
      </c>
      <c r="AC1128" s="37">
        <v>2.6625122675483195</v>
      </c>
      <c r="AD1128" s="37">
        <v>3.3221830508744388</v>
      </c>
    </row>
    <row r="1129" spans="2:30" x14ac:dyDescent="0.3">
      <c r="B1129" s="28">
        <v>44273</v>
      </c>
      <c r="C1129" s="25">
        <v>43.580002</v>
      </c>
      <c r="D1129" s="18">
        <f t="shared" si="153"/>
        <v>-9.1694179085144434E-4</v>
      </c>
      <c r="E1129" s="32">
        <f t="shared" ca="1" si="154"/>
        <v>-1.8449617726553194E-2</v>
      </c>
      <c r="F1129" s="18">
        <f t="shared" ca="1" si="155"/>
        <v>57.23420377191507</v>
      </c>
      <c r="G1129" s="19">
        <f t="shared" ca="1" si="156"/>
        <v>1.0757972280849302</v>
      </c>
      <c r="H1129" s="27">
        <v>103.739998</v>
      </c>
      <c r="I1129" s="19">
        <f t="shared" si="157"/>
        <v>-4.9875694420186134E-3</v>
      </c>
      <c r="J1129" s="19">
        <f t="shared" ca="1" si="158"/>
        <v>3.4034667555010632E-2</v>
      </c>
      <c r="K1129" s="19">
        <f t="shared" ca="1" si="159"/>
        <v>86.331552326098503</v>
      </c>
      <c r="L1129" s="19">
        <f t="shared" ca="1" si="160"/>
        <v>-2.8415543260985032</v>
      </c>
      <c r="M1129" s="19">
        <f t="shared" ca="1" si="161"/>
        <v>-1.7657570980135731</v>
      </c>
      <c r="AA1129" s="37">
        <v>1109</v>
      </c>
      <c r="AB1129" s="37">
        <v>1.7843427648401879</v>
      </c>
      <c r="AC1129" s="37">
        <v>2.767831064009536</v>
      </c>
      <c r="AD1129" s="37">
        <v>3.3721378102702557</v>
      </c>
    </row>
    <row r="1130" spans="2:30" x14ac:dyDescent="0.3">
      <c r="B1130" s="28">
        <v>44274</v>
      </c>
      <c r="C1130" s="25">
        <v>42.919998</v>
      </c>
      <c r="D1130" s="18">
        <f t="shared" si="153"/>
        <v>-1.5144652815757165E-2</v>
      </c>
      <c r="E1130" s="32">
        <f t="shared" ca="1" si="154"/>
        <v>1.231611052832288E-2</v>
      </c>
      <c r="F1130" s="18">
        <f t="shared" ca="1" si="155"/>
        <v>59.028153417222619</v>
      </c>
      <c r="G1130" s="19">
        <f t="shared" ca="1" si="156"/>
        <v>-0.71815241722261902</v>
      </c>
      <c r="H1130" s="27">
        <v>102.129997</v>
      </c>
      <c r="I1130" s="19">
        <f t="shared" si="157"/>
        <v>-1.5519578089831843E-2</v>
      </c>
      <c r="J1130" s="19">
        <f t="shared" ca="1" si="158"/>
        <v>1.8714425826849616E-2</v>
      </c>
      <c r="K1130" s="19">
        <f t="shared" ca="1" si="159"/>
        <v>85.052465374854833</v>
      </c>
      <c r="L1130" s="19">
        <f t="shared" ca="1" si="160"/>
        <v>-1.5624673748548332</v>
      </c>
      <c r="M1130" s="19">
        <f t="shared" ca="1" si="161"/>
        <v>-2.2806197920774522</v>
      </c>
      <c r="AA1130" s="37">
        <v>1110</v>
      </c>
      <c r="AB1130" s="37">
        <v>1.8040095440794615</v>
      </c>
      <c r="AC1130" s="37">
        <v>2.8564675555108816</v>
      </c>
      <c r="AD1130" s="37">
        <v>3.2845142328217523</v>
      </c>
    </row>
    <row r="1131" spans="2:30" x14ac:dyDescent="0.3">
      <c r="B1131" s="28">
        <v>44277</v>
      </c>
      <c r="C1131" s="25">
        <v>42.130001</v>
      </c>
      <c r="D1131" s="18">
        <f t="shared" si="153"/>
        <v>-1.8406268332072151E-2</v>
      </c>
      <c r="E1131" s="32">
        <f t="shared" ca="1" si="154"/>
        <v>-2.0424097464023052E-3</v>
      </c>
      <c r="F1131" s="18">
        <f t="shared" ca="1" si="155"/>
        <v>58.190908085644871</v>
      </c>
      <c r="G1131" s="19">
        <f t="shared" ca="1" si="156"/>
        <v>0.1190929143551287</v>
      </c>
      <c r="H1131" s="27">
        <v>101.80999799999999</v>
      </c>
      <c r="I1131" s="19">
        <f t="shared" si="157"/>
        <v>-3.1332518300182244E-3</v>
      </c>
      <c r="J1131" s="19">
        <f t="shared" ca="1" si="158"/>
        <v>-3.3770077467893938E-3</v>
      </c>
      <c r="K1131" s="19">
        <f t="shared" ca="1" si="159"/>
        <v>83.208051629974563</v>
      </c>
      <c r="L1131" s="19">
        <f t="shared" ca="1" si="160"/>
        <v>0.28194637002543743</v>
      </c>
      <c r="M1131" s="19">
        <f t="shared" ca="1" si="161"/>
        <v>0.40103928438056613</v>
      </c>
      <c r="AA1131" s="37">
        <v>1111</v>
      </c>
      <c r="AB1131" s="37">
        <v>1.8385439389761129</v>
      </c>
      <c r="AC1131" s="37">
        <v>2.7545760556639918</v>
      </c>
      <c r="AD1131" s="37">
        <v>3.4822803203180852</v>
      </c>
    </row>
    <row r="1132" spans="2:30" x14ac:dyDescent="0.3">
      <c r="B1132" s="28">
        <v>44278</v>
      </c>
      <c r="C1132" s="25">
        <v>42.529998999999997</v>
      </c>
      <c r="D1132" s="18">
        <f t="shared" si="153"/>
        <v>9.494374329589883E-3</v>
      </c>
      <c r="E1132" s="32">
        <f t="shared" ca="1" si="154"/>
        <v>-3.0471082079435705E-2</v>
      </c>
      <c r="F1132" s="18">
        <f t="shared" ca="1" si="155"/>
        <v>56.533232173477018</v>
      </c>
      <c r="G1132" s="19">
        <f t="shared" ca="1" si="156"/>
        <v>1.7767688265229822</v>
      </c>
      <c r="H1132" s="27">
        <v>101.699997</v>
      </c>
      <c r="I1132" s="19">
        <f t="shared" si="157"/>
        <v>-1.0804538076898407E-3</v>
      </c>
      <c r="J1132" s="19">
        <f t="shared" ca="1" si="158"/>
        <v>5.092722186985487E-2</v>
      </c>
      <c r="K1132" s="19">
        <f t="shared" ca="1" si="159"/>
        <v>87.741911652059741</v>
      </c>
      <c r="L1132" s="19">
        <f t="shared" ca="1" si="160"/>
        <v>-4.2519136520597414</v>
      </c>
      <c r="M1132" s="19">
        <f t="shared" ca="1" si="161"/>
        <v>-2.4751448255367592</v>
      </c>
      <c r="AA1132" s="37">
        <v>1112</v>
      </c>
      <c r="AB1132" s="37">
        <v>1.832976860151543</v>
      </c>
      <c r="AC1132" s="37">
        <v>2.9476002543566611</v>
      </c>
      <c r="AD1132" s="37">
        <v>3.2868557314679987</v>
      </c>
    </row>
    <row r="1133" spans="2:30" x14ac:dyDescent="0.3">
      <c r="B1133" s="28">
        <v>44279</v>
      </c>
      <c r="C1133" s="25">
        <v>43.259998000000003</v>
      </c>
      <c r="D1133" s="18">
        <f t="shared" si="153"/>
        <v>1.7164331464009752E-2</v>
      </c>
      <c r="E1133" s="32">
        <f t="shared" ca="1" si="154"/>
        <v>-1.2614430633855648E-2</v>
      </c>
      <c r="F1133" s="18">
        <f t="shared" ca="1" si="155"/>
        <v>57.574453537125443</v>
      </c>
      <c r="G1133" s="19">
        <f t="shared" ca="1" si="156"/>
        <v>0.73554746287455686</v>
      </c>
      <c r="H1133" s="27">
        <v>100.019997</v>
      </c>
      <c r="I1133" s="19">
        <f t="shared" si="157"/>
        <v>-1.6519174528589198E-2</v>
      </c>
      <c r="J1133" s="19">
        <f t="shared" ca="1" si="158"/>
        <v>-9.3710170208810423E-3</v>
      </c>
      <c r="K1133" s="19">
        <f t="shared" ca="1" si="159"/>
        <v>82.70761180766867</v>
      </c>
      <c r="L1133" s="19">
        <f t="shared" ca="1" si="160"/>
        <v>0.78238619233133022</v>
      </c>
      <c r="M1133" s="19">
        <f t="shared" ca="1" si="161"/>
        <v>1.5179336552058871</v>
      </c>
      <c r="AA1133" s="37">
        <v>1113</v>
      </c>
      <c r="AB1133" s="37">
        <v>1.7474306386425529</v>
      </c>
      <c r="AC1133" s="37">
        <v>2.8500542452932556</v>
      </c>
      <c r="AD1133" s="37">
        <v>3.2130697559881241</v>
      </c>
    </row>
    <row r="1134" spans="2:30" x14ac:dyDescent="0.3">
      <c r="B1134" s="28">
        <v>44280</v>
      </c>
      <c r="C1134" s="25">
        <v>43.119999</v>
      </c>
      <c r="D1134" s="18">
        <f t="shared" si="153"/>
        <v>-3.2362229882674232E-3</v>
      </c>
      <c r="E1134" s="32">
        <f t="shared" ca="1" si="154"/>
        <v>1.5181270113020529E-2</v>
      </c>
      <c r="F1134" s="18">
        <f t="shared" ca="1" si="155"/>
        <v>59.195220875471499</v>
      </c>
      <c r="G1134" s="19">
        <f t="shared" ca="1" si="156"/>
        <v>-0.88521987547149905</v>
      </c>
      <c r="H1134" s="27">
        <v>100.58000199999999</v>
      </c>
      <c r="I1134" s="19">
        <f t="shared" si="157"/>
        <v>5.5989303818915204E-3</v>
      </c>
      <c r="J1134" s="19">
        <f t="shared" ca="1" si="158"/>
        <v>7.6581880761787515E-3</v>
      </c>
      <c r="K1134" s="19">
        <f t="shared" ca="1" si="159"/>
        <v>84.129380107163797</v>
      </c>
      <c r="L1134" s="19">
        <f t="shared" ca="1" si="160"/>
        <v>-0.63938210716379729</v>
      </c>
      <c r="M1134" s="19">
        <f t="shared" ca="1" si="161"/>
        <v>-1.5246019826352963</v>
      </c>
      <c r="AA1134" s="37">
        <v>1114</v>
      </c>
      <c r="AB1134" s="37">
        <v>1.6907768668780254</v>
      </c>
      <c r="AC1134" s="37">
        <v>2.8881537225976088</v>
      </c>
      <c r="AD1134" s="37">
        <v>3.2725420403910048</v>
      </c>
    </row>
    <row r="1135" spans="2:30" x14ac:dyDescent="0.3">
      <c r="B1135" s="28">
        <v>44281</v>
      </c>
      <c r="C1135" s="25">
        <v>42.709999000000003</v>
      </c>
      <c r="D1135" s="18">
        <f t="shared" si="153"/>
        <v>-9.5083490145719818E-3</v>
      </c>
      <c r="E1135" s="32">
        <f t="shared" ca="1" si="154"/>
        <v>-2.8362083155159156E-2</v>
      </c>
      <c r="F1135" s="18">
        <f t="shared" ca="1" si="155"/>
        <v>56.656207902860587</v>
      </c>
      <c r="G1135" s="19">
        <f t="shared" ca="1" si="156"/>
        <v>1.6537930971394132</v>
      </c>
      <c r="H1135" s="27">
        <v>102.400002</v>
      </c>
      <c r="I1135" s="19">
        <f t="shared" si="157"/>
        <v>1.8095048357624988E-2</v>
      </c>
      <c r="J1135" s="19">
        <f t="shared" ca="1" si="158"/>
        <v>1.0603999697163333E-2</v>
      </c>
      <c r="K1135" s="19">
        <f t="shared" ca="1" si="159"/>
        <v>84.375325913508178</v>
      </c>
      <c r="L1135" s="19">
        <f t="shared" ca="1" si="160"/>
        <v>-0.88532791350817774</v>
      </c>
      <c r="M1135" s="19">
        <f t="shared" ca="1" si="161"/>
        <v>0.7684651836312355</v>
      </c>
      <c r="AA1135" s="37">
        <v>1115</v>
      </c>
      <c r="AB1135" s="37">
        <v>1.81413315772237</v>
      </c>
      <c r="AC1135" s="37">
        <v>2.8664250595547709</v>
      </c>
      <c r="AD1135" s="37">
        <v>3.2186474956894706</v>
      </c>
    </row>
    <row r="1136" spans="2:30" x14ac:dyDescent="0.3">
      <c r="B1136" s="28">
        <v>44284</v>
      </c>
      <c r="C1136" s="25">
        <v>44.220001000000003</v>
      </c>
      <c r="D1136" s="18">
        <f t="shared" si="153"/>
        <v>3.5354765519896247E-2</v>
      </c>
      <c r="E1136" s="32">
        <f t="shared" ca="1" si="154"/>
        <v>2.0325899483075689E-2</v>
      </c>
      <c r="F1136" s="18">
        <f t="shared" ca="1" si="155"/>
        <v>59.495204219184046</v>
      </c>
      <c r="G1136" s="19">
        <f t="shared" ca="1" si="156"/>
        <v>-1.1852032191840465</v>
      </c>
      <c r="H1136" s="27">
        <v>103.839996</v>
      </c>
      <c r="I1136" s="19">
        <f t="shared" si="157"/>
        <v>1.4062441131592829E-2</v>
      </c>
      <c r="J1136" s="19">
        <f t="shared" ca="1" si="158"/>
        <v>-3.6108344164964154E-2</v>
      </c>
      <c r="K1136" s="19">
        <f t="shared" ca="1" si="159"/>
        <v>80.475312417883828</v>
      </c>
      <c r="L1136" s="19">
        <f t="shared" ca="1" si="160"/>
        <v>3.0146855821161722</v>
      </c>
      <c r="M1136" s="19">
        <f t="shared" ca="1" si="161"/>
        <v>1.8294823629321257</v>
      </c>
      <c r="AA1136" s="37">
        <v>1116</v>
      </c>
      <c r="AB1136" s="37">
        <v>1.8456441505240013</v>
      </c>
      <c r="AC1136" s="37">
        <v>2.8590899575815922</v>
      </c>
      <c r="AD1136" s="37">
        <v>3.3981862928917939</v>
      </c>
    </row>
    <row r="1137" spans="2:30" x14ac:dyDescent="0.3">
      <c r="B1137" s="28">
        <v>44285</v>
      </c>
      <c r="C1137" s="25">
        <v>42.889999000000003</v>
      </c>
      <c r="D1137" s="18">
        <f t="shared" si="153"/>
        <v>-3.0076932834081083E-2</v>
      </c>
      <c r="E1137" s="32">
        <f t="shared" ca="1" si="154"/>
        <v>-1.1361309400210092E-2</v>
      </c>
      <c r="F1137" s="18">
        <f t="shared" ca="1" si="155"/>
        <v>57.647523037512443</v>
      </c>
      <c r="G1137" s="19">
        <f t="shared" ca="1" si="156"/>
        <v>0.66247796248755719</v>
      </c>
      <c r="H1137" s="27">
        <v>103.989998</v>
      </c>
      <c r="I1137" s="19">
        <f t="shared" si="157"/>
        <v>1.4445493622707861E-3</v>
      </c>
      <c r="J1137" s="19">
        <f t="shared" ca="1" si="158"/>
        <v>-1.1883157453784171E-3</v>
      </c>
      <c r="K1137" s="19">
        <f t="shared" ca="1" si="159"/>
        <v>83.390785520794992</v>
      </c>
      <c r="L1137" s="19">
        <f t="shared" ca="1" si="160"/>
        <v>9.9212479205007753E-2</v>
      </c>
      <c r="M1137" s="19">
        <f t="shared" ca="1" si="161"/>
        <v>0.76169044169256495</v>
      </c>
      <c r="AA1137" s="37">
        <v>1117</v>
      </c>
      <c r="AB1137" s="37">
        <v>1.8086141852040341</v>
      </c>
      <c r="AC1137" s="37">
        <v>2.9750197453078568</v>
      </c>
      <c r="AD1137" s="37">
        <v>3.374348464785883</v>
      </c>
    </row>
    <row r="1138" spans="2:30" x14ac:dyDescent="0.3">
      <c r="B1138" s="28">
        <v>44286</v>
      </c>
      <c r="C1138" s="25">
        <v>42.900002000000001</v>
      </c>
      <c r="D1138" s="18">
        <f t="shared" si="153"/>
        <v>2.3322453329965853E-4</v>
      </c>
      <c r="E1138" s="32">
        <f t="shared" ca="1" si="154"/>
        <v>8.5846292261409964E-3</v>
      </c>
      <c r="F1138" s="18">
        <f t="shared" ca="1" si="155"/>
        <v>58.810570738760902</v>
      </c>
      <c r="G1138" s="19">
        <f t="shared" ca="1" si="156"/>
        <v>-0.50056973876090183</v>
      </c>
      <c r="H1138" s="27">
        <v>107.459999</v>
      </c>
      <c r="I1138" s="19">
        <f t="shared" si="157"/>
        <v>3.3368603392029961E-2</v>
      </c>
      <c r="J1138" s="19">
        <f t="shared" ca="1" si="158"/>
        <v>-4.3618574325470713E-2</v>
      </c>
      <c r="K1138" s="19">
        <f t="shared" ca="1" si="159"/>
        <v>79.848283316803602</v>
      </c>
      <c r="L1138" s="19">
        <f t="shared" ca="1" si="160"/>
        <v>3.6417146831963976</v>
      </c>
      <c r="M1138" s="19">
        <f t="shared" ca="1" si="161"/>
        <v>3.1411449444354957</v>
      </c>
      <c r="AA1138" s="37">
        <v>1118</v>
      </c>
      <c r="AB1138" s="37">
        <v>1.8074248373986619</v>
      </c>
      <c r="AC1138" s="37">
        <v>2.6677015116273726</v>
      </c>
      <c r="AD1138" s="37">
        <v>3.4511971787858169</v>
      </c>
    </row>
    <row r="1139" spans="2:30" x14ac:dyDescent="0.3">
      <c r="B1139" s="28">
        <v>44291</v>
      </c>
      <c r="C1139" s="25">
        <v>43.049999</v>
      </c>
      <c r="D1139" s="18">
        <f t="shared" si="153"/>
        <v>3.4964334034297551E-3</v>
      </c>
      <c r="E1139" s="32">
        <f t="shared" ca="1" si="154"/>
        <v>1.895896144738738E-2</v>
      </c>
      <c r="F1139" s="18">
        <f t="shared" ca="1" si="155"/>
        <v>59.415498060956111</v>
      </c>
      <c r="G1139" s="19">
        <f t="shared" ca="1" si="156"/>
        <v>-1.105497060956111</v>
      </c>
      <c r="H1139" s="27">
        <v>106.660004</v>
      </c>
      <c r="I1139" s="19">
        <f t="shared" si="157"/>
        <v>-7.4445841005451596E-3</v>
      </c>
      <c r="J1139" s="19">
        <f t="shared" ca="1" si="158"/>
        <v>-7.5385507431288334E-3</v>
      </c>
      <c r="K1139" s="19">
        <f t="shared" ca="1" si="159"/>
        <v>82.860604413533281</v>
      </c>
      <c r="L1139" s="19">
        <f t="shared" ca="1" si="160"/>
        <v>0.62939358646671906</v>
      </c>
      <c r="M1139" s="19">
        <f t="shared" ca="1" si="161"/>
        <v>-0.47610347448939194</v>
      </c>
      <c r="AA1139" s="37">
        <v>1119</v>
      </c>
      <c r="AB1139" s="37">
        <v>1.7542088972281522</v>
      </c>
      <c r="AC1139" s="37">
        <v>2.9595347236983787</v>
      </c>
      <c r="AD1139" s="37">
        <v>3.5216809666557336</v>
      </c>
    </row>
    <row r="1140" spans="2:30" x14ac:dyDescent="0.3">
      <c r="B1140" s="28">
        <v>44292</v>
      </c>
      <c r="C1140" s="25">
        <v>42.580002</v>
      </c>
      <c r="D1140" s="18">
        <f t="shared" si="153"/>
        <v>-1.0917468313994649E-2</v>
      </c>
      <c r="E1140" s="32">
        <f t="shared" ca="1" si="154"/>
        <v>-2.3144278011662058E-2</v>
      </c>
      <c r="F1140" s="18">
        <f t="shared" ca="1" si="155"/>
        <v>56.960458125995707</v>
      </c>
      <c r="G1140" s="19">
        <f t="shared" ca="1" si="156"/>
        <v>1.3495428740042925</v>
      </c>
      <c r="H1140" s="27">
        <v>105.68</v>
      </c>
      <c r="I1140" s="19">
        <f t="shared" si="157"/>
        <v>-9.1881114124090502E-3</v>
      </c>
      <c r="J1140" s="19">
        <f t="shared" ca="1" si="158"/>
        <v>-2.0361399609028125E-2</v>
      </c>
      <c r="K1140" s="19">
        <f t="shared" ca="1" si="159"/>
        <v>81.790024787365041</v>
      </c>
      <c r="L1140" s="19">
        <f t="shared" ca="1" si="160"/>
        <v>1.6999732126349585</v>
      </c>
      <c r="M1140" s="19">
        <f t="shared" ca="1" si="161"/>
        <v>3.049516086639251</v>
      </c>
      <c r="AA1140" s="37">
        <v>1120</v>
      </c>
      <c r="AB1140" s="37">
        <v>1.7223388703917943</v>
      </c>
      <c r="AC1140" s="37">
        <v>2.6290434658272162</v>
      </c>
      <c r="AD1140" s="37">
        <v>3.169673338700187</v>
      </c>
    </row>
    <row r="1141" spans="2:30" x14ac:dyDescent="0.3">
      <c r="B1141" s="28">
        <v>44293</v>
      </c>
      <c r="C1141" s="25">
        <v>42.439999</v>
      </c>
      <c r="D1141" s="18">
        <f t="shared" si="153"/>
        <v>-3.2879989061531667E-3</v>
      </c>
      <c r="E1141" s="32">
        <f t="shared" ca="1" si="154"/>
        <v>4.3155197480155311E-2</v>
      </c>
      <c r="F1141" s="18">
        <f t="shared" ca="1" si="155"/>
        <v>60.826380608223062</v>
      </c>
      <c r="G1141" s="19">
        <f t="shared" ca="1" si="156"/>
        <v>-2.5163796082230618</v>
      </c>
      <c r="H1141" s="27">
        <v>105.290001</v>
      </c>
      <c r="I1141" s="19">
        <f t="shared" si="157"/>
        <v>-3.6903766086298084E-3</v>
      </c>
      <c r="J1141" s="19">
        <f t="shared" ca="1" si="158"/>
        <v>1.4295182319398633E-2</v>
      </c>
      <c r="K1141" s="19">
        <f t="shared" ca="1" si="159"/>
        <v>84.683502743256227</v>
      </c>
      <c r="L1141" s="19">
        <f t="shared" ca="1" si="160"/>
        <v>-1.1935047432562271</v>
      </c>
      <c r="M1141" s="19">
        <f t="shared" ca="1" si="161"/>
        <v>-3.709884351479289</v>
      </c>
      <c r="AA1141" s="37">
        <v>1121</v>
      </c>
      <c r="AB1141" s="37">
        <v>1.7608952143650238</v>
      </c>
      <c r="AC1141" s="37">
        <v>2.8298943469416424</v>
      </c>
      <c r="AD1141" s="37">
        <v>3.4830387611303326</v>
      </c>
    </row>
    <row r="1142" spans="2:30" x14ac:dyDescent="0.3">
      <c r="B1142" s="28">
        <v>44294</v>
      </c>
      <c r="C1142" s="25">
        <v>42.139999000000003</v>
      </c>
      <c r="D1142" s="18">
        <f t="shared" si="153"/>
        <v>-7.0688031825825171E-3</v>
      </c>
      <c r="E1142" s="32">
        <f t="shared" ca="1" si="154"/>
        <v>3.8584678178520786E-3</v>
      </c>
      <c r="F1142" s="18">
        <f t="shared" ca="1" si="155"/>
        <v>58.534988262317427</v>
      </c>
      <c r="G1142" s="19">
        <f t="shared" ca="1" si="156"/>
        <v>-0.22498726231742694</v>
      </c>
      <c r="H1142" s="27">
        <v>103.18</v>
      </c>
      <c r="I1142" s="19">
        <f t="shared" si="157"/>
        <v>-2.0039899135341432E-2</v>
      </c>
      <c r="J1142" s="19">
        <f t="shared" ca="1" si="158"/>
        <v>2.0582322032484491E-2</v>
      </c>
      <c r="K1142" s="19">
        <f t="shared" ca="1" si="159"/>
        <v>85.208416025327494</v>
      </c>
      <c r="L1142" s="19">
        <f t="shared" ca="1" si="160"/>
        <v>-1.7184180253274945</v>
      </c>
      <c r="M1142" s="19">
        <f t="shared" ca="1" si="161"/>
        <v>-1.9434052876449215</v>
      </c>
      <c r="AA1142" s="37">
        <v>1122</v>
      </c>
      <c r="AB1142" s="37">
        <v>1.7922056563949955</v>
      </c>
      <c r="AC1142" s="37">
        <v>2.7583967853102829</v>
      </c>
      <c r="AD1142" s="37">
        <v>3.2018376778370614</v>
      </c>
    </row>
    <row r="1143" spans="2:30" x14ac:dyDescent="0.3">
      <c r="B1143" s="28">
        <v>44295</v>
      </c>
      <c r="C1143" s="25">
        <v>42.09</v>
      </c>
      <c r="D1143" s="18">
        <f t="shared" si="153"/>
        <v>-1.1864974178096288E-3</v>
      </c>
      <c r="E1143" s="32">
        <f t="shared" ca="1" si="154"/>
        <v>-4.1760330488136738E-2</v>
      </c>
      <c r="F1143" s="18">
        <f t="shared" ca="1" si="155"/>
        <v>55.874956087476413</v>
      </c>
      <c r="G1143" s="19">
        <f t="shared" ca="1" si="156"/>
        <v>2.4350449125235869</v>
      </c>
      <c r="H1143" s="27">
        <v>101.57</v>
      </c>
      <c r="I1143" s="19">
        <f t="shared" si="157"/>
        <v>-1.5603799185888834E-2</v>
      </c>
      <c r="J1143" s="19">
        <f t="shared" ca="1" si="158"/>
        <v>1.3738131771163765E-2</v>
      </c>
      <c r="K1143" s="19">
        <f t="shared" ca="1" si="159"/>
        <v>84.636994594098198</v>
      </c>
      <c r="L1143" s="19">
        <f t="shared" ca="1" si="160"/>
        <v>-1.1469965940981979</v>
      </c>
      <c r="M1143" s="19">
        <f t="shared" ca="1" si="161"/>
        <v>1.288048318425389</v>
      </c>
      <c r="AA1143" s="37">
        <v>1123</v>
      </c>
      <c r="AB1143" s="37">
        <v>1.884291570718416</v>
      </c>
      <c r="AC1143" s="37">
        <v>2.6731922392812559</v>
      </c>
      <c r="AD1143" s="37">
        <v>3.7125765959911834</v>
      </c>
    </row>
    <row r="1144" spans="2:30" x14ac:dyDescent="0.3">
      <c r="B1144" s="28">
        <v>44298</v>
      </c>
      <c r="C1144" s="25">
        <v>41.919998</v>
      </c>
      <c r="D1144" s="18">
        <f t="shared" si="153"/>
        <v>-4.0390116417201583E-3</v>
      </c>
      <c r="E1144" s="32">
        <f t="shared" ca="1" si="154"/>
        <v>1.0991315798316274E-2</v>
      </c>
      <c r="F1144" s="18">
        <f t="shared" ca="1" si="155"/>
        <v>58.950904635191144</v>
      </c>
      <c r="G1144" s="19">
        <f t="shared" ca="1" si="156"/>
        <v>-0.64090363519114391</v>
      </c>
      <c r="H1144" s="27">
        <v>100.980003</v>
      </c>
      <c r="I1144" s="19">
        <f t="shared" si="157"/>
        <v>-5.8087722752780957E-3</v>
      </c>
      <c r="J1144" s="19">
        <f t="shared" ca="1" si="158"/>
        <v>-1.1297591084395739E-3</v>
      </c>
      <c r="K1144" s="19">
        <f t="shared" ca="1" si="159"/>
        <v>83.395674414295897</v>
      </c>
      <c r="L1144" s="19">
        <f t="shared" ca="1" si="160"/>
        <v>9.4323585704103152E-2</v>
      </c>
      <c r="M1144" s="19">
        <f t="shared" ca="1" si="161"/>
        <v>-0.54658004948704075</v>
      </c>
      <c r="AA1144" s="37">
        <v>1124</v>
      </c>
      <c r="AB1144" s="37">
        <v>1.8504156253629478</v>
      </c>
      <c r="AC1144" s="37">
        <v>2.7039069568754392</v>
      </c>
      <c r="AD1144" s="37">
        <v>3.304861106463699</v>
      </c>
    </row>
    <row r="1145" spans="2:30" x14ac:dyDescent="0.3">
      <c r="B1145" s="28">
        <v>44299</v>
      </c>
      <c r="C1145" s="25">
        <v>41.599997999999999</v>
      </c>
      <c r="D1145" s="18">
        <f t="shared" si="153"/>
        <v>-7.6335881504574488E-3</v>
      </c>
      <c r="E1145" s="32">
        <f t="shared" ca="1" si="154"/>
        <v>1.3135934725047038E-2</v>
      </c>
      <c r="F1145" s="18">
        <f t="shared" ca="1" si="155"/>
        <v>59.075957366953425</v>
      </c>
      <c r="G1145" s="19">
        <f t="shared" ca="1" si="156"/>
        <v>-0.76595636695342506</v>
      </c>
      <c r="H1145" s="27">
        <v>101.07</v>
      </c>
      <c r="I1145" s="19">
        <f t="shared" si="157"/>
        <v>8.9123586181716341E-4</v>
      </c>
      <c r="J1145" s="19">
        <f t="shared" ca="1" si="158"/>
        <v>2.8452146780809685E-2</v>
      </c>
      <c r="K1145" s="19">
        <f t="shared" ca="1" si="159"/>
        <v>85.865467677825507</v>
      </c>
      <c r="L1145" s="19">
        <f t="shared" ca="1" si="160"/>
        <v>-2.3754696778255067</v>
      </c>
      <c r="M1145" s="19">
        <f t="shared" ca="1" si="161"/>
        <v>-3.1414260447789317</v>
      </c>
      <c r="AA1145" s="37">
        <v>1125</v>
      </c>
      <c r="AB1145" s="37">
        <v>1.7695228197841575</v>
      </c>
      <c r="AC1145" s="37">
        <v>2.9097225137255447</v>
      </c>
      <c r="AD1145" s="37">
        <v>3.3386187019554487</v>
      </c>
    </row>
    <row r="1146" spans="2:30" x14ac:dyDescent="0.3">
      <c r="B1146" s="28">
        <v>44300</v>
      </c>
      <c r="C1146" s="25">
        <v>41.869999</v>
      </c>
      <c r="D1146" s="18">
        <f t="shared" si="153"/>
        <v>6.4904089658850417E-3</v>
      </c>
      <c r="E1146" s="32">
        <f t="shared" ca="1" si="154"/>
        <v>2.2594264605581865E-2</v>
      </c>
      <c r="F1146" s="18">
        <f t="shared" ca="1" si="155"/>
        <v>59.627472591745743</v>
      </c>
      <c r="G1146" s="19">
        <f t="shared" ca="1" si="156"/>
        <v>-1.3174715917457434</v>
      </c>
      <c r="H1146" s="27">
        <v>102.139999</v>
      </c>
      <c r="I1146" s="19">
        <f t="shared" si="157"/>
        <v>1.058671217967766E-2</v>
      </c>
      <c r="J1146" s="19">
        <f t="shared" ca="1" si="158"/>
        <v>4.2640714883210177E-3</v>
      </c>
      <c r="K1146" s="19">
        <f t="shared" ca="1" si="159"/>
        <v>83.846005320031779</v>
      </c>
      <c r="L1146" s="19">
        <f t="shared" ca="1" si="160"/>
        <v>-0.35600732003177882</v>
      </c>
      <c r="M1146" s="19">
        <f t="shared" ca="1" si="161"/>
        <v>-1.6734789117775222</v>
      </c>
      <c r="AA1146" s="37">
        <v>1126</v>
      </c>
      <c r="AB1146" s="37">
        <v>1.6931706745214048</v>
      </c>
      <c r="AC1146" s="37">
        <v>2.9123817838501469</v>
      </c>
      <c r="AD1146" s="37">
        <v>3.2924219811333377</v>
      </c>
    </row>
    <row r="1147" spans="2:30" x14ac:dyDescent="0.3">
      <c r="B1147" s="28">
        <v>44301</v>
      </c>
      <c r="C1147" s="25">
        <v>41.880001</v>
      </c>
      <c r="D1147" s="18">
        <f t="shared" si="153"/>
        <v>2.388822603029972E-4</v>
      </c>
      <c r="E1147" s="32">
        <f t="shared" ca="1" si="154"/>
        <v>3.925103498621936E-2</v>
      </c>
      <c r="F1147" s="18">
        <f t="shared" ca="1" si="155"/>
        <v>60.59872888929749</v>
      </c>
      <c r="G1147" s="19">
        <f t="shared" ca="1" si="156"/>
        <v>-2.2887278892974905</v>
      </c>
      <c r="H1147" s="27">
        <v>105.18</v>
      </c>
      <c r="I1147" s="19">
        <f t="shared" si="157"/>
        <v>2.9763080377551265E-2</v>
      </c>
      <c r="J1147" s="19">
        <f t="shared" ca="1" si="158"/>
        <v>-2.4445675221734457E-2</v>
      </c>
      <c r="K1147" s="19">
        <f t="shared" ca="1" si="159"/>
        <v>81.449028624628738</v>
      </c>
      <c r="L1147" s="19">
        <f t="shared" ca="1" si="160"/>
        <v>2.0409693753712617</v>
      </c>
      <c r="M1147" s="19">
        <f t="shared" ca="1" si="161"/>
        <v>-0.24775851392622883</v>
      </c>
      <c r="AA1147" s="37">
        <v>1127</v>
      </c>
      <c r="AB1147" s="37">
        <v>1.824204446342687</v>
      </c>
      <c r="AC1147" s="37">
        <v>2.9817187680606936</v>
      </c>
      <c r="AD1147" s="37">
        <v>3.3265547731606451</v>
      </c>
    </row>
    <row r="1148" spans="2:30" x14ac:dyDescent="0.3">
      <c r="B1148" s="28">
        <v>44302</v>
      </c>
      <c r="C1148" s="25">
        <v>41.68</v>
      </c>
      <c r="D1148" s="18">
        <f t="shared" si="153"/>
        <v>-4.7755729518726975E-3</v>
      </c>
      <c r="E1148" s="32">
        <f t="shared" ca="1" si="154"/>
        <v>-2.2349221417219216E-2</v>
      </c>
      <c r="F1148" s="18">
        <f t="shared" ca="1" si="155"/>
        <v>57.006817876812725</v>
      </c>
      <c r="G1148" s="19">
        <f t="shared" ca="1" si="156"/>
        <v>1.3031831231872744</v>
      </c>
      <c r="H1148" s="27">
        <v>103.66999800000001</v>
      </c>
      <c r="I1148" s="19">
        <f t="shared" si="157"/>
        <v>-1.4356360524814593E-2</v>
      </c>
      <c r="J1148" s="19">
        <f t="shared" ca="1" si="158"/>
        <v>5.4379474927149689E-3</v>
      </c>
      <c r="K1148" s="19">
        <f t="shared" ca="1" si="159"/>
        <v>83.944012225290862</v>
      </c>
      <c r="L1148" s="19">
        <f t="shared" ca="1" si="160"/>
        <v>-0.45401422529086233</v>
      </c>
      <c r="M1148" s="19">
        <f t="shared" ca="1" si="161"/>
        <v>0.84916889789641203</v>
      </c>
      <c r="AA1148" s="37">
        <v>1128</v>
      </c>
      <c r="AB1148" s="37">
        <v>1.8701953785011851</v>
      </c>
      <c r="AC1148" s="37">
        <v>2.7349316996672863</v>
      </c>
      <c r="AD1148" s="37">
        <v>3.3105093128736138</v>
      </c>
    </row>
    <row r="1149" spans="2:30" x14ac:dyDescent="0.3">
      <c r="B1149" s="28">
        <v>44305</v>
      </c>
      <c r="C1149" s="25">
        <v>41.040000999999997</v>
      </c>
      <c r="D1149" s="18">
        <f t="shared" si="153"/>
        <v>-1.5355062380038476E-2</v>
      </c>
      <c r="E1149" s="32">
        <f t="shared" ca="1" si="154"/>
        <v>5.7584890582770294E-3</v>
      </c>
      <c r="F1149" s="18">
        <f t="shared" ca="1" si="155"/>
        <v>58.64577850274663</v>
      </c>
      <c r="G1149" s="19">
        <f t="shared" ca="1" si="156"/>
        <v>-0.33577750274663032</v>
      </c>
      <c r="H1149" s="27">
        <v>102.379997</v>
      </c>
      <c r="I1149" s="19">
        <f t="shared" si="157"/>
        <v>-1.2443339682518428E-2</v>
      </c>
      <c r="J1149" s="19">
        <f t="shared" ca="1" si="158"/>
        <v>-1.3085757778372842E-2</v>
      </c>
      <c r="K1149" s="19">
        <f t="shared" ca="1" si="159"/>
        <v>82.397468109255172</v>
      </c>
      <c r="L1149" s="19">
        <f t="shared" ca="1" si="160"/>
        <v>1.092529890744828</v>
      </c>
      <c r="M1149" s="19">
        <f t="shared" ca="1" si="161"/>
        <v>0.75675238799819766</v>
      </c>
      <c r="AA1149" s="37">
        <v>1129</v>
      </c>
      <c r="AB1149" s="37">
        <v>1.8689405432937376</v>
      </c>
      <c r="AC1149" s="37">
        <v>2.8160096509904973</v>
      </c>
      <c r="AD1149" s="37">
        <v>3.2230968366142498</v>
      </c>
    </row>
    <row r="1150" spans="2:30" x14ac:dyDescent="0.3">
      <c r="B1150" s="28">
        <v>44306</v>
      </c>
      <c r="C1150" s="25">
        <v>41.799999</v>
      </c>
      <c r="D1150" s="18">
        <f t="shared" si="153"/>
        <v>1.8518469334345422E-2</v>
      </c>
      <c r="E1150" s="32">
        <f t="shared" ca="1" si="154"/>
        <v>1.7862587292899038E-2</v>
      </c>
      <c r="F1150" s="18">
        <f t="shared" ca="1" si="155"/>
        <v>59.351568482911532</v>
      </c>
      <c r="G1150" s="19">
        <f t="shared" ca="1" si="156"/>
        <v>-1.0415674829115318</v>
      </c>
      <c r="H1150" s="27">
        <v>102.290001</v>
      </c>
      <c r="I1150" s="19">
        <f t="shared" si="157"/>
        <v>-8.7903890053830924E-4</v>
      </c>
      <c r="J1150" s="19">
        <f t="shared" ca="1" si="158"/>
        <v>3.0784392198578495E-2</v>
      </c>
      <c r="K1150" s="19">
        <f t="shared" ca="1" si="159"/>
        <v>86.060186843090534</v>
      </c>
      <c r="L1150" s="19">
        <f t="shared" ca="1" si="160"/>
        <v>-2.5701888430905342</v>
      </c>
      <c r="M1150" s="19">
        <f t="shared" ca="1" si="161"/>
        <v>-3.611756326002066</v>
      </c>
      <c r="AA1150" s="37">
        <v>1130</v>
      </c>
      <c r="AB1150" s="37">
        <v>1.8906988496818107</v>
      </c>
      <c r="AC1150" s="37">
        <v>2.7735305070792982</v>
      </c>
      <c r="AD1150" s="37">
        <v>3.2906473657246282</v>
      </c>
    </row>
    <row r="1151" spans="2:30" x14ac:dyDescent="0.3">
      <c r="B1151" s="28">
        <v>44307</v>
      </c>
      <c r="C1151" s="25">
        <v>42.23</v>
      </c>
      <c r="D1151" s="18">
        <f t="shared" si="153"/>
        <v>1.0287105509260819E-2</v>
      </c>
      <c r="E1151" s="32">
        <f t="shared" ca="1" si="154"/>
        <v>-8.7268156455151454E-3</v>
      </c>
      <c r="F1151" s="18">
        <f t="shared" ca="1" si="155"/>
        <v>57.801140370983198</v>
      </c>
      <c r="G1151" s="19">
        <f t="shared" ca="1" si="156"/>
        <v>0.50886062901680162</v>
      </c>
      <c r="H1151" s="27">
        <v>104.349998</v>
      </c>
      <c r="I1151" s="19">
        <f t="shared" si="157"/>
        <v>2.0138791473860662E-2</v>
      </c>
      <c r="J1151" s="19">
        <f t="shared" ca="1" si="158"/>
        <v>3.4961359526197375E-4</v>
      </c>
      <c r="K1151" s="19">
        <f t="shared" ca="1" si="159"/>
        <v>83.519187238369184</v>
      </c>
      <c r="L1151" s="19">
        <f t="shared" ca="1" si="160"/>
        <v>-2.9189238369184523E-2</v>
      </c>
      <c r="M1151" s="19">
        <f t="shared" ca="1" si="161"/>
        <v>0.4796713906476171</v>
      </c>
      <c r="AA1151" s="37">
        <v>1131</v>
      </c>
      <c r="AB1151" s="37">
        <v>1.6517895909366132</v>
      </c>
      <c r="AC1151" s="37">
        <v>2.7581221901738715</v>
      </c>
      <c r="AD1151" s="37">
        <v>3.4540190359035416</v>
      </c>
    </row>
    <row r="1152" spans="2:30" x14ac:dyDescent="0.3">
      <c r="B1152" s="28">
        <v>44308</v>
      </c>
      <c r="C1152" s="25">
        <v>42.619999</v>
      </c>
      <c r="D1152" s="18">
        <f t="shared" si="153"/>
        <v>9.2351172152498329E-3</v>
      </c>
      <c r="E1152" s="32">
        <f t="shared" ca="1" si="154"/>
        <v>-1.4711896283659381E-2</v>
      </c>
      <c r="F1152" s="18">
        <f t="shared" ca="1" si="155"/>
        <v>57.452150312987925</v>
      </c>
      <c r="G1152" s="19">
        <f t="shared" ca="1" si="156"/>
        <v>0.85785068701207479</v>
      </c>
      <c r="H1152" s="27">
        <v>102.300003</v>
      </c>
      <c r="I1152" s="19">
        <f t="shared" si="157"/>
        <v>-1.9645376514525581E-2</v>
      </c>
      <c r="J1152" s="19">
        <f t="shared" ca="1" si="158"/>
        <v>1.5027599221305719E-2</v>
      </c>
      <c r="K1152" s="19">
        <f t="shared" ca="1" si="159"/>
        <v>84.744652228931628</v>
      </c>
      <c r="L1152" s="19">
        <f t="shared" ca="1" si="160"/>
        <v>-1.2546542289316278</v>
      </c>
      <c r="M1152" s="19">
        <f t="shared" ca="1" si="161"/>
        <v>-0.39680354191955303</v>
      </c>
      <c r="AA1152" s="37">
        <v>1132</v>
      </c>
      <c r="AB1152" s="37">
        <v>1.7083272063259096</v>
      </c>
      <c r="AC1152" s="37">
        <v>2.8732566651386815</v>
      </c>
      <c r="AD1152" s="37">
        <v>3.5165930761943955</v>
      </c>
    </row>
    <row r="1153" spans="2:30" x14ac:dyDescent="0.3">
      <c r="B1153" s="28">
        <v>44309</v>
      </c>
      <c r="C1153" s="25">
        <v>42.040000999999997</v>
      </c>
      <c r="D1153" s="18">
        <f t="shared" si="153"/>
        <v>-1.3608587836898001E-2</v>
      </c>
      <c r="E1153" s="32">
        <f t="shared" ca="1" si="154"/>
        <v>-1.0938610900994423E-2</v>
      </c>
      <c r="F1153" s="18">
        <f t="shared" ca="1" si="155"/>
        <v>57.672170587424404</v>
      </c>
      <c r="G1153" s="19">
        <f t="shared" ca="1" si="156"/>
        <v>0.63783041257559603</v>
      </c>
      <c r="H1153" s="27">
        <v>101.80999799999999</v>
      </c>
      <c r="I1153" s="19">
        <f t="shared" si="157"/>
        <v>-4.789882557481584E-3</v>
      </c>
      <c r="J1153" s="19">
        <f t="shared" ca="1" si="158"/>
        <v>-2.1746945148528138E-2</v>
      </c>
      <c r="K1153" s="19">
        <f t="shared" ca="1" si="159"/>
        <v>81.67434559304327</v>
      </c>
      <c r="L1153" s="19">
        <f t="shared" ca="1" si="160"/>
        <v>1.8156524069567297</v>
      </c>
      <c r="M1153" s="19">
        <f t="shared" ca="1" si="161"/>
        <v>2.4534828195323257</v>
      </c>
      <c r="AA1153" s="37">
        <v>1133</v>
      </c>
      <c r="AB1153" s="37">
        <v>1.7261418430779485</v>
      </c>
      <c r="AC1153" s="37">
        <v>2.9717271788629174</v>
      </c>
      <c r="AD1153" s="37">
        <v>3.4725651681925291</v>
      </c>
    </row>
    <row r="1154" spans="2:30" x14ac:dyDescent="0.3">
      <c r="B1154" s="28">
        <v>44312</v>
      </c>
      <c r="C1154" s="25">
        <v>41.669998</v>
      </c>
      <c r="D1154" s="18">
        <f t="shared" si="153"/>
        <v>-8.8012129209986689E-3</v>
      </c>
      <c r="E1154" s="32">
        <f t="shared" ca="1" si="154"/>
        <v>-1.7737987312023484E-2</v>
      </c>
      <c r="F1154" s="18">
        <f t="shared" ca="1" si="155"/>
        <v>57.275698942097925</v>
      </c>
      <c r="G1154" s="19">
        <f t="shared" ca="1" si="156"/>
        <v>1.0343020579020745</v>
      </c>
      <c r="H1154" s="27">
        <v>102.110001</v>
      </c>
      <c r="I1154" s="19">
        <f t="shared" si="157"/>
        <v>2.9466948815772831E-3</v>
      </c>
      <c r="J1154" s="19">
        <f t="shared" ca="1" si="158"/>
        <v>-1.4588386884979874E-2</v>
      </c>
      <c r="K1154" s="19">
        <f t="shared" ca="1" si="159"/>
        <v>82.272013608149805</v>
      </c>
      <c r="L1154" s="19">
        <f t="shared" ca="1" si="160"/>
        <v>1.2179843918501945</v>
      </c>
      <c r="M1154" s="19">
        <f t="shared" ca="1" si="161"/>
        <v>2.252286449752269</v>
      </c>
      <c r="AA1154" s="37">
        <v>1134</v>
      </c>
      <c r="AB1154" s="37">
        <v>1.787854691004177</v>
      </c>
      <c r="AC1154" s="37">
        <v>2.8796634290943839</v>
      </c>
      <c r="AD1154" s="37">
        <v>3.3351223890560218</v>
      </c>
    </row>
    <row r="1155" spans="2:30" x14ac:dyDescent="0.3">
      <c r="B1155" s="28">
        <v>44313</v>
      </c>
      <c r="C1155" s="25">
        <v>40.939999</v>
      </c>
      <c r="D1155" s="18">
        <f t="shared" si="153"/>
        <v>-1.7518575354863231E-2</v>
      </c>
      <c r="E1155" s="32">
        <f t="shared" ca="1" si="154"/>
        <v>3.5006271949800331E-3</v>
      </c>
      <c r="F1155" s="18">
        <f t="shared" ca="1" si="155"/>
        <v>58.514122575239909</v>
      </c>
      <c r="G1155" s="19">
        <f t="shared" ca="1" si="156"/>
        <v>-0.2041215752399097</v>
      </c>
      <c r="H1155" s="27">
        <v>100.699997</v>
      </c>
      <c r="I1155" s="19">
        <f t="shared" si="157"/>
        <v>-1.3808676781816853E-2</v>
      </c>
      <c r="J1155" s="19">
        <f t="shared" ca="1" si="158"/>
        <v>-2.2129901316976956E-2</v>
      </c>
      <c r="K1155" s="19">
        <f t="shared" ca="1" si="159"/>
        <v>81.642372583305388</v>
      </c>
      <c r="L1155" s="19">
        <f t="shared" ca="1" si="160"/>
        <v>1.847625416694612</v>
      </c>
      <c r="M1155" s="19">
        <f t="shared" ca="1" si="161"/>
        <v>1.6435038414547023</v>
      </c>
      <c r="AA1155" s="37">
        <v>1135</v>
      </c>
      <c r="AB1155" s="37">
        <v>1.7674628907066716</v>
      </c>
      <c r="AC1155" s="37">
        <v>2.8875756233177605</v>
      </c>
      <c r="AD1155" s="37">
        <v>3.1313198318891629</v>
      </c>
    </row>
    <row r="1156" spans="2:30" x14ac:dyDescent="0.3">
      <c r="B1156" s="28">
        <v>44314</v>
      </c>
      <c r="C1156" s="25">
        <v>41.279998999999997</v>
      </c>
      <c r="D1156" s="18">
        <f t="shared" si="153"/>
        <v>8.3048365487257136E-3</v>
      </c>
      <c r="E1156" s="32">
        <f t="shared" ca="1" si="154"/>
        <v>-1.9218478499542377E-2</v>
      </c>
      <c r="F1156" s="18">
        <f t="shared" ca="1" si="155"/>
        <v>57.189371499473204</v>
      </c>
      <c r="G1156" s="19">
        <f t="shared" ca="1" si="156"/>
        <v>1.1206295005267961</v>
      </c>
      <c r="H1156" s="27">
        <v>97.550003000000004</v>
      </c>
      <c r="I1156" s="19">
        <f t="shared" si="157"/>
        <v>-3.1280974119591964E-2</v>
      </c>
      <c r="J1156" s="19">
        <f t="shared" ca="1" si="158"/>
        <v>-2.5816864111520236E-2</v>
      </c>
      <c r="K1156" s="19">
        <f t="shared" ca="1" si="159"/>
        <v>81.334548066962896</v>
      </c>
      <c r="L1156" s="19">
        <f t="shared" ca="1" si="160"/>
        <v>2.1554499330371044</v>
      </c>
      <c r="M1156" s="19">
        <f t="shared" ca="1" si="161"/>
        <v>3.2760794335639005</v>
      </c>
      <c r="AA1156" s="37">
        <v>1136</v>
      </c>
      <c r="AB1156" s="37">
        <v>1.7006684325348347</v>
      </c>
      <c r="AC1156" s="37">
        <v>2.917658968253499</v>
      </c>
      <c r="AD1156" s="37">
        <v>3.3815683684749662</v>
      </c>
    </row>
    <row r="1157" spans="2:30" x14ac:dyDescent="0.3">
      <c r="B1157" s="28">
        <v>44315</v>
      </c>
      <c r="C1157" s="25">
        <v>41.830002</v>
      </c>
      <c r="D1157" s="18">
        <f t="shared" si="153"/>
        <v>1.3323716408035757E-2</v>
      </c>
      <c r="E1157" s="32">
        <f t="shared" ca="1" si="154"/>
        <v>7.2759343673280772E-3</v>
      </c>
      <c r="F1157" s="18">
        <f t="shared" ca="1" si="155"/>
        <v>58.734260740234838</v>
      </c>
      <c r="G1157" s="19">
        <f t="shared" ca="1" si="156"/>
        <v>-0.42425974023483803</v>
      </c>
      <c r="H1157" s="27">
        <v>94.769997000000004</v>
      </c>
      <c r="I1157" s="19">
        <f t="shared" si="157"/>
        <v>-2.8498266678679607E-2</v>
      </c>
      <c r="J1157" s="19">
        <f t="shared" ca="1" si="158"/>
        <v>-3.4285985665007809E-3</v>
      </c>
      <c r="K1157" s="19">
        <f t="shared" ca="1" si="159"/>
        <v>83.203744312540039</v>
      </c>
      <c r="L1157" s="19">
        <f t="shared" ca="1" si="160"/>
        <v>0.28625368745996127</v>
      </c>
      <c r="M1157" s="19">
        <f t="shared" ca="1" si="161"/>
        <v>-0.13800605277487676</v>
      </c>
      <c r="AA1157" s="37">
        <v>1137</v>
      </c>
      <c r="AB1157" s="37">
        <v>1.8625159715604045</v>
      </c>
      <c r="AC1157" s="37">
        <v>2.8546346123867581</v>
      </c>
      <c r="AD1157" s="37">
        <v>3.323513874035906</v>
      </c>
    </row>
    <row r="1158" spans="2:30" x14ac:dyDescent="0.3">
      <c r="B1158" s="28">
        <v>44316</v>
      </c>
      <c r="C1158" s="25">
        <v>40.540000999999997</v>
      </c>
      <c r="D1158" s="18">
        <f t="shared" si="153"/>
        <v>-3.0839133117899542E-2</v>
      </c>
      <c r="E1158" s="32">
        <f t="shared" ca="1" si="154"/>
        <v>3.7090963859176325E-2</v>
      </c>
      <c r="F1158" s="18">
        <f t="shared" ca="1" si="155"/>
        <v>60.472775139719538</v>
      </c>
      <c r="G1158" s="19">
        <f t="shared" ca="1" si="156"/>
        <v>-2.1627741397195379</v>
      </c>
      <c r="H1158" s="27">
        <v>91.57</v>
      </c>
      <c r="I1158" s="19">
        <f t="shared" si="157"/>
        <v>-3.3765929105178838E-2</v>
      </c>
      <c r="J1158" s="19">
        <f t="shared" ca="1" si="158"/>
        <v>-2.4543161409234533E-2</v>
      </c>
      <c r="K1158" s="19">
        <f t="shared" ca="1" si="159"/>
        <v>81.440889503029339</v>
      </c>
      <c r="L1158" s="19">
        <f t="shared" ca="1" si="160"/>
        <v>2.0491084969706606</v>
      </c>
      <c r="M1158" s="19">
        <f t="shared" ca="1" si="161"/>
        <v>-0.11366564274887736</v>
      </c>
      <c r="AA1158" s="37">
        <v>1138</v>
      </c>
      <c r="AB1158" s="37">
        <v>1.7820954700216582</v>
      </c>
      <c r="AC1158" s="37">
        <v>2.8889809767493815</v>
      </c>
      <c r="AD1158" s="37">
        <v>3.3500371993980496</v>
      </c>
    </row>
    <row r="1159" spans="2:30" x14ac:dyDescent="0.3">
      <c r="B1159" s="28">
        <v>44319</v>
      </c>
      <c r="C1159" s="25">
        <v>41.119999</v>
      </c>
      <c r="D1159" s="18">
        <f t="shared" si="153"/>
        <v>1.4306807737868743E-2</v>
      </c>
      <c r="E1159" s="32">
        <f t="shared" ca="1" si="154"/>
        <v>-2.6165730517086504E-2</v>
      </c>
      <c r="F1159" s="18">
        <f t="shared" ca="1" si="155"/>
        <v>56.784277227382958</v>
      </c>
      <c r="G1159" s="19">
        <f t="shared" ca="1" si="156"/>
        <v>1.5257237726170416</v>
      </c>
      <c r="H1159" s="27">
        <v>90.93</v>
      </c>
      <c r="I1159" s="19">
        <f t="shared" si="157"/>
        <v>-6.9891885988859759E-3</v>
      </c>
      <c r="J1159" s="19">
        <f t="shared" ca="1" si="158"/>
        <v>-4.2194646935400631E-3</v>
      </c>
      <c r="K1159" s="19">
        <f t="shared" ca="1" si="159"/>
        <v>83.137714901175272</v>
      </c>
      <c r="L1159" s="19">
        <f t="shared" ca="1" si="160"/>
        <v>0.35228309882472786</v>
      </c>
      <c r="M1159" s="19">
        <f t="shared" ca="1" si="161"/>
        <v>1.8780068714417695</v>
      </c>
      <c r="AA1159" s="37">
        <v>1139</v>
      </c>
      <c r="AB1159" s="37">
        <v>1.8029731319991027</v>
      </c>
      <c r="AC1159" s="37">
        <v>2.7428436206159001</v>
      </c>
      <c r="AD1159" s="37">
        <v>3.1338527263018339</v>
      </c>
    </row>
    <row r="1160" spans="2:30" x14ac:dyDescent="0.3">
      <c r="B1160" s="28">
        <v>44320</v>
      </c>
      <c r="C1160" s="25">
        <v>41.209999000000003</v>
      </c>
      <c r="D1160" s="18">
        <f t="shared" ref="D1160:D1223" si="162">C1160/C1159-1</f>
        <v>2.1887160065350297E-3</v>
      </c>
      <c r="E1160" s="32">
        <f t="shared" ref="E1160:E1223" ca="1" si="163">NORMINV(RAND(),$E$3,$E$4)</f>
        <v>-1.133849294931333E-2</v>
      </c>
      <c r="F1160" s="18">
        <f t="shared" ref="F1160:F1223" ca="1" si="164">$C$1261*(1+E1160)</f>
        <v>57.648853464787045</v>
      </c>
      <c r="G1160" s="19">
        <f t="shared" ref="G1160:G1223" ca="1" si="165">$C$1261-F1160</f>
        <v>0.66114753521295455</v>
      </c>
      <c r="H1160" s="27">
        <v>89.75</v>
      </c>
      <c r="I1160" s="19">
        <f t="shared" ref="I1160:I1223" si="166">H1160/H1159-1</f>
        <v>-1.2977015286484206E-2</v>
      </c>
      <c r="J1160" s="19">
        <f t="shared" ref="J1160:J1223" ca="1" si="167">NORMINV(RAND(),$J$3,$J$4)</f>
        <v>1.4793104699518207E-4</v>
      </c>
      <c r="K1160" s="19">
        <f t="shared" ref="K1160:K1223" ca="1" si="168">$H$1261*(1+J1160)</f>
        <v>83.502348762817761</v>
      </c>
      <c r="L1160" s="19">
        <f t="shared" ref="L1160:L1223" ca="1" si="169">$H$1261-K1160</f>
        <v>-1.2350762817760597E-2</v>
      </c>
      <c r="M1160" s="19">
        <f t="shared" ref="M1160:M1223" ca="1" si="170">SUM(G1160,L1160)</f>
        <v>0.64879677239519395</v>
      </c>
      <c r="AA1160" s="37">
        <v>1140</v>
      </c>
      <c r="AB1160" s="37">
        <v>1.7862398272973308</v>
      </c>
      <c r="AC1160" s="37">
        <v>2.9419899903398106</v>
      </c>
      <c r="AD1160" s="37">
        <v>3.3168174460105528</v>
      </c>
    </row>
    <row r="1161" spans="2:30" x14ac:dyDescent="0.3">
      <c r="B1161" s="28">
        <v>44321</v>
      </c>
      <c r="C1161" s="25">
        <v>40.93</v>
      </c>
      <c r="D1161" s="18">
        <f t="shared" si="162"/>
        <v>-6.7944432612095929E-3</v>
      </c>
      <c r="E1161" s="32">
        <f t="shared" ca="1" si="163"/>
        <v>-2.1300532166933381E-2</v>
      </c>
      <c r="F1161" s="18">
        <f t="shared" ca="1" si="164"/>
        <v>57.06796694804558</v>
      </c>
      <c r="G1161" s="19">
        <f t="shared" ca="1" si="165"/>
        <v>1.2420340519544197</v>
      </c>
      <c r="H1161" s="27">
        <v>93.519997000000004</v>
      </c>
      <c r="I1161" s="19">
        <f t="shared" si="166"/>
        <v>4.20055376044568E-2</v>
      </c>
      <c r="J1161" s="19">
        <f t="shared" ca="1" si="167"/>
        <v>-2.0328739628088479E-2</v>
      </c>
      <c r="K1161" s="19">
        <f t="shared" ca="1" si="168"/>
        <v>81.792751569108376</v>
      </c>
      <c r="L1161" s="19">
        <f t="shared" ca="1" si="169"/>
        <v>1.6972464308916244</v>
      </c>
      <c r="M1161" s="19">
        <f t="shared" ca="1" si="170"/>
        <v>2.9392804828460442</v>
      </c>
      <c r="AA1161" s="37">
        <v>1141</v>
      </c>
      <c r="AB1161" s="37">
        <v>1.7568570958656036</v>
      </c>
      <c r="AC1161" s="37">
        <v>2.8892992518511447</v>
      </c>
      <c r="AD1161" s="37">
        <v>3.2574044590517026</v>
      </c>
    </row>
    <row r="1162" spans="2:30" x14ac:dyDescent="0.3">
      <c r="B1162" s="28">
        <v>44322</v>
      </c>
      <c r="C1162" s="25">
        <v>41.029998999999997</v>
      </c>
      <c r="D1162" s="18">
        <f t="shared" si="162"/>
        <v>2.443171268018407E-3</v>
      </c>
      <c r="E1162" s="32">
        <f t="shared" ca="1" si="163"/>
        <v>9.3551592932754747E-5</v>
      </c>
      <c r="F1162" s="18">
        <f t="shared" ca="1" si="164"/>
        <v>58.315455993477464</v>
      </c>
      <c r="G1162" s="19">
        <f t="shared" ca="1" si="165"/>
        <v>-5.4549934774641429E-3</v>
      </c>
      <c r="H1162" s="27">
        <v>96.620002999999997</v>
      </c>
      <c r="I1162" s="19">
        <f t="shared" si="166"/>
        <v>3.3148054955562056E-2</v>
      </c>
      <c r="J1162" s="19">
        <f t="shared" ca="1" si="167"/>
        <v>2.220370462433563E-3</v>
      </c>
      <c r="K1162" s="19">
        <f t="shared" ca="1" si="168"/>
        <v>83.675376725467828</v>
      </c>
      <c r="L1162" s="19">
        <f t="shared" ca="1" si="169"/>
        <v>-0.18537872546782808</v>
      </c>
      <c r="M1162" s="19">
        <f t="shared" ca="1" si="170"/>
        <v>-0.19083371894529222</v>
      </c>
      <c r="AA1162" s="37">
        <v>1142</v>
      </c>
      <c r="AB1162" s="37">
        <v>1.7169587925519902</v>
      </c>
      <c r="AC1162" s="37">
        <v>2.6964814444739278</v>
      </c>
      <c r="AD1162" s="37">
        <v>3.4513067328364659</v>
      </c>
    </row>
    <row r="1163" spans="2:30" x14ac:dyDescent="0.3">
      <c r="B1163" s="28">
        <v>44323</v>
      </c>
      <c r="C1163" s="25">
        <v>41.099997999999999</v>
      </c>
      <c r="D1163" s="18">
        <f t="shared" si="162"/>
        <v>1.7060443993675012E-3</v>
      </c>
      <c r="E1163" s="32">
        <f t="shared" ca="1" si="163"/>
        <v>2.3438260961801367E-2</v>
      </c>
      <c r="F1163" s="18">
        <f t="shared" ca="1" si="164"/>
        <v>59.676686020120897</v>
      </c>
      <c r="G1163" s="19">
        <f t="shared" ca="1" si="165"/>
        <v>-1.3666850201208973</v>
      </c>
      <c r="H1163" s="27">
        <v>100.209999</v>
      </c>
      <c r="I1163" s="19">
        <f t="shared" si="166"/>
        <v>3.7155825797273057E-2</v>
      </c>
      <c r="J1163" s="19">
        <f t="shared" ca="1" si="167"/>
        <v>-1.2667537663789454E-3</v>
      </c>
      <c r="K1163" s="19">
        <f t="shared" ca="1" si="168"/>
        <v>83.384236730578522</v>
      </c>
      <c r="L1163" s="19">
        <f t="shared" ca="1" si="169"/>
        <v>0.10576126942147823</v>
      </c>
      <c r="M1163" s="19">
        <f t="shared" ca="1" si="170"/>
        <v>-1.2609237506994191</v>
      </c>
      <c r="AA1163" s="37">
        <v>1143</v>
      </c>
      <c r="AB1163" s="37">
        <v>1.7147985969927124</v>
      </c>
      <c r="AC1163" s="37">
        <v>2.8560335464878497</v>
      </c>
      <c r="AD1163" s="37">
        <v>3.3700186421406655</v>
      </c>
    </row>
    <row r="1164" spans="2:30" x14ac:dyDescent="0.3">
      <c r="B1164" s="28">
        <v>44326</v>
      </c>
      <c r="C1164" s="25">
        <v>40.650002000000001</v>
      </c>
      <c r="D1164" s="18">
        <f t="shared" si="162"/>
        <v>-1.0948808318676728E-2</v>
      </c>
      <c r="E1164" s="32">
        <f t="shared" ca="1" si="163"/>
        <v>8.987003034850366E-3</v>
      </c>
      <c r="F1164" s="18">
        <f t="shared" ca="1" si="164"/>
        <v>58.834033155949129</v>
      </c>
      <c r="G1164" s="19">
        <f t="shared" ca="1" si="165"/>
        <v>-0.52403215594912922</v>
      </c>
      <c r="H1164" s="27">
        <v>108.93</v>
      </c>
      <c r="I1164" s="19">
        <f t="shared" si="166"/>
        <v>8.7017274593526484E-2</v>
      </c>
      <c r="J1164" s="19">
        <f t="shared" ca="1" si="167"/>
        <v>-4.2741070565187264E-2</v>
      </c>
      <c r="K1164" s="19">
        <f t="shared" ca="1" si="168"/>
        <v>79.921546103994658</v>
      </c>
      <c r="L1164" s="19">
        <f t="shared" ca="1" si="169"/>
        <v>3.5684518960053424</v>
      </c>
      <c r="M1164" s="19">
        <f t="shared" ca="1" si="170"/>
        <v>3.0444197400562132</v>
      </c>
      <c r="AA1164" s="37">
        <v>1144</v>
      </c>
      <c r="AB1164" s="37">
        <v>1.6993522720444931</v>
      </c>
      <c r="AC1164" s="37">
        <v>2.6936535249095508</v>
      </c>
      <c r="AD1164" s="37">
        <v>3.2869432761622974</v>
      </c>
    </row>
    <row r="1165" spans="2:30" x14ac:dyDescent="0.3">
      <c r="B1165" s="28">
        <v>44327</v>
      </c>
      <c r="C1165" s="25">
        <v>40.509998000000003</v>
      </c>
      <c r="D1165" s="18">
        <f t="shared" si="162"/>
        <v>-3.4441326718753773E-3</v>
      </c>
      <c r="E1165" s="32">
        <f t="shared" ca="1" si="163"/>
        <v>1.6110000378391144E-2</v>
      </c>
      <c r="F1165" s="18">
        <f t="shared" ca="1" si="164"/>
        <v>59.249375138173988</v>
      </c>
      <c r="G1165" s="19">
        <f t="shared" ca="1" si="165"/>
        <v>-0.93937413817398863</v>
      </c>
      <c r="H1165" s="27">
        <v>109.800003</v>
      </c>
      <c r="I1165" s="19">
        <f t="shared" si="166"/>
        <v>7.9868080418616927E-3</v>
      </c>
      <c r="J1165" s="19">
        <f t="shared" ca="1" si="167"/>
        <v>2.0601697140419588E-2</v>
      </c>
      <c r="K1165" s="19">
        <f t="shared" ca="1" si="168"/>
        <v>85.210033653050232</v>
      </c>
      <c r="L1165" s="19">
        <f t="shared" ca="1" si="169"/>
        <v>-1.7200356530502319</v>
      </c>
      <c r="M1165" s="19">
        <f t="shared" ca="1" si="170"/>
        <v>-2.6594097912242205</v>
      </c>
      <c r="AA1165" s="37">
        <v>1145</v>
      </c>
      <c r="AB1165" s="37">
        <v>1.8631831204038272</v>
      </c>
      <c r="AC1165" s="37">
        <v>2.7756108330156097</v>
      </c>
      <c r="AD1165" s="37">
        <v>3.4057159185383075</v>
      </c>
    </row>
    <row r="1166" spans="2:30" x14ac:dyDescent="0.3">
      <c r="B1166" s="28">
        <v>44328</v>
      </c>
      <c r="C1166" s="25">
        <v>40.5</v>
      </c>
      <c r="D1166" s="18">
        <f t="shared" si="162"/>
        <v>-2.4680327063963947E-4</v>
      </c>
      <c r="E1166" s="32">
        <f t="shared" ca="1" si="163"/>
        <v>-3.3924759405835989E-2</v>
      </c>
      <c r="F1166" s="18">
        <f t="shared" ca="1" si="164"/>
        <v>56.331848245120945</v>
      </c>
      <c r="G1166" s="19">
        <f t="shared" ca="1" si="165"/>
        <v>1.978152754879055</v>
      </c>
      <c r="H1166" s="27">
        <v>104.57</v>
      </c>
      <c r="I1166" s="19">
        <f t="shared" si="166"/>
        <v>-4.7632084308777412E-2</v>
      </c>
      <c r="J1166" s="19">
        <f t="shared" ca="1" si="167"/>
        <v>-5.6510648007699803E-2</v>
      </c>
      <c r="K1166" s="19">
        <f t="shared" ca="1" si="168"/>
        <v>78.771924110858436</v>
      </c>
      <c r="L1166" s="19">
        <f t="shared" ca="1" si="169"/>
        <v>4.7180738891415643</v>
      </c>
      <c r="M1166" s="19">
        <f t="shared" ca="1" si="170"/>
        <v>6.6962266440206193</v>
      </c>
      <c r="AA1166" s="37">
        <v>1146</v>
      </c>
      <c r="AB1166" s="37">
        <v>1.8163602885324888</v>
      </c>
      <c r="AC1166" s="37">
        <v>2.7327796470104531</v>
      </c>
      <c r="AD1166" s="37">
        <v>3.3538006744902584</v>
      </c>
    </row>
    <row r="1167" spans="2:30" x14ac:dyDescent="0.3">
      <c r="B1167" s="28">
        <v>44329</v>
      </c>
      <c r="C1167" s="25">
        <v>39.779998999999997</v>
      </c>
      <c r="D1167" s="18">
        <f t="shared" si="162"/>
        <v>-1.777780246913585E-2</v>
      </c>
      <c r="E1167" s="32">
        <f t="shared" ca="1" si="163"/>
        <v>1.0203288383818785E-2</v>
      </c>
      <c r="F1167" s="18">
        <f t="shared" ca="1" si="164"/>
        <v>58.904954755863763</v>
      </c>
      <c r="G1167" s="19">
        <f t="shared" ca="1" si="165"/>
        <v>-0.59495375586376298</v>
      </c>
      <c r="H1167" s="27">
        <v>103.610001</v>
      </c>
      <c r="I1167" s="19">
        <f t="shared" si="166"/>
        <v>-9.1804437219087376E-3</v>
      </c>
      <c r="J1167" s="19">
        <f t="shared" ca="1" si="167"/>
        <v>-1.3471685851834593E-4</v>
      </c>
      <c r="K1167" s="19">
        <f t="shared" ca="1" si="168"/>
        <v>83.478750489751746</v>
      </c>
      <c r="L1167" s="19">
        <f t="shared" ca="1" si="169"/>
        <v>1.1247510248253434E-2</v>
      </c>
      <c r="M1167" s="19">
        <f t="shared" ca="1" si="170"/>
        <v>-0.58370624561550954</v>
      </c>
      <c r="AA1167" s="37">
        <v>1147</v>
      </c>
      <c r="AB1167" s="37">
        <v>1.8388731104495484</v>
      </c>
      <c r="AC1167" s="37">
        <v>2.6791913013522746</v>
      </c>
      <c r="AD1167" s="37">
        <v>3.4409116818050856</v>
      </c>
    </row>
    <row r="1168" spans="2:30" x14ac:dyDescent="0.3">
      <c r="B1168" s="28">
        <v>44330</v>
      </c>
      <c r="C1168" s="25">
        <v>39.009998000000003</v>
      </c>
      <c r="D1168" s="18">
        <f t="shared" si="162"/>
        <v>-1.935648615777974E-2</v>
      </c>
      <c r="E1168" s="32">
        <f t="shared" ca="1" si="163"/>
        <v>1.8641452479487407E-2</v>
      </c>
      <c r="F1168" s="18">
        <f t="shared" ca="1" si="164"/>
        <v>59.396984112720361</v>
      </c>
      <c r="G1168" s="19">
        <f t="shared" ca="1" si="165"/>
        <v>-1.0869831127203611</v>
      </c>
      <c r="H1168" s="27">
        <v>100.58000199999999</v>
      </c>
      <c r="I1168" s="19">
        <f t="shared" si="166"/>
        <v>-2.9244271506184027E-2</v>
      </c>
      <c r="J1168" s="19">
        <f t="shared" ca="1" si="167"/>
        <v>7.6806316303724021E-3</v>
      </c>
      <c r="K1168" s="19">
        <f t="shared" ca="1" si="168"/>
        <v>84.13125391945853</v>
      </c>
      <c r="L1168" s="19">
        <f t="shared" ca="1" si="169"/>
        <v>-0.64125591945852989</v>
      </c>
      <c r="M1168" s="19">
        <f t="shared" ca="1" si="170"/>
        <v>-1.728239032178891</v>
      </c>
      <c r="AA1168" s="37">
        <v>1148</v>
      </c>
      <c r="AB1168" s="37">
        <v>1.7594937042786949</v>
      </c>
      <c r="AC1168" s="37">
        <v>2.8796561389467201</v>
      </c>
      <c r="AD1168" s="37">
        <v>2.9585031668866195</v>
      </c>
    </row>
    <row r="1169" spans="2:30" x14ac:dyDescent="0.3">
      <c r="B1169" s="28">
        <v>44333</v>
      </c>
      <c r="C1169" s="25">
        <v>39.5</v>
      </c>
      <c r="D1169" s="18">
        <f t="shared" si="162"/>
        <v>1.2560933738063662E-2</v>
      </c>
      <c r="E1169" s="32">
        <f t="shared" ca="1" si="163"/>
        <v>1.7614724888061861E-3</v>
      </c>
      <c r="F1169" s="18">
        <f t="shared" ca="1" si="164"/>
        <v>58.412712462583762</v>
      </c>
      <c r="G1169" s="19">
        <f t="shared" ca="1" si="165"/>
        <v>-0.10271146258376262</v>
      </c>
      <c r="H1169" s="27">
        <v>100.33000199999999</v>
      </c>
      <c r="I1169" s="19">
        <f t="shared" si="166"/>
        <v>-2.4855835656077963E-3</v>
      </c>
      <c r="J1169" s="19">
        <f t="shared" ca="1" si="167"/>
        <v>1.7053893620087319E-2</v>
      </c>
      <c r="K1169" s="19">
        <f t="shared" ca="1" si="168"/>
        <v>84.9138275442333</v>
      </c>
      <c r="L1169" s="19">
        <f t="shared" ca="1" si="169"/>
        <v>-1.4238295442332998</v>
      </c>
      <c r="M1169" s="19">
        <f t="shared" ca="1" si="170"/>
        <v>-1.5265410068170624</v>
      </c>
      <c r="AA1169" s="37">
        <v>1149</v>
      </c>
      <c r="AB1169" s="37">
        <v>1.7076493586656265</v>
      </c>
      <c r="AC1169" s="37">
        <v>2.9241706138002921</v>
      </c>
      <c r="AD1169" s="37">
        <v>3.5143980629071248</v>
      </c>
    </row>
    <row r="1170" spans="2:30" x14ac:dyDescent="0.3">
      <c r="B1170" s="28">
        <v>44334</v>
      </c>
      <c r="C1170" s="25">
        <v>39.900002000000001</v>
      </c>
      <c r="D1170" s="18">
        <f t="shared" si="162"/>
        <v>1.0126632911392486E-2</v>
      </c>
      <c r="E1170" s="32">
        <f t="shared" ca="1" si="163"/>
        <v>-3.0919181603299463E-3</v>
      </c>
      <c r="F1170" s="18">
        <f t="shared" ca="1" si="164"/>
        <v>58.129711248979241</v>
      </c>
      <c r="G1170" s="19">
        <f t="shared" ca="1" si="165"/>
        <v>0.18028975102075862</v>
      </c>
      <c r="H1170" s="27">
        <v>101.540001</v>
      </c>
      <c r="I1170" s="19">
        <f t="shared" si="166"/>
        <v>1.206019112807355E-2</v>
      </c>
      <c r="J1170" s="19">
        <f t="shared" ca="1" si="167"/>
        <v>-2.0494468556793224E-3</v>
      </c>
      <c r="K1170" s="19">
        <f t="shared" ca="1" si="168"/>
        <v>83.318889686118226</v>
      </c>
      <c r="L1170" s="19">
        <f t="shared" ca="1" si="169"/>
        <v>0.17110831388177417</v>
      </c>
      <c r="M1170" s="19">
        <f t="shared" ca="1" si="170"/>
        <v>0.35139806490253278</v>
      </c>
      <c r="AA1170" s="37">
        <v>1150</v>
      </c>
      <c r="AB1170" s="37">
        <v>1.7895946470586974</v>
      </c>
      <c r="AC1170" s="37">
        <v>2.784248541513997</v>
      </c>
      <c r="AD1170" s="37">
        <v>3.3211298805087903</v>
      </c>
    </row>
    <row r="1171" spans="2:30" x14ac:dyDescent="0.3">
      <c r="B1171" s="28">
        <v>44335</v>
      </c>
      <c r="C1171" s="25">
        <v>40.029998999999997</v>
      </c>
      <c r="D1171" s="18">
        <f t="shared" si="162"/>
        <v>3.2580700121267459E-3</v>
      </c>
      <c r="E1171" s="32">
        <f t="shared" ca="1" si="163"/>
        <v>-2.2502749493414964E-2</v>
      </c>
      <c r="F1171" s="18">
        <f t="shared" ca="1" si="164"/>
        <v>56.997865654536227</v>
      </c>
      <c r="G1171" s="19">
        <f t="shared" ca="1" si="165"/>
        <v>1.3121353454637728</v>
      </c>
      <c r="H1171" s="27">
        <v>97.949996999999996</v>
      </c>
      <c r="I1171" s="19">
        <f t="shared" si="166"/>
        <v>-3.5355563961438241E-2</v>
      </c>
      <c r="J1171" s="19">
        <f t="shared" ca="1" si="167"/>
        <v>-1.1332434801521503E-2</v>
      </c>
      <c r="K1171" s="19">
        <f t="shared" ca="1" si="168"/>
        <v>82.543853041085839</v>
      </c>
      <c r="L1171" s="19">
        <f t="shared" ca="1" si="169"/>
        <v>0.94614495891416084</v>
      </c>
      <c r="M1171" s="19">
        <f t="shared" ca="1" si="170"/>
        <v>2.2582803043779336</v>
      </c>
      <c r="AA1171" s="37">
        <v>1151</v>
      </c>
      <c r="AB1171" s="37">
        <v>1.8698373694738821</v>
      </c>
      <c r="AC1171" s="37">
        <v>2.8607949519883302</v>
      </c>
      <c r="AD1171" s="37">
        <v>3.5768241882684477</v>
      </c>
    </row>
    <row r="1172" spans="2:30" x14ac:dyDescent="0.3">
      <c r="B1172" s="28">
        <v>44336</v>
      </c>
      <c r="C1172" s="25">
        <v>40.790000999999997</v>
      </c>
      <c r="D1172" s="18">
        <f t="shared" si="162"/>
        <v>1.8985811116308149E-2</v>
      </c>
      <c r="E1172" s="32">
        <f t="shared" ca="1" si="163"/>
        <v>-1.7727511960534553E-2</v>
      </c>
      <c r="F1172" s="18">
        <f t="shared" ca="1" si="164"/>
        <v>57.276309759853717</v>
      </c>
      <c r="G1172" s="19">
        <f t="shared" ca="1" si="165"/>
        <v>1.0336912401462826</v>
      </c>
      <c r="H1172" s="27">
        <v>94.790001000000004</v>
      </c>
      <c r="I1172" s="19">
        <f t="shared" si="166"/>
        <v>-3.2261317986564064E-2</v>
      </c>
      <c r="J1172" s="19">
        <f t="shared" ca="1" si="167"/>
        <v>1.0450621449366874E-2</v>
      </c>
      <c r="K1172" s="19">
        <f t="shared" ca="1" si="168"/>
        <v>84.362520363906398</v>
      </c>
      <c r="L1172" s="19">
        <f t="shared" ca="1" si="169"/>
        <v>-0.87252236390639837</v>
      </c>
      <c r="M1172" s="19">
        <f t="shared" ca="1" si="170"/>
        <v>0.16116887623988418</v>
      </c>
      <c r="AA1172" s="37">
        <v>1152</v>
      </c>
      <c r="AB1172" s="37">
        <v>1.8242509208427582</v>
      </c>
      <c r="AC1172" s="37">
        <v>2.6755782118137388</v>
      </c>
      <c r="AD1172" s="37">
        <v>3.3450840657613528</v>
      </c>
    </row>
    <row r="1173" spans="2:30" x14ac:dyDescent="0.3">
      <c r="B1173" s="28">
        <v>44337</v>
      </c>
      <c r="C1173" s="25">
        <v>40.020000000000003</v>
      </c>
      <c r="D1173" s="18">
        <f t="shared" si="162"/>
        <v>-1.8877199831399682E-2</v>
      </c>
      <c r="E1173" s="32">
        <f t="shared" ca="1" si="163"/>
        <v>2.8951419059123077E-2</v>
      </c>
      <c r="F1173" s="18">
        <f t="shared" ca="1" si="164"/>
        <v>59.99815827428889</v>
      </c>
      <c r="G1173" s="19">
        <f t="shared" ca="1" si="165"/>
        <v>-1.6881572742888906</v>
      </c>
      <c r="H1173" s="27">
        <v>95.779999000000004</v>
      </c>
      <c r="I1173" s="19">
        <f t="shared" si="166"/>
        <v>1.0444118467727304E-2</v>
      </c>
      <c r="J1173" s="19">
        <f t="shared" ca="1" si="167"/>
        <v>2.5912813571715491E-2</v>
      </c>
      <c r="K1173" s="19">
        <f t="shared" ca="1" si="168"/>
        <v>85.653458753276894</v>
      </c>
      <c r="L1173" s="19">
        <f t="shared" ca="1" si="169"/>
        <v>-2.1634607532768939</v>
      </c>
      <c r="M1173" s="19">
        <f t="shared" ca="1" si="170"/>
        <v>-3.8516180275657845</v>
      </c>
      <c r="AA1173" s="37">
        <v>1153</v>
      </c>
      <c r="AB1173" s="37">
        <v>1.7857278225333511</v>
      </c>
      <c r="AC1173" s="37">
        <v>3.0060988207888921</v>
      </c>
      <c r="AD1173" s="37">
        <v>3.0767122733766739</v>
      </c>
    </row>
    <row r="1174" spans="2:30" x14ac:dyDescent="0.3">
      <c r="B1174" s="28">
        <v>44340</v>
      </c>
      <c r="C1174" s="25">
        <v>40.5</v>
      </c>
      <c r="D1174" s="18">
        <f t="shared" si="162"/>
        <v>1.1994002998500619E-2</v>
      </c>
      <c r="E1174" s="32">
        <f t="shared" ca="1" si="163"/>
        <v>1.0533071218438798E-2</v>
      </c>
      <c r="F1174" s="18">
        <f t="shared" ca="1" si="164"/>
        <v>58.924184393280242</v>
      </c>
      <c r="G1174" s="19">
        <f t="shared" ca="1" si="165"/>
        <v>-0.61418339328024274</v>
      </c>
      <c r="H1174" s="27">
        <v>94.050003000000004</v>
      </c>
      <c r="I1174" s="19">
        <f t="shared" si="166"/>
        <v>-1.8062184360640887E-2</v>
      </c>
      <c r="J1174" s="19">
        <f t="shared" ca="1" si="167"/>
        <v>-6.5068671421748287E-3</v>
      </c>
      <c r="K1174" s="19">
        <f t="shared" ca="1" si="168"/>
        <v>82.946739675313552</v>
      </c>
      <c r="L1174" s="19">
        <f t="shared" ca="1" si="169"/>
        <v>0.54325832468644819</v>
      </c>
      <c r="M1174" s="19">
        <f t="shared" ca="1" si="170"/>
        <v>-7.0925068593794549E-2</v>
      </c>
      <c r="AA1174" s="37">
        <v>1154</v>
      </c>
      <c r="AB1174" s="37">
        <v>1.8754530061749846</v>
      </c>
      <c r="AC1174" s="37">
        <v>2.856077652202067</v>
      </c>
      <c r="AD1174" s="37">
        <v>3.4463360225232234</v>
      </c>
    </row>
    <row r="1175" spans="2:30" x14ac:dyDescent="0.3">
      <c r="B1175" s="28">
        <v>44341</v>
      </c>
      <c r="C1175" s="25">
        <v>41.25</v>
      </c>
      <c r="D1175" s="18">
        <f t="shared" si="162"/>
        <v>1.8518518518518601E-2</v>
      </c>
      <c r="E1175" s="32">
        <f t="shared" ca="1" si="163"/>
        <v>2.6780978946006551E-2</v>
      </c>
      <c r="F1175" s="18">
        <f t="shared" ca="1" si="164"/>
        <v>59.871599909122615</v>
      </c>
      <c r="G1175" s="19">
        <f t="shared" ca="1" si="165"/>
        <v>-1.5615989091226155</v>
      </c>
      <c r="H1175" s="27">
        <v>91</v>
      </c>
      <c r="I1175" s="19">
        <f t="shared" si="166"/>
        <v>-3.2429589608838238E-2</v>
      </c>
      <c r="J1175" s="19">
        <f t="shared" ca="1" si="167"/>
        <v>3.8557519254132394E-2</v>
      </c>
      <c r="K1175" s="19">
        <f t="shared" ca="1" si="168"/>
        <v>86.709165205412475</v>
      </c>
      <c r="L1175" s="19">
        <f t="shared" ca="1" si="169"/>
        <v>-3.2191672054124751</v>
      </c>
      <c r="M1175" s="19">
        <f t="shared" ca="1" si="170"/>
        <v>-4.7807661145350906</v>
      </c>
      <c r="AA1175" s="37">
        <v>1155</v>
      </c>
      <c r="AB1175" s="37">
        <v>1.7490644535094768</v>
      </c>
      <c r="AC1175" s="37">
        <v>2.7267447352931597</v>
      </c>
      <c r="AD1175" s="37">
        <v>3.391045943130413</v>
      </c>
    </row>
    <row r="1176" spans="2:30" x14ac:dyDescent="0.3">
      <c r="B1176" s="28">
        <v>44342</v>
      </c>
      <c r="C1176" s="25">
        <v>42.549999</v>
      </c>
      <c r="D1176" s="18">
        <f t="shared" si="162"/>
        <v>3.1515127272727206E-2</v>
      </c>
      <c r="E1176" s="32">
        <f t="shared" ca="1" si="163"/>
        <v>-5.9051403208065225E-3</v>
      </c>
      <c r="F1176" s="18">
        <f t="shared" ca="1" si="164"/>
        <v>57.965672261988637</v>
      </c>
      <c r="G1176" s="19">
        <f t="shared" ca="1" si="165"/>
        <v>0.3443287380113631</v>
      </c>
      <c r="H1176" s="27">
        <v>91.650002000000001</v>
      </c>
      <c r="I1176" s="19">
        <f t="shared" si="166"/>
        <v>7.1428791208791864E-3</v>
      </c>
      <c r="J1176" s="19">
        <f t="shared" ca="1" si="167"/>
        <v>-1.9380439160672294E-3</v>
      </c>
      <c r="K1176" s="19">
        <f t="shared" ca="1" si="168"/>
        <v>83.328190717323636</v>
      </c>
      <c r="L1176" s="19">
        <f t="shared" ca="1" si="169"/>
        <v>0.16180728267636368</v>
      </c>
      <c r="M1176" s="19">
        <f t="shared" ca="1" si="170"/>
        <v>0.50613602068772678</v>
      </c>
      <c r="AA1176" s="37">
        <v>1156</v>
      </c>
      <c r="AB1176" s="37">
        <v>1.8870421185304531</v>
      </c>
      <c r="AC1176" s="37">
        <v>2.7189595729873015</v>
      </c>
      <c r="AD1176" s="37">
        <v>3.3772402090745466</v>
      </c>
    </row>
    <row r="1177" spans="2:30" x14ac:dyDescent="0.3">
      <c r="B1177" s="28">
        <v>44343</v>
      </c>
      <c r="C1177" s="25">
        <v>43.240001999999997</v>
      </c>
      <c r="D1177" s="18">
        <f t="shared" si="162"/>
        <v>1.6216287102615468E-2</v>
      </c>
      <c r="E1177" s="32">
        <f t="shared" ca="1" si="163"/>
        <v>1.7779611486959952E-2</v>
      </c>
      <c r="F1177" s="18">
        <f t="shared" ca="1" si="164"/>
        <v>59.346730163584247</v>
      </c>
      <c r="G1177" s="19">
        <f t="shared" ca="1" si="165"/>
        <v>-1.0367291635842477</v>
      </c>
      <c r="H1177" s="27">
        <v>92.849997999999999</v>
      </c>
      <c r="I1177" s="19">
        <f t="shared" si="166"/>
        <v>1.3093245759012717E-2</v>
      </c>
      <c r="J1177" s="19">
        <f t="shared" ca="1" si="167"/>
        <v>-1.4881195232795389E-2</v>
      </c>
      <c r="K1177" s="19">
        <f t="shared" ca="1" si="168"/>
        <v>82.2475670397763</v>
      </c>
      <c r="L1177" s="19">
        <f t="shared" ca="1" si="169"/>
        <v>1.2424309602237003</v>
      </c>
      <c r="M1177" s="19">
        <f t="shared" ca="1" si="170"/>
        <v>0.20570179663945254</v>
      </c>
      <c r="AA1177" s="37">
        <v>1157</v>
      </c>
      <c r="AB1177" s="37">
        <v>1.727944239289336</v>
      </c>
      <c r="AC1177" s="37">
        <v>2.8524977595058485</v>
      </c>
      <c r="AD1177" s="37">
        <v>3.308694063071969</v>
      </c>
    </row>
    <row r="1178" spans="2:30" x14ac:dyDescent="0.3">
      <c r="B1178" s="28">
        <v>44344</v>
      </c>
      <c r="C1178" s="25">
        <v>43.290000999999997</v>
      </c>
      <c r="D1178" s="18">
        <f t="shared" si="162"/>
        <v>1.1563135450363138E-3</v>
      </c>
      <c r="E1178" s="32">
        <f t="shared" ca="1" si="163"/>
        <v>1.8296030187804719E-3</v>
      </c>
      <c r="F1178" s="18">
        <f t="shared" ca="1" si="164"/>
        <v>58.416685153854694</v>
      </c>
      <c r="G1178" s="19">
        <f t="shared" ca="1" si="165"/>
        <v>-0.10668415385469388</v>
      </c>
      <c r="H1178" s="27">
        <v>95.589995999999999</v>
      </c>
      <c r="I1178" s="19">
        <f t="shared" si="166"/>
        <v>2.9509941400321926E-2</v>
      </c>
      <c r="J1178" s="19">
        <f t="shared" ca="1" si="167"/>
        <v>-2.322042070675992E-2</v>
      </c>
      <c r="K1178" s="19">
        <f t="shared" ca="1" si="168"/>
        <v>81.551325121633454</v>
      </c>
      <c r="L1178" s="19">
        <f t="shared" ca="1" si="169"/>
        <v>1.9386728783665461</v>
      </c>
      <c r="M1178" s="19">
        <f t="shared" ca="1" si="170"/>
        <v>1.8319887245118522</v>
      </c>
      <c r="AA1178" s="37">
        <v>1158</v>
      </c>
      <c r="AB1178" s="37">
        <v>1.8076660190292511</v>
      </c>
      <c r="AC1178" s="37">
        <v>2.8189019117434571</v>
      </c>
      <c r="AD1178" s="37">
        <v>3.3051876044095825</v>
      </c>
    </row>
    <row r="1179" spans="2:30" x14ac:dyDescent="0.3">
      <c r="B1179" s="28">
        <v>44347</v>
      </c>
      <c r="C1179" s="25">
        <v>43.849997999999999</v>
      </c>
      <c r="D1179" s="18">
        <f t="shared" si="162"/>
        <v>1.2935943337123001E-2</v>
      </c>
      <c r="E1179" s="32">
        <f t="shared" ca="1" si="163"/>
        <v>1.0537672121853159E-2</v>
      </c>
      <c r="F1179" s="18">
        <f t="shared" ca="1" si="164"/>
        <v>58.924452671962925</v>
      </c>
      <c r="G1179" s="19">
        <f t="shared" ca="1" si="165"/>
        <v>-0.61445167196292516</v>
      </c>
      <c r="H1179" s="27">
        <v>97.139999000000003</v>
      </c>
      <c r="I1179" s="19">
        <f t="shared" si="166"/>
        <v>1.6215117322528227E-2</v>
      </c>
      <c r="J1179" s="19">
        <f t="shared" ca="1" si="167"/>
        <v>1.923320427764191E-2</v>
      </c>
      <c r="K1179" s="19">
        <f t="shared" ca="1" si="168"/>
        <v>85.095778186673925</v>
      </c>
      <c r="L1179" s="19">
        <f t="shared" ca="1" si="169"/>
        <v>-1.6057801866739254</v>
      </c>
      <c r="M1179" s="19">
        <f t="shared" ca="1" si="170"/>
        <v>-2.2202318586368506</v>
      </c>
      <c r="AA1179" s="37">
        <v>1159</v>
      </c>
      <c r="AB1179" s="37">
        <v>1.7661129796089172</v>
      </c>
      <c r="AC1179" s="37">
        <v>2.8869330987378885</v>
      </c>
      <c r="AD1179" s="37">
        <v>3.4206713034082847</v>
      </c>
    </row>
    <row r="1180" spans="2:30" x14ac:dyDescent="0.3">
      <c r="B1180" s="28">
        <v>44348</v>
      </c>
      <c r="C1180" s="25">
        <v>43.560001</v>
      </c>
      <c r="D1180" s="18">
        <f t="shared" si="162"/>
        <v>-6.6133868466766721E-3</v>
      </c>
      <c r="E1180" s="32">
        <f t="shared" ca="1" si="163"/>
        <v>-2.3236676594658258E-2</v>
      </c>
      <c r="F1180" s="18">
        <f t="shared" ca="1" si="164"/>
        <v>56.955070364528801</v>
      </c>
      <c r="G1180" s="19">
        <f t="shared" ca="1" si="165"/>
        <v>1.3549306354711987</v>
      </c>
      <c r="H1180" s="27">
        <v>96.860000999999997</v>
      </c>
      <c r="I1180" s="19">
        <f t="shared" si="166"/>
        <v>-2.8824171595884795E-3</v>
      </c>
      <c r="J1180" s="19">
        <f t="shared" ca="1" si="167"/>
        <v>-6.1416466667605632E-3</v>
      </c>
      <c r="K1180" s="19">
        <f t="shared" ca="1" si="168"/>
        <v>82.977231932075455</v>
      </c>
      <c r="L1180" s="19">
        <f t="shared" ca="1" si="169"/>
        <v>0.51276606792454515</v>
      </c>
      <c r="M1180" s="19">
        <f t="shared" ca="1" si="170"/>
        <v>1.8676967033957439</v>
      </c>
      <c r="AA1180" s="37">
        <v>1160</v>
      </c>
      <c r="AB1180" s="37">
        <v>1.738500794185657</v>
      </c>
      <c r="AC1180" s="37">
        <v>2.7871968684342456</v>
      </c>
      <c r="AD1180" s="37">
        <v>3.3963135551830557</v>
      </c>
    </row>
    <row r="1181" spans="2:30" x14ac:dyDescent="0.3">
      <c r="B1181" s="28">
        <v>44349</v>
      </c>
      <c r="C1181" s="25">
        <v>43.689999</v>
      </c>
      <c r="D1181" s="18">
        <f t="shared" si="162"/>
        <v>2.9843433658323093E-3</v>
      </c>
      <c r="E1181" s="32">
        <f t="shared" ca="1" si="163"/>
        <v>9.3728237426657698E-3</v>
      </c>
      <c r="F1181" s="18">
        <f t="shared" ca="1" si="164"/>
        <v>58.856530361807664</v>
      </c>
      <c r="G1181" s="19">
        <f t="shared" ca="1" si="165"/>
        <v>-0.54652936180766432</v>
      </c>
      <c r="H1181" s="27">
        <v>98.010002</v>
      </c>
      <c r="I1181" s="19">
        <f t="shared" si="166"/>
        <v>1.1872816313516221E-2</v>
      </c>
      <c r="J1181" s="19">
        <f t="shared" ca="1" si="167"/>
        <v>-5.0284996973081905E-2</v>
      </c>
      <c r="K1181" s="19">
        <f t="shared" ca="1" si="168"/>
        <v>79.291703703287382</v>
      </c>
      <c r="L1181" s="19">
        <f t="shared" ca="1" si="169"/>
        <v>4.1982942967126178</v>
      </c>
      <c r="M1181" s="19">
        <f t="shared" ca="1" si="170"/>
        <v>3.6517649349049535</v>
      </c>
      <c r="AA1181" s="37">
        <v>1161</v>
      </c>
      <c r="AB1181" s="37">
        <v>1.76704815558163</v>
      </c>
      <c r="AC1181" s="37">
        <v>2.6978072735298535</v>
      </c>
      <c r="AD1181" s="37">
        <v>3.1529654943911423</v>
      </c>
    </row>
    <row r="1182" spans="2:30" x14ac:dyDescent="0.3">
      <c r="B1182" s="28">
        <v>44350</v>
      </c>
      <c r="C1182" s="25">
        <v>44.200001</v>
      </c>
      <c r="D1182" s="18">
        <f t="shared" si="162"/>
        <v>1.1673197795220913E-2</v>
      </c>
      <c r="E1182" s="32">
        <f t="shared" ca="1" si="163"/>
        <v>-1.1303477536960677E-3</v>
      </c>
      <c r="F1182" s="18">
        <f t="shared" ca="1" si="164"/>
        <v>58.244090421351636</v>
      </c>
      <c r="G1182" s="19">
        <f t="shared" ca="1" si="165"/>
        <v>6.5910578648363582E-2</v>
      </c>
      <c r="H1182" s="27">
        <v>97.68</v>
      </c>
      <c r="I1182" s="19">
        <f t="shared" si="166"/>
        <v>-3.3670237043765816E-3</v>
      </c>
      <c r="J1182" s="19">
        <f t="shared" ca="1" si="167"/>
        <v>1.1677737898996223E-2</v>
      </c>
      <c r="K1182" s="19">
        <f t="shared" ca="1" si="168"/>
        <v>84.464972313831723</v>
      </c>
      <c r="L1182" s="19">
        <f t="shared" ca="1" si="169"/>
        <v>-0.97497431383172284</v>
      </c>
      <c r="M1182" s="19">
        <f t="shared" ca="1" si="170"/>
        <v>-0.90906373518335926</v>
      </c>
      <c r="AA1182" s="37">
        <v>1162</v>
      </c>
      <c r="AB1182" s="37">
        <v>1.7412171056155932</v>
      </c>
      <c r="AC1182" s="37">
        <v>2.7278867141120937</v>
      </c>
      <c r="AD1182" s="37">
        <v>3.2148463118646076</v>
      </c>
    </row>
    <row r="1183" spans="2:30" x14ac:dyDescent="0.3">
      <c r="B1183" s="28">
        <v>44351</v>
      </c>
      <c r="C1183" s="25">
        <v>43.75</v>
      </c>
      <c r="D1183" s="18">
        <f t="shared" si="162"/>
        <v>-1.0181017869207776E-2</v>
      </c>
      <c r="E1183" s="32">
        <f t="shared" ca="1" si="163"/>
        <v>1.6521022481464056E-2</v>
      </c>
      <c r="F1183" s="18">
        <f t="shared" ca="1" si="164"/>
        <v>59.273341837415188</v>
      </c>
      <c r="G1183" s="19">
        <f t="shared" ca="1" si="165"/>
        <v>-0.96334083741518839</v>
      </c>
      <c r="H1183" s="27">
        <v>99.690002000000007</v>
      </c>
      <c r="I1183" s="19">
        <f t="shared" si="166"/>
        <v>2.0577416052416142E-2</v>
      </c>
      <c r="J1183" s="19">
        <f t="shared" ca="1" si="167"/>
        <v>3.2349866633588867E-2</v>
      </c>
      <c r="K1183" s="19">
        <f t="shared" ca="1" si="168"/>
        <v>86.190888300538603</v>
      </c>
      <c r="L1183" s="19">
        <f t="shared" ca="1" si="169"/>
        <v>-2.7008903005386031</v>
      </c>
      <c r="M1183" s="19">
        <f t="shared" ca="1" si="170"/>
        <v>-3.6642311379537915</v>
      </c>
      <c r="AA1183" s="37">
        <v>1163</v>
      </c>
      <c r="AB1183" s="37">
        <v>1.712824294127351</v>
      </c>
      <c r="AC1183" s="37">
        <v>2.9075924344911583</v>
      </c>
      <c r="AD1183" s="37">
        <v>3.1749918059298867</v>
      </c>
    </row>
    <row r="1184" spans="2:30" x14ac:dyDescent="0.3">
      <c r="B1184" s="28">
        <v>44354</v>
      </c>
      <c r="C1184" s="25">
        <v>44.259998000000003</v>
      </c>
      <c r="D1184" s="18">
        <f t="shared" si="162"/>
        <v>1.165709714285712E-2</v>
      </c>
      <c r="E1184" s="32">
        <f t="shared" ca="1" si="163"/>
        <v>5.9587838053131639E-3</v>
      </c>
      <c r="F1184" s="18">
        <f t="shared" ca="1" si="164"/>
        <v>58.657457689646598</v>
      </c>
      <c r="G1184" s="19">
        <f t="shared" ca="1" si="165"/>
        <v>-0.3474566896465987</v>
      </c>
      <c r="H1184" s="27">
        <v>92.879997000000003</v>
      </c>
      <c r="I1184" s="19">
        <f t="shared" si="166"/>
        <v>-6.8311815261073106E-2</v>
      </c>
      <c r="J1184" s="19">
        <f t="shared" ca="1" si="167"/>
        <v>-7.8514442976573527E-3</v>
      </c>
      <c r="K1184" s="19">
        <f t="shared" ca="1" si="168"/>
        <v>82.83448093129148</v>
      </c>
      <c r="L1184" s="19">
        <f t="shared" ca="1" si="169"/>
        <v>0.65551706870851945</v>
      </c>
      <c r="M1184" s="19">
        <f t="shared" ca="1" si="170"/>
        <v>0.30806037906192074</v>
      </c>
      <c r="AA1184" s="37">
        <v>1164</v>
      </c>
      <c r="AB1184" s="37">
        <v>1.8369987691706611</v>
      </c>
      <c r="AC1184" s="37">
        <v>2.7715937747157215</v>
      </c>
      <c r="AD1184" s="37">
        <v>3.2921726542991063</v>
      </c>
    </row>
    <row r="1185" spans="2:30" x14ac:dyDescent="0.3">
      <c r="B1185" s="28">
        <v>44355</v>
      </c>
      <c r="C1185" s="25">
        <v>45.27</v>
      </c>
      <c r="D1185" s="18">
        <f t="shared" si="162"/>
        <v>2.2819747981009941E-2</v>
      </c>
      <c r="E1185" s="32">
        <f t="shared" ca="1" si="163"/>
        <v>2.4040821339391061E-2</v>
      </c>
      <c r="F1185" s="18">
        <f t="shared" ca="1" si="164"/>
        <v>59.711821316340711</v>
      </c>
      <c r="G1185" s="19">
        <f t="shared" ca="1" si="165"/>
        <v>-1.4018203163407108</v>
      </c>
      <c r="H1185" s="27">
        <v>90.940002000000007</v>
      </c>
      <c r="I1185" s="19">
        <f t="shared" si="166"/>
        <v>-2.0887113077749042E-2</v>
      </c>
      <c r="J1185" s="19">
        <f t="shared" ca="1" si="167"/>
        <v>1.3676163011517837E-2</v>
      </c>
      <c r="K1185" s="19">
        <f t="shared" ca="1" si="168"/>
        <v>84.631820822479298</v>
      </c>
      <c r="L1185" s="19">
        <f t="shared" ca="1" si="169"/>
        <v>-1.1418228224792983</v>
      </c>
      <c r="M1185" s="19">
        <f t="shared" ca="1" si="170"/>
        <v>-2.5436431388200091</v>
      </c>
      <c r="AA1185" s="37">
        <v>1165</v>
      </c>
      <c r="AB1185" s="37">
        <v>1.7945552302771774</v>
      </c>
      <c r="AC1185" s="37">
        <v>3.0455060504787395</v>
      </c>
      <c r="AD1185" s="37">
        <v>3.4210374658316178</v>
      </c>
    </row>
    <row r="1186" spans="2:30" x14ac:dyDescent="0.3">
      <c r="B1186" s="28">
        <v>44356</v>
      </c>
      <c r="C1186" s="25">
        <v>45.25</v>
      </c>
      <c r="D1186" s="18">
        <f t="shared" si="162"/>
        <v>-4.4179368235042205E-4</v>
      </c>
      <c r="E1186" s="32">
        <f t="shared" ca="1" si="163"/>
        <v>-1.2626590184280265E-2</v>
      </c>
      <c r="F1186" s="18">
        <f t="shared" ca="1" si="164"/>
        <v>57.57374451372803</v>
      </c>
      <c r="G1186" s="19">
        <f t="shared" ca="1" si="165"/>
        <v>0.73625648627196938</v>
      </c>
      <c r="H1186" s="27">
        <v>92.169998000000007</v>
      </c>
      <c r="I1186" s="19">
        <f t="shared" si="166"/>
        <v>1.3525357081034528E-2</v>
      </c>
      <c r="J1186" s="19">
        <f t="shared" ca="1" si="167"/>
        <v>1.9106322983622467E-2</v>
      </c>
      <c r="K1186" s="19">
        <f t="shared" ca="1" si="168"/>
        <v>85.085184867689989</v>
      </c>
      <c r="L1186" s="19">
        <f t="shared" ca="1" si="169"/>
        <v>-1.5951868676899892</v>
      </c>
      <c r="M1186" s="19">
        <f t="shared" ca="1" si="170"/>
        <v>-0.85893038141801981</v>
      </c>
      <c r="AA1186" s="37">
        <v>1166</v>
      </c>
      <c r="AB1186" s="37">
        <v>1.7763567245642988</v>
      </c>
      <c r="AC1186" s="37">
        <v>2.7271794233356248</v>
      </c>
      <c r="AD1186" s="37">
        <v>3.4044475012720228</v>
      </c>
    </row>
    <row r="1187" spans="2:30" x14ac:dyDescent="0.3">
      <c r="B1187" s="28">
        <v>44357</v>
      </c>
      <c r="C1187" s="25">
        <v>44.740001999999997</v>
      </c>
      <c r="D1187" s="18">
        <f t="shared" si="162"/>
        <v>-1.1270674033149186E-2</v>
      </c>
      <c r="E1187" s="32">
        <f t="shared" ca="1" si="163"/>
        <v>8.3946154682939065E-3</v>
      </c>
      <c r="F1187" s="18">
        <f t="shared" ca="1" si="164"/>
        <v>58.79949103635083</v>
      </c>
      <c r="G1187" s="19">
        <f t="shared" ca="1" si="165"/>
        <v>-0.48949003635082988</v>
      </c>
      <c r="H1187" s="27">
        <v>91.660004000000001</v>
      </c>
      <c r="I1187" s="19">
        <f t="shared" si="166"/>
        <v>-5.5331887931689971E-3</v>
      </c>
      <c r="J1187" s="19">
        <f t="shared" ca="1" si="167"/>
        <v>6.456264352051936E-3</v>
      </c>
      <c r="K1187" s="19">
        <f t="shared" ca="1" si="168"/>
        <v>84.029031497840293</v>
      </c>
      <c r="L1187" s="19">
        <f t="shared" ca="1" si="169"/>
        <v>-0.53903349784029331</v>
      </c>
      <c r="M1187" s="19">
        <f t="shared" ca="1" si="170"/>
        <v>-1.0285235341911232</v>
      </c>
      <c r="AA1187" s="37">
        <v>1167</v>
      </c>
      <c r="AB1187" s="37">
        <v>1.6839193669362436</v>
      </c>
      <c r="AC1187" s="37">
        <v>2.5935266108362351</v>
      </c>
      <c r="AD1187" s="37">
        <v>3.4834993353818593</v>
      </c>
    </row>
    <row r="1188" spans="2:30" x14ac:dyDescent="0.3">
      <c r="B1188" s="28">
        <v>44358</v>
      </c>
      <c r="C1188" s="25">
        <v>44.5</v>
      </c>
      <c r="D1188" s="18">
        <f t="shared" si="162"/>
        <v>-5.3643716868854163E-3</v>
      </c>
      <c r="E1188" s="32">
        <f t="shared" ca="1" si="163"/>
        <v>-1.6013494704955385E-2</v>
      </c>
      <c r="F1188" s="18">
        <f t="shared" ca="1" si="164"/>
        <v>57.376254107740557</v>
      </c>
      <c r="G1188" s="19">
        <f t="shared" ca="1" si="165"/>
        <v>0.93374689225944252</v>
      </c>
      <c r="H1188" s="27">
        <v>93.349997999999999</v>
      </c>
      <c r="I1188" s="19">
        <f t="shared" si="166"/>
        <v>1.8437638296415537E-2</v>
      </c>
      <c r="J1188" s="19">
        <f t="shared" ca="1" si="167"/>
        <v>-7.2406454545164757E-5</v>
      </c>
      <c r="K1188" s="19">
        <f t="shared" ca="1" si="168"/>
        <v>83.483952785254829</v>
      </c>
      <c r="L1188" s="19">
        <f t="shared" ca="1" si="169"/>
        <v>6.045214745171279E-3</v>
      </c>
      <c r="M1188" s="19">
        <f t="shared" ca="1" si="170"/>
        <v>0.9397921070046138</v>
      </c>
      <c r="AA1188" s="37">
        <v>1168</v>
      </c>
      <c r="AB1188" s="37">
        <v>1.821219809987275</v>
      </c>
      <c r="AC1188" s="37">
        <v>2.9309453921524593</v>
      </c>
      <c r="AD1188" s="37">
        <v>3.4202432840518853</v>
      </c>
    </row>
    <row r="1189" spans="2:30" x14ac:dyDescent="0.3">
      <c r="B1189" s="28">
        <v>44361</v>
      </c>
      <c r="C1189" s="25">
        <v>44.630001</v>
      </c>
      <c r="D1189" s="18">
        <f t="shared" si="162"/>
        <v>2.9213707865167748E-3</v>
      </c>
      <c r="E1189" s="32">
        <f t="shared" ca="1" si="163"/>
        <v>-8.3282997631198563E-3</v>
      </c>
      <c r="F1189" s="18">
        <f t="shared" ca="1" si="164"/>
        <v>57.824377832484181</v>
      </c>
      <c r="G1189" s="19">
        <f t="shared" ca="1" si="165"/>
        <v>0.48562316751581847</v>
      </c>
      <c r="H1189" s="27">
        <v>92.93</v>
      </c>
      <c r="I1189" s="19">
        <f t="shared" si="166"/>
        <v>-4.4991752436887023E-3</v>
      </c>
      <c r="J1189" s="19">
        <f t="shared" ca="1" si="167"/>
        <v>3.1972440022165704E-3</v>
      </c>
      <c r="K1189" s="19">
        <f t="shared" ca="1" si="168"/>
        <v>83.756935895350566</v>
      </c>
      <c r="L1189" s="19">
        <f t="shared" ca="1" si="169"/>
        <v>-0.26693789535056567</v>
      </c>
      <c r="M1189" s="19">
        <f t="shared" ca="1" si="170"/>
        <v>0.2186852721652528</v>
      </c>
      <c r="AA1189" s="37">
        <v>1169</v>
      </c>
      <c r="AB1189" s="37">
        <v>1.7321447572131858</v>
      </c>
      <c r="AC1189" s="37">
        <v>2.788515977233184</v>
      </c>
      <c r="AD1189" s="37">
        <v>3.3747326830665183</v>
      </c>
    </row>
    <row r="1190" spans="2:30" x14ac:dyDescent="0.3">
      <c r="B1190" s="28">
        <v>44362</v>
      </c>
      <c r="C1190" s="25">
        <v>44.810001</v>
      </c>
      <c r="D1190" s="18">
        <f t="shared" si="162"/>
        <v>4.0331614601576415E-3</v>
      </c>
      <c r="E1190" s="32">
        <f t="shared" ca="1" si="163"/>
        <v>-2.1783687733247241E-3</v>
      </c>
      <c r="F1190" s="18">
        <f t="shared" ca="1" si="164"/>
        <v>58.182980314649065</v>
      </c>
      <c r="G1190" s="19">
        <f t="shared" ca="1" si="165"/>
        <v>0.12702068535093503</v>
      </c>
      <c r="H1190" s="27">
        <v>91.410004000000001</v>
      </c>
      <c r="I1190" s="19">
        <f t="shared" si="166"/>
        <v>-1.6356354245130822E-2</v>
      </c>
      <c r="J1190" s="19">
        <f t="shared" ca="1" si="167"/>
        <v>-1.5839853885618045E-2</v>
      </c>
      <c r="K1190" s="19">
        <f t="shared" ca="1" si="168"/>
        <v>82.167528630769453</v>
      </c>
      <c r="L1190" s="19">
        <f t="shared" ca="1" si="169"/>
        <v>1.3224693692305465</v>
      </c>
      <c r="M1190" s="19">
        <f t="shared" ca="1" si="170"/>
        <v>1.4494900545814815</v>
      </c>
      <c r="AA1190" s="37">
        <v>1170</v>
      </c>
      <c r="AB1190" s="37">
        <v>1.8164880436070348</v>
      </c>
      <c r="AC1190" s="37">
        <v>2.9059044108516217</v>
      </c>
      <c r="AD1190" s="37">
        <v>3.2905410724217696</v>
      </c>
    </row>
    <row r="1191" spans="2:30" x14ac:dyDescent="0.3">
      <c r="B1191" s="28">
        <v>44363</v>
      </c>
      <c r="C1191" s="25">
        <v>44.880001</v>
      </c>
      <c r="D1191" s="18">
        <f t="shared" si="162"/>
        <v>1.5621512706505136E-3</v>
      </c>
      <c r="E1191" s="32">
        <f t="shared" ca="1" si="163"/>
        <v>2.2674623903246944E-2</v>
      </c>
      <c r="F1191" s="18">
        <f t="shared" ca="1" si="164"/>
        <v>59.632158342472955</v>
      </c>
      <c r="G1191" s="19">
        <f t="shared" ca="1" si="165"/>
        <v>-1.3221573424729556</v>
      </c>
      <c r="H1191" s="27">
        <v>88.339995999999999</v>
      </c>
      <c r="I1191" s="19">
        <f t="shared" si="166"/>
        <v>-3.358503299048099E-2</v>
      </c>
      <c r="J1191" s="19">
        <f t="shared" ca="1" si="167"/>
        <v>1.5019885114085783E-2</v>
      </c>
      <c r="K1191" s="19">
        <f t="shared" ca="1" si="168"/>
        <v>84.744008178135246</v>
      </c>
      <c r="L1191" s="19">
        <f t="shared" ca="1" si="169"/>
        <v>-1.2540101781352462</v>
      </c>
      <c r="M1191" s="19">
        <f t="shared" ca="1" si="170"/>
        <v>-2.5761675206082018</v>
      </c>
      <c r="AA1191" s="37">
        <v>1171</v>
      </c>
      <c r="AB1191" s="37">
        <v>1.7628297855928474</v>
      </c>
      <c r="AC1191" s="37">
        <v>2.7481261265656247</v>
      </c>
      <c r="AD1191" s="37">
        <v>3.5110250807834675</v>
      </c>
    </row>
    <row r="1192" spans="2:30" x14ac:dyDescent="0.3">
      <c r="B1192" s="28">
        <v>44364</v>
      </c>
      <c r="C1192" s="25">
        <v>44.02</v>
      </c>
      <c r="D1192" s="18">
        <f t="shared" si="162"/>
        <v>-1.9162232193354778E-2</v>
      </c>
      <c r="E1192" s="32">
        <f t="shared" ca="1" si="163"/>
        <v>4.8590442252692372E-3</v>
      </c>
      <c r="F1192" s="18">
        <f t="shared" ca="1" si="164"/>
        <v>58.59333187363449</v>
      </c>
      <c r="G1192" s="19">
        <f t="shared" ca="1" si="165"/>
        <v>-0.28333087363449039</v>
      </c>
      <c r="H1192" s="27">
        <v>86.639999000000003</v>
      </c>
      <c r="I1192" s="19">
        <f t="shared" si="166"/>
        <v>-1.9243797565940524E-2</v>
      </c>
      <c r="J1192" s="19">
        <f t="shared" ca="1" si="167"/>
        <v>3.2690753451699216E-2</v>
      </c>
      <c r="K1192" s="19">
        <f t="shared" ca="1" si="168"/>
        <v>86.219348940300861</v>
      </c>
      <c r="L1192" s="19">
        <f t="shared" ca="1" si="169"/>
        <v>-2.7293509403008613</v>
      </c>
      <c r="M1192" s="19">
        <f t="shared" ca="1" si="170"/>
        <v>-3.0126818139353517</v>
      </c>
      <c r="AA1192" s="37">
        <v>1172</v>
      </c>
      <c r="AB1192" s="37">
        <v>1.8681496930212496</v>
      </c>
      <c r="AC1192" s="37">
        <v>2.7277164098904945</v>
      </c>
      <c r="AD1192" s="37">
        <v>3.2792821320789605</v>
      </c>
    </row>
    <row r="1193" spans="2:30" x14ac:dyDescent="0.3">
      <c r="B1193" s="28">
        <v>44365</v>
      </c>
      <c r="C1193" s="25">
        <v>44.169998</v>
      </c>
      <c r="D1193" s="18">
        <f t="shared" si="162"/>
        <v>3.4074965924579814E-3</v>
      </c>
      <c r="E1193" s="32">
        <f t="shared" ca="1" si="163"/>
        <v>-2.1714325587511307E-2</v>
      </c>
      <c r="F1193" s="18">
        <f t="shared" ca="1" si="164"/>
        <v>57.043838653277888</v>
      </c>
      <c r="G1193" s="19">
        <f t="shared" ca="1" si="165"/>
        <v>1.2661623467221119</v>
      </c>
      <c r="H1193" s="27">
        <v>89.849997999999999</v>
      </c>
      <c r="I1193" s="19">
        <f t="shared" si="166"/>
        <v>3.7049850381461802E-2</v>
      </c>
      <c r="J1193" s="19">
        <f t="shared" ca="1" si="167"/>
        <v>-1.5498539855955354E-2</v>
      </c>
      <c r="K1193" s="19">
        <f t="shared" ca="1" si="168"/>
        <v>82.196024938423363</v>
      </c>
      <c r="L1193" s="19">
        <f t="shared" ca="1" si="169"/>
        <v>1.2939730615766365</v>
      </c>
      <c r="M1193" s="19">
        <f t="shared" ca="1" si="170"/>
        <v>2.5601354082987484</v>
      </c>
      <c r="AA1193" s="37">
        <v>1173</v>
      </c>
      <c r="AB1193" s="37">
        <v>1.681321780399653</v>
      </c>
      <c r="AC1193" s="37">
        <v>2.8787248561101006</v>
      </c>
      <c r="AD1193" s="37">
        <v>3.2711070837641505</v>
      </c>
    </row>
    <row r="1194" spans="2:30" x14ac:dyDescent="0.3">
      <c r="B1194" s="28">
        <v>44368</v>
      </c>
      <c r="C1194" s="25">
        <v>43.810001</v>
      </c>
      <c r="D1194" s="18">
        <f t="shared" si="162"/>
        <v>-8.1502607267494032E-3</v>
      </c>
      <c r="E1194" s="32">
        <f t="shared" ca="1" si="163"/>
        <v>-2.9512744460600993E-3</v>
      </c>
      <c r="F1194" s="18">
        <f t="shared" ca="1" si="164"/>
        <v>58.137912184098958</v>
      </c>
      <c r="G1194" s="19">
        <f t="shared" ca="1" si="165"/>
        <v>0.17208881590104141</v>
      </c>
      <c r="H1194" s="27">
        <v>87.949996999999996</v>
      </c>
      <c r="I1194" s="19">
        <f t="shared" si="166"/>
        <v>-2.1146366636535796E-2</v>
      </c>
      <c r="J1194" s="19">
        <f t="shared" ca="1" si="167"/>
        <v>-1.4318575914085547E-2</v>
      </c>
      <c r="K1194" s="19">
        <f t="shared" ca="1" si="168"/>
        <v>82.294540125570151</v>
      </c>
      <c r="L1194" s="19">
        <f t="shared" ca="1" si="169"/>
        <v>1.1954578744298487</v>
      </c>
      <c r="M1194" s="19">
        <f t="shared" ca="1" si="170"/>
        <v>1.3675466903308902</v>
      </c>
      <c r="AA1194" s="37">
        <v>1174</v>
      </c>
      <c r="AB1194" s="37">
        <v>1.7919525100240716</v>
      </c>
      <c r="AC1194" s="37">
        <v>2.9971831094040469</v>
      </c>
      <c r="AD1194" s="37">
        <v>3.3815338708158178</v>
      </c>
    </row>
    <row r="1195" spans="2:30" x14ac:dyDescent="0.3">
      <c r="B1195" s="28">
        <v>44369</v>
      </c>
      <c r="C1195" s="25">
        <v>43.84</v>
      </c>
      <c r="D1195" s="18">
        <f t="shared" si="162"/>
        <v>6.8475232401854491E-4</v>
      </c>
      <c r="E1195" s="32">
        <f t="shared" ca="1" si="163"/>
        <v>-2.5869505094974172E-2</v>
      </c>
      <c r="F1195" s="18">
        <f t="shared" ca="1" si="164"/>
        <v>56.80155013204255</v>
      </c>
      <c r="G1195" s="19">
        <f t="shared" ca="1" si="165"/>
        <v>1.5084508679574498</v>
      </c>
      <c r="H1195" s="27">
        <v>90.919998000000007</v>
      </c>
      <c r="I1195" s="19">
        <f t="shared" si="166"/>
        <v>3.3769199560063745E-2</v>
      </c>
      <c r="J1195" s="19">
        <f t="shared" ca="1" si="167"/>
        <v>-6.3080058004587828E-3</v>
      </c>
      <c r="K1195" s="19">
        <f t="shared" ca="1" si="168"/>
        <v>82.963342608335708</v>
      </c>
      <c r="L1195" s="19">
        <f t="shared" ca="1" si="169"/>
        <v>0.52665539166429198</v>
      </c>
      <c r="M1195" s="19">
        <f t="shared" ca="1" si="170"/>
        <v>2.0351062596217417</v>
      </c>
      <c r="AA1195" s="37">
        <v>1175</v>
      </c>
      <c r="AB1195" s="37">
        <v>1.8133879605191952</v>
      </c>
      <c r="AC1195" s="37">
        <v>2.6570427372371062</v>
      </c>
      <c r="AD1195" s="37">
        <v>3.2306369408440538</v>
      </c>
    </row>
    <row r="1196" spans="2:30" x14ac:dyDescent="0.3">
      <c r="B1196" s="28">
        <v>44370</v>
      </c>
      <c r="C1196" s="25">
        <v>43.419998</v>
      </c>
      <c r="D1196" s="18">
        <f t="shared" si="162"/>
        <v>-9.5803375912409949E-3</v>
      </c>
      <c r="E1196" s="32">
        <f t="shared" ca="1" si="163"/>
        <v>-3.1753405731163374E-3</v>
      </c>
      <c r="F1196" s="18">
        <f t="shared" ca="1" si="164"/>
        <v>58.124846888006246</v>
      </c>
      <c r="G1196" s="19">
        <f t="shared" ca="1" si="165"/>
        <v>0.18515411199375365</v>
      </c>
      <c r="H1196" s="27">
        <v>91.68</v>
      </c>
      <c r="I1196" s="19">
        <f t="shared" si="166"/>
        <v>8.359019101606302E-3</v>
      </c>
      <c r="J1196" s="19">
        <f t="shared" ca="1" si="167"/>
        <v>1.1316113544744535E-2</v>
      </c>
      <c r="K1196" s="19">
        <f t="shared" ca="1" si="168"/>
        <v>84.434780297218495</v>
      </c>
      <c r="L1196" s="19">
        <f t="shared" ca="1" si="169"/>
        <v>-0.94478229721849516</v>
      </c>
      <c r="M1196" s="19">
        <f t="shared" ca="1" si="170"/>
        <v>-0.75962818522474151</v>
      </c>
      <c r="AA1196" s="37">
        <v>1176</v>
      </c>
      <c r="AB1196" s="37">
        <v>1.6422444498465822</v>
      </c>
      <c r="AC1196" s="37">
        <v>2.9858812956325238</v>
      </c>
      <c r="AD1196" s="37">
        <v>3.402714090006282</v>
      </c>
    </row>
    <row r="1197" spans="2:30" x14ac:dyDescent="0.3">
      <c r="B1197" s="28">
        <v>44371</v>
      </c>
      <c r="C1197" s="25">
        <v>43.939999</v>
      </c>
      <c r="D1197" s="18">
        <f t="shared" si="162"/>
        <v>1.1976071486691442E-2</v>
      </c>
      <c r="E1197" s="32">
        <f t="shared" ca="1" si="163"/>
        <v>-1.8695360845895777E-3</v>
      </c>
      <c r="F1197" s="18">
        <f t="shared" ca="1" si="164"/>
        <v>58.200988349038042</v>
      </c>
      <c r="G1197" s="19">
        <f t="shared" ca="1" si="165"/>
        <v>0.109012650961958</v>
      </c>
      <c r="H1197" s="27">
        <v>91.870002999999997</v>
      </c>
      <c r="I1197" s="19">
        <f t="shared" si="166"/>
        <v>2.0724585514833027E-3</v>
      </c>
      <c r="J1197" s="19">
        <f t="shared" ca="1" si="167"/>
        <v>-1.8096767687930781E-2</v>
      </c>
      <c r="K1197" s="19">
        <f t="shared" ca="1" si="168"/>
        <v>81.979098901928197</v>
      </c>
      <c r="L1197" s="19">
        <f t="shared" ca="1" si="169"/>
        <v>1.5108990980718033</v>
      </c>
      <c r="M1197" s="19">
        <f t="shared" ca="1" si="170"/>
        <v>1.6199117490337613</v>
      </c>
      <c r="AA1197" s="37">
        <v>1177</v>
      </c>
      <c r="AB1197" s="37">
        <v>1.7609007786283679</v>
      </c>
      <c r="AC1197" s="37">
        <v>2.8729924032374483</v>
      </c>
      <c r="AD1197" s="37">
        <v>3.3530067074129417</v>
      </c>
    </row>
    <row r="1198" spans="2:30" x14ac:dyDescent="0.3">
      <c r="B1198" s="28">
        <v>44372</v>
      </c>
      <c r="C1198" s="25">
        <v>43.830002</v>
      </c>
      <c r="D1198" s="18">
        <f t="shared" si="162"/>
        <v>-2.5033455280688566E-3</v>
      </c>
      <c r="E1198" s="32">
        <f t="shared" ca="1" si="163"/>
        <v>3.9170364058824882E-2</v>
      </c>
      <c r="F1198" s="18">
        <f t="shared" ca="1" si="164"/>
        <v>60.59402496744044</v>
      </c>
      <c r="G1198" s="19">
        <f t="shared" ca="1" si="165"/>
        <v>-2.2840239674404401</v>
      </c>
      <c r="H1198" s="27">
        <v>92.040001000000004</v>
      </c>
      <c r="I1198" s="19">
        <f t="shared" si="166"/>
        <v>1.8504190100006035E-3</v>
      </c>
      <c r="J1198" s="19">
        <f t="shared" ca="1" si="167"/>
        <v>4.5728074637144426E-3</v>
      </c>
      <c r="K1198" s="19">
        <f t="shared" ca="1" si="168"/>
        <v>83.871781685999892</v>
      </c>
      <c r="L1198" s="19">
        <f t="shared" ca="1" si="169"/>
        <v>-0.38178368599989199</v>
      </c>
      <c r="M1198" s="19">
        <f t="shared" ca="1" si="170"/>
        <v>-2.6658076534403321</v>
      </c>
      <c r="AA1198" s="37">
        <v>1178</v>
      </c>
      <c r="AB1198" s="37">
        <v>1.7770464682947973</v>
      </c>
      <c r="AC1198" s="37">
        <v>2.8993765322406841</v>
      </c>
      <c r="AD1198" s="37">
        <v>3.3932516216566451</v>
      </c>
    </row>
    <row r="1199" spans="2:30" x14ac:dyDescent="0.3">
      <c r="B1199" s="28">
        <v>44375</v>
      </c>
      <c r="C1199" s="25">
        <v>43.650002000000001</v>
      </c>
      <c r="D1199" s="18">
        <f t="shared" si="162"/>
        <v>-4.1067759933024472E-3</v>
      </c>
      <c r="E1199" s="32">
        <f t="shared" ca="1" si="163"/>
        <v>-3.4988757971132434E-2</v>
      </c>
      <c r="F1199" s="18">
        <f t="shared" ca="1" si="164"/>
        <v>56.269806487714511</v>
      </c>
      <c r="G1199" s="19">
        <f t="shared" ca="1" si="165"/>
        <v>2.0401945122854883</v>
      </c>
      <c r="H1199" s="27">
        <v>92.309997999999993</v>
      </c>
      <c r="I1199" s="19">
        <f t="shared" si="166"/>
        <v>2.9334745443994059E-3</v>
      </c>
      <c r="J1199" s="19">
        <f t="shared" ca="1" si="167"/>
        <v>4.9615681275106592E-2</v>
      </c>
      <c r="K1199" s="19">
        <f t="shared" ca="1" si="168"/>
        <v>87.632411130427286</v>
      </c>
      <c r="L1199" s="19">
        <f t="shared" ca="1" si="169"/>
        <v>-4.1424131304272862</v>
      </c>
      <c r="M1199" s="19">
        <f t="shared" ca="1" si="170"/>
        <v>-2.1022186181417979</v>
      </c>
      <c r="AA1199" s="37">
        <v>1179</v>
      </c>
      <c r="AB1199" s="37">
        <v>1.6333247854567454</v>
      </c>
      <c r="AC1199" s="37">
        <v>2.8258474549843844</v>
      </c>
      <c r="AD1199" s="37">
        <v>3.4098444519154123</v>
      </c>
    </row>
    <row r="1200" spans="2:30" x14ac:dyDescent="0.3">
      <c r="B1200" s="28">
        <v>44376</v>
      </c>
      <c r="C1200" s="25">
        <v>43.66</v>
      </c>
      <c r="D1200" s="18">
        <f t="shared" si="162"/>
        <v>2.2904924494615564E-4</v>
      </c>
      <c r="E1200" s="32">
        <f t="shared" ca="1" si="163"/>
        <v>-2.9838003941676471E-2</v>
      </c>
      <c r="F1200" s="18">
        <f t="shared" ca="1" si="164"/>
        <v>56.570146960322845</v>
      </c>
      <c r="G1200" s="19">
        <f t="shared" ca="1" si="165"/>
        <v>1.7398540396771551</v>
      </c>
      <c r="H1200" s="27">
        <v>93.839995999999999</v>
      </c>
      <c r="I1200" s="19">
        <f t="shared" si="166"/>
        <v>1.6574564328340813E-2</v>
      </c>
      <c r="J1200" s="19">
        <f t="shared" ca="1" si="167"/>
        <v>4.6320947289408644E-2</v>
      </c>
      <c r="K1200" s="19">
        <f t="shared" ca="1" si="168"/>
        <v>87.357333796550833</v>
      </c>
      <c r="L1200" s="19">
        <f t="shared" ca="1" si="169"/>
        <v>-3.867335796550833</v>
      </c>
      <c r="M1200" s="19">
        <f t="shared" ca="1" si="170"/>
        <v>-2.1274817568736779</v>
      </c>
      <c r="AA1200" s="37">
        <v>1180</v>
      </c>
      <c r="AB1200" s="37">
        <v>1.7993651682634644</v>
      </c>
      <c r="AC1200" s="37">
        <v>2.8555526632451471</v>
      </c>
      <c r="AD1200" s="37">
        <v>3.5906756314757939</v>
      </c>
    </row>
    <row r="1201" spans="2:30" x14ac:dyDescent="0.3">
      <c r="B1201" s="28">
        <v>44377</v>
      </c>
      <c r="C1201" s="25">
        <v>43.889999000000003</v>
      </c>
      <c r="D1201" s="18">
        <f t="shared" si="162"/>
        <v>5.2679569399909365E-3</v>
      </c>
      <c r="E1201" s="32">
        <f t="shared" ca="1" si="163"/>
        <v>3.400611695305427E-2</v>
      </c>
      <c r="F1201" s="18">
        <f t="shared" ca="1" si="164"/>
        <v>60.292897713538714</v>
      </c>
      <c r="G1201" s="19">
        <f t="shared" ca="1" si="165"/>
        <v>-1.9828967135387146</v>
      </c>
      <c r="H1201" s="27">
        <v>93.760002</v>
      </c>
      <c r="I1201" s="19">
        <f t="shared" si="166"/>
        <v>-8.5245101672848378E-4</v>
      </c>
      <c r="J1201" s="19">
        <f t="shared" ca="1" si="167"/>
        <v>-3.6603471295578787E-3</v>
      </c>
      <c r="K1201" s="19">
        <f t="shared" ca="1" si="168"/>
        <v>83.184395625473911</v>
      </c>
      <c r="L1201" s="19">
        <f t="shared" ca="1" si="169"/>
        <v>0.30560237452608874</v>
      </c>
      <c r="M1201" s="19">
        <f t="shared" ca="1" si="170"/>
        <v>-1.6772943390126258</v>
      </c>
      <c r="AA1201" s="37">
        <v>1181</v>
      </c>
      <c r="AB1201" s="37">
        <v>1.7442291523504183</v>
      </c>
      <c r="AC1201" s="37">
        <v>2.9036214841067416</v>
      </c>
      <c r="AD1201" s="37">
        <v>3.345061329823714</v>
      </c>
    </row>
    <row r="1202" spans="2:30" x14ac:dyDescent="0.3">
      <c r="B1202" s="28">
        <v>44378</v>
      </c>
      <c r="C1202" s="25">
        <v>43.77</v>
      </c>
      <c r="D1202" s="18">
        <f t="shared" si="162"/>
        <v>-2.7340852753265921E-3</v>
      </c>
      <c r="E1202" s="32">
        <f t="shared" ca="1" si="163"/>
        <v>1.5311139234042712E-2</v>
      </c>
      <c r="F1202" s="18">
        <f t="shared" ca="1" si="164"/>
        <v>59.202793544048177</v>
      </c>
      <c r="G1202" s="19">
        <f t="shared" ca="1" si="165"/>
        <v>-0.89279254404817721</v>
      </c>
      <c r="H1202" s="27">
        <v>93.949996999999996</v>
      </c>
      <c r="I1202" s="19">
        <f t="shared" si="166"/>
        <v>2.0263971410749981E-3</v>
      </c>
      <c r="J1202" s="19">
        <f t="shared" ca="1" si="167"/>
        <v>4.008173763911381E-2</v>
      </c>
      <c r="K1202" s="19">
        <f t="shared" ca="1" si="168"/>
        <v>86.836422195326136</v>
      </c>
      <c r="L1202" s="19">
        <f t="shared" ca="1" si="169"/>
        <v>-3.3464241953261364</v>
      </c>
      <c r="M1202" s="19">
        <f t="shared" ca="1" si="170"/>
        <v>-4.2392167393743136</v>
      </c>
      <c r="AA1202" s="37">
        <v>1182</v>
      </c>
      <c r="AB1202" s="37">
        <v>1.8048597746064596</v>
      </c>
      <c r="AC1202" s="37">
        <v>2.8391874762886826</v>
      </c>
      <c r="AD1202" s="37">
        <v>3.3620257747319173</v>
      </c>
    </row>
    <row r="1203" spans="2:30" x14ac:dyDescent="0.3">
      <c r="B1203" s="28">
        <v>44379</v>
      </c>
      <c r="C1203" s="25">
        <v>43.380001</v>
      </c>
      <c r="D1203" s="18">
        <f t="shared" si="162"/>
        <v>-8.9101896275989301E-3</v>
      </c>
      <c r="E1203" s="32">
        <f t="shared" ca="1" si="163"/>
        <v>1.4319724645136059E-4</v>
      </c>
      <c r="F1203" s="18">
        <f t="shared" ca="1" si="164"/>
        <v>58.318350831583778</v>
      </c>
      <c r="G1203" s="19">
        <f t="shared" ca="1" si="165"/>
        <v>-8.3498315837786663E-3</v>
      </c>
      <c r="H1203" s="27">
        <v>94.800003000000004</v>
      </c>
      <c r="I1203" s="19">
        <f t="shared" si="166"/>
        <v>9.0474297726694797E-3</v>
      </c>
      <c r="J1203" s="19">
        <f t="shared" ca="1" si="167"/>
        <v>1.1849059958926298E-2</v>
      </c>
      <c r="K1203" s="19">
        <f t="shared" ca="1" si="168"/>
        <v>84.479275992272633</v>
      </c>
      <c r="L1203" s="19">
        <f t="shared" ca="1" si="169"/>
        <v>-0.98927799227263336</v>
      </c>
      <c r="M1203" s="19">
        <f t="shared" ca="1" si="170"/>
        <v>-0.99762782385641202</v>
      </c>
      <c r="AA1203" s="37">
        <v>1183</v>
      </c>
      <c r="AB1203" s="37">
        <v>1.6563447458874072</v>
      </c>
      <c r="AC1203" s="37">
        <v>2.7157129671406151</v>
      </c>
      <c r="AD1203" s="37">
        <v>3.3333446599573482</v>
      </c>
    </row>
    <row r="1204" spans="2:30" x14ac:dyDescent="0.3">
      <c r="B1204" s="28">
        <v>44382</v>
      </c>
      <c r="C1204" s="25">
        <v>43.810001</v>
      </c>
      <c r="D1204" s="18">
        <f t="shared" si="162"/>
        <v>9.9124018000829039E-3</v>
      </c>
      <c r="E1204" s="32">
        <f t="shared" ca="1" si="163"/>
        <v>8.7810045090357513E-3</v>
      </c>
      <c r="F1204" s="18">
        <f t="shared" ca="1" si="164"/>
        <v>58.822021381702875</v>
      </c>
      <c r="G1204" s="19">
        <f t="shared" ca="1" si="165"/>
        <v>-0.51202038170287523</v>
      </c>
      <c r="H1204" s="27">
        <v>95.080001999999993</v>
      </c>
      <c r="I1204" s="19">
        <f t="shared" si="166"/>
        <v>2.953575855899393E-3</v>
      </c>
      <c r="J1204" s="19">
        <f t="shared" ca="1" si="167"/>
        <v>9.406930680164521E-3</v>
      </c>
      <c r="K1204" s="19">
        <f t="shared" ca="1" si="168"/>
        <v>84.275382623673067</v>
      </c>
      <c r="L1204" s="19">
        <f t="shared" ca="1" si="169"/>
        <v>-0.78538462367306749</v>
      </c>
      <c r="M1204" s="19">
        <f t="shared" ca="1" si="170"/>
        <v>-1.2974050053759427</v>
      </c>
      <c r="AA1204" s="37">
        <v>1184</v>
      </c>
      <c r="AB1204" s="37">
        <v>1.7370433652110591</v>
      </c>
      <c r="AC1204" s="37">
        <v>3.0016931760379455</v>
      </c>
      <c r="AD1204" s="37">
        <v>3.0527873889642385</v>
      </c>
    </row>
    <row r="1205" spans="2:30" x14ac:dyDescent="0.3">
      <c r="B1205" s="28">
        <v>44383</v>
      </c>
      <c r="C1205" s="25">
        <v>43.639999000000003</v>
      </c>
      <c r="D1205" s="18">
        <f t="shared" si="162"/>
        <v>-3.8804381675315858E-3</v>
      </c>
      <c r="E1205" s="32">
        <f t="shared" ca="1" si="163"/>
        <v>-2.5907417486163986E-3</v>
      </c>
      <c r="F1205" s="18">
        <f t="shared" ca="1" si="164"/>
        <v>58.158934846047437</v>
      </c>
      <c r="G1205" s="19">
        <f t="shared" ca="1" si="165"/>
        <v>0.15106615395256284</v>
      </c>
      <c r="H1205" s="27">
        <v>93.849997999999999</v>
      </c>
      <c r="I1205" s="19">
        <f t="shared" si="166"/>
        <v>-1.2936516345466553E-2</v>
      </c>
      <c r="J1205" s="19">
        <f t="shared" ca="1" si="167"/>
        <v>6.4604953796097578E-4</v>
      </c>
      <c r="K1205" s="19">
        <f t="shared" ca="1" si="168"/>
        <v>83.543936674632263</v>
      </c>
      <c r="L1205" s="19">
        <f t="shared" ca="1" si="169"/>
        <v>-5.3938674632263428E-2</v>
      </c>
      <c r="M1205" s="19">
        <f t="shared" ca="1" si="170"/>
        <v>9.7127479320299415E-2</v>
      </c>
      <c r="AA1205" s="37">
        <v>1185</v>
      </c>
      <c r="AB1205" s="37">
        <v>1.6980845419833273</v>
      </c>
      <c r="AC1205" s="37">
        <v>3.0799404496374772</v>
      </c>
      <c r="AD1205" s="37">
        <v>3.386193954947692</v>
      </c>
    </row>
    <row r="1206" spans="2:30" x14ac:dyDescent="0.3">
      <c r="B1206" s="28">
        <v>44384</v>
      </c>
      <c r="C1206" s="25">
        <v>45.189999</v>
      </c>
      <c r="D1206" s="18">
        <f t="shared" si="162"/>
        <v>3.5517874324424215E-2</v>
      </c>
      <c r="E1206" s="32">
        <f t="shared" ca="1" si="163"/>
        <v>9.6160386105788118E-3</v>
      </c>
      <c r="F1206" s="18">
        <f t="shared" ca="1" si="164"/>
        <v>58.87071222099889</v>
      </c>
      <c r="G1206" s="19">
        <f t="shared" ca="1" si="165"/>
        <v>-0.56071122099888981</v>
      </c>
      <c r="H1206" s="27">
        <v>93.730002999999996</v>
      </c>
      <c r="I1206" s="19">
        <f t="shared" si="166"/>
        <v>-1.278582872212719E-3</v>
      </c>
      <c r="J1206" s="19">
        <f t="shared" ca="1" si="167"/>
        <v>-3.2674121511131492E-2</v>
      </c>
      <c r="K1206" s="19">
        <f t="shared" ca="1" si="168"/>
        <v>80.762035660383873</v>
      </c>
      <c r="L1206" s="19">
        <f t="shared" ca="1" si="169"/>
        <v>2.727962339616127</v>
      </c>
      <c r="M1206" s="19">
        <f t="shared" ca="1" si="170"/>
        <v>2.1672511186172372</v>
      </c>
      <c r="AA1206" s="37">
        <v>1186</v>
      </c>
      <c r="AB1206" s="37">
        <v>1.7525033878708247</v>
      </c>
      <c r="AC1206" s="37">
        <v>2.8298619388723676</v>
      </c>
      <c r="AD1206" s="37">
        <v>3.492553460608145</v>
      </c>
    </row>
    <row r="1207" spans="2:30" x14ac:dyDescent="0.3">
      <c r="B1207" s="28">
        <v>44385</v>
      </c>
      <c r="C1207" s="25">
        <v>44.360000999999997</v>
      </c>
      <c r="D1207" s="18">
        <f t="shared" si="162"/>
        <v>-1.8366851479682533E-2</v>
      </c>
      <c r="E1207" s="32">
        <f t="shared" ca="1" si="163"/>
        <v>1.1007229855035435E-2</v>
      </c>
      <c r="F1207" s="18">
        <f t="shared" ca="1" si="164"/>
        <v>58.951832583854348</v>
      </c>
      <c r="G1207" s="19">
        <f t="shared" ca="1" si="165"/>
        <v>-0.6418315838543478</v>
      </c>
      <c r="H1207" s="27">
        <v>92.209998999999996</v>
      </c>
      <c r="I1207" s="19">
        <f t="shared" si="166"/>
        <v>-1.6216835072543456E-2</v>
      </c>
      <c r="J1207" s="19">
        <f t="shared" ca="1" si="167"/>
        <v>9.7920946989643997E-3</v>
      </c>
      <c r="K1207" s="19">
        <f t="shared" ca="1" si="168"/>
        <v>84.307539966832351</v>
      </c>
      <c r="L1207" s="19">
        <f t="shared" ca="1" si="169"/>
        <v>-0.81754196683235136</v>
      </c>
      <c r="M1207" s="19">
        <f t="shared" ca="1" si="170"/>
        <v>-1.4593735506866992</v>
      </c>
      <c r="AA1207" s="37">
        <v>1187</v>
      </c>
      <c r="AB1207" s="37">
        <v>1.8473074231826558</v>
      </c>
      <c r="AC1207" s="37">
        <v>2.9386153483237347</v>
      </c>
      <c r="AD1207" s="37">
        <v>3.3745036916037789</v>
      </c>
    </row>
    <row r="1208" spans="2:30" x14ac:dyDescent="0.3">
      <c r="B1208" s="28">
        <v>44386</v>
      </c>
      <c r="C1208" s="25">
        <v>45.130001</v>
      </c>
      <c r="D1208" s="18">
        <f t="shared" si="162"/>
        <v>1.735797977101039E-2</v>
      </c>
      <c r="E1208" s="32">
        <f t="shared" ca="1" si="163"/>
        <v>-2.0450247395748036E-2</v>
      </c>
      <c r="F1208" s="18">
        <f t="shared" ca="1" si="164"/>
        <v>57.117547053903685</v>
      </c>
      <c r="G1208" s="19">
        <f t="shared" ca="1" si="165"/>
        <v>1.1924539460963146</v>
      </c>
      <c r="H1208" s="27">
        <v>91.730002999999996</v>
      </c>
      <c r="I1208" s="19">
        <f t="shared" si="166"/>
        <v>-5.205465841074397E-3</v>
      </c>
      <c r="J1208" s="19">
        <f t="shared" ca="1" si="167"/>
        <v>6.4253545886047599E-3</v>
      </c>
      <c r="K1208" s="19">
        <f t="shared" ca="1" si="168"/>
        <v>84.02645084175191</v>
      </c>
      <c r="L1208" s="19">
        <f t="shared" ca="1" si="169"/>
        <v>-0.53645284175190966</v>
      </c>
      <c r="M1208" s="19">
        <f t="shared" ca="1" si="170"/>
        <v>0.65600110434440495</v>
      </c>
      <c r="AA1208" s="37">
        <v>1188</v>
      </c>
      <c r="AB1208" s="37">
        <v>1.73204368060154</v>
      </c>
      <c r="AC1208" s="37">
        <v>2.8743371240814946</v>
      </c>
      <c r="AD1208" s="37">
        <v>3.216023532590659</v>
      </c>
    </row>
    <row r="1209" spans="2:30" x14ac:dyDescent="0.3">
      <c r="B1209" s="28">
        <v>44389</v>
      </c>
      <c r="C1209" s="25">
        <v>44.619999</v>
      </c>
      <c r="D1209" s="18">
        <f t="shared" si="162"/>
        <v>-1.1300730970513428E-2</v>
      </c>
      <c r="E1209" s="32">
        <f t="shared" ca="1" si="163"/>
        <v>-1.0285121684996493E-2</v>
      </c>
      <c r="F1209" s="18">
        <f t="shared" ca="1" si="164"/>
        <v>57.710275544262728</v>
      </c>
      <c r="G1209" s="19">
        <f t="shared" ca="1" si="165"/>
        <v>0.59972545573727132</v>
      </c>
      <c r="H1209" s="27">
        <v>91.639999000000003</v>
      </c>
      <c r="I1209" s="19">
        <f t="shared" si="166"/>
        <v>-9.8118387720969036E-4</v>
      </c>
      <c r="J1209" s="19">
        <f t="shared" ca="1" si="167"/>
        <v>1.2186571954599287E-2</v>
      </c>
      <c r="K1209" s="19">
        <f t="shared" ca="1" si="168"/>
        <v>84.507454868116355</v>
      </c>
      <c r="L1209" s="19">
        <f t="shared" ca="1" si="169"/>
        <v>-1.0174568681163549</v>
      </c>
      <c r="M1209" s="19">
        <f t="shared" ca="1" si="170"/>
        <v>-0.41773141237908362</v>
      </c>
      <c r="AA1209" s="37">
        <v>1189</v>
      </c>
      <c r="AB1209" s="37">
        <v>1.8982641953809229</v>
      </c>
      <c r="AC1209" s="37">
        <v>2.8369709000745047</v>
      </c>
      <c r="AD1209" s="37">
        <v>3.4188308419863036</v>
      </c>
    </row>
    <row r="1210" spans="2:30" x14ac:dyDescent="0.3">
      <c r="B1210" s="28">
        <v>44390</v>
      </c>
      <c r="C1210" s="25">
        <v>44.240001999999997</v>
      </c>
      <c r="D1210" s="18">
        <f t="shared" si="162"/>
        <v>-8.5162933329515633E-3</v>
      </c>
      <c r="E1210" s="32">
        <f t="shared" ca="1" si="163"/>
        <v>6.5464978520299588E-3</v>
      </c>
      <c r="F1210" s="18">
        <f t="shared" ca="1" si="164"/>
        <v>58.691727296298367</v>
      </c>
      <c r="G1210" s="19">
        <f t="shared" ca="1" si="165"/>
        <v>-0.38172629629836763</v>
      </c>
      <c r="H1210" s="27">
        <v>90.589995999999999</v>
      </c>
      <c r="I1210" s="19">
        <f t="shared" si="166"/>
        <v>-1.1457911517436914E-2</v>
      </c>
      <c r="J1210" s="19">
        <f t="shared" ca="1" si="167"/>
        <v>2.4885975557545483E-2</v>
      </c>
      <c r="K1210" s="19">
        <f t="shared" ca="1" si="168"/>
        <v>85.567728049527517</v>
      </c>
      <c r="L1210" s="19">
        <f t="shared" ca="1" si="169"/>
        <v>-2.0777300495275171</v>
      </c>
      <c r="M1210" s="19">
        <f t="shared" ca="1" si="170"/>
        <v>-2.4594563458258847</v>
      </c>
      <c r="AA1210" s="37">
        <v>1190</v>
      </c>
      <c r="AB1210" s="37">
        <v>1.7254331216990393</v>
      </c>
      <c r="AC1210" s="37">
        <v>2.7730835656023016</v>
      </c>
      <c r="AD1210" s="37">
        <v>3.3593978985253905</v>
      </c>
    </row>
    <row r="1211" spans="2:30" x14ac:dyDescent="0.3">
      <c r="B1211" s="28">
        <v>44391</v>
      </c>
      <c r="C1211" s="25">
        <v>43.619999</v>
      </c>
      <c r="D1211" s="18">
        <f t="shared" si="162"/>
        <v>-1.4014533724478473E-2</v>
      </c>
      <c r="E1211" s="32">
        <f t="shared" ca="1" si="163"/>
        <v>-1.3948533686744043E-2</v>
      </c>
      <c r="F1211" s="18">
        <f t="shared" ca="1" si="164"/>
        <v>57.496661986777418</v>
      </c>
      <c r="G1211" s="19">
        <f t="shared" ca="1" si="165"/>
        <v>0.81333901322258129</v>
      </c>
      <c r="H1211" s="27">
        <v>88.489998</v>
      </c>
      <c r="I1211" s="19">
        <f t="shared" si="166"/>
        <v>-2.3181345542834575E-2</v>
      </c>
      <c r="J1211" s="19">
        <f t="shared" ca="1" si="167"/>
        <v>-1.7476217992308924E-3</v>
      </c>
      <c r="K1211" s="19">
        <f t="shared" ca="1" si="168"/>
        <v>83.344089059477454</v>
      </c>
      <c r="L1211" s="19">
        <f t="shared" ca="1" si="169"/>
        <v>0.14590894052254555</v>
      </c>
      <c r="M1211" s="19">
        <f t="shared" ca="1" si="170"/>
        <v>0.95924795374512684</v>
      </c>
      <c r="AA1211" s="37">
        <v>1191</v>
      </c>
      <c r="AB1211" s="37">
        <v>1.8490655280210708</v>
      </c>
      <c r="AC1211" s="37">
        <v>2.7524294155182356</v>
      </c>
      <c r="AD1211" s="37">
        <v>3.4160196042846276</v>
      </c>
    </row>
    <row r="1212" spans="2:30" x14ac:dyDescent="0.3">
      <c r="B1212" s="28">
        <v>44392</v>
      </c>
      <c r="C1212" s="25">
        <v>45.139999000000003</v>
      </c>
      <c r="D1212" s="18">
        <f t="shared" si="162"/>
        <v>3.4846401532471427E-2</v>
      </c>
      <c r="E1212" s="32">
        <f t="shared" ca="1" si="163"/>
        <v>1.1813856837193002E-2</v>
      </c>
      <c r="F1212" s="18">
        <f t="shared" ca="1" si="164"/>
        <v>58.998867003990583</v>
      </c>
      <c r="G1212" s="19">
        <f t="shared" ca="1" si="165"/>
        <v>-0.68886600399058295</v>
      </c>
      <c r="H1212" s="27">
        <v>94.809997999999993</v>
      </c>
      <c r="I1212" s="19">
        <f t="shared" si="166"/>
        <v>7.1420501105672995E-2</v>
      </c>
      <c r="J1212" s="19">
        <f t="shared" ca="1" si="167"/>
        <v>-2.0834600071107361E-2</v>
      </c>
      <c r="K1212" s="19">
        <f t="shared" ca="1" si="168"/>
        <v>81.750517281732442</v>
      </c>
      <c r="L1212" s="19">
        <f t="shared" ca="1" si="169"/>
        <v>1.7394807182675578</v>
      </c>
      <c r="M1212" s="19">
        <f t="shared" ca="1" si="170"/>
        <v>1.0506147142769748</v>
      </c>
      <c r="AA1212" s="37">
        <v>1192</v>
      </c>
      <c r="AB1212" s="37">
        <v>1.7686906899040968</v>
      </c>
      <c r="AC1212" s="37">
        <v>2.8172544494878693</v>
      </c>
      <c r="AD1212" s="37">
        <v>3.3317493391243609</v>
      </c>
    </row>
    <row r="1213" spans="2:30" x14ac:dyDescent="0.3">
      <c r="B1213" s="28">
        <v>44393</v>
      </c>
      <c r="C1213" s="25">
        <v>44.869999</v>
      </c>
      <c r="D1213" s="18">
        <f t="shared" si="162"/>
        <v>-5.9813913598004698E-3</v>
      </c>
      <c r="E1213" s="32">
        <f t="shared" ca="1" si="163"/>
        <v>-6.8993399693469595E-3</v>
      </c>
      <c r="F1213" s="18">
        <f t="shared" ca="1" si="164"/>
        <v>57.907700479488035</v>
      </c>
      <c r="G1213" s="19">
        <f t="shared" ca="1" si="165"/>
        <v>0.40230052051196452</v>
      </c>
      <c r="H1213" s="27">
        <v>92.660004000000001</v>
      </c>
      <c r="I1213" s="19">
        <f t="shared" si="166"/>
        <v>-2.2676870006895222E-2</v>
      </c>
      <c r="J1213" s="19">
        <f t="shared" ca="1" si="167"/>
        <v>3.2816634405416489E-3</v>
      </c>
      <c r="K1213" s="19">
        <f t="shared" ca="1" si="168"/>
        <v>83.763984074087503</v>
      </c>
      <c r="L1213" s="19">
        <f t="shared" ca="1" si="169"/>
        <v>-0.27398607408750308</v>
      </c>
      <c r="M1213" s="19">
        <f t="shared" ca="1" si="170"/>
        <v>0.12831444642446144</v>
      </c>
      <c r="AA1213" s="37">
        <v>1193</v>
      </c>
      <c r="AB1213" s="37">
        <v>1.9068662600038384</v>
      </c>
      <c r="AC1213" s="37">
        <v>2.957351850423001</v>
      </c>
      <c r="AD1213" s="37">
        <v>3.4208725459750524</v>
      </c>
    </row>
    <row r="1214" spans="2:30" x14ac:dyDescent="0.3">
      <c r="B1214" s="28">
        <v>44396</v>
      </c>
      <c r="C1214" s="25">
        <v>44.84</v>
      </c>
      <c r="D1214" s="18">
        <f t="shared" si="162"/>
        <v>-6.685759007928338E-4</v>
      </c>
      <c r="E1214" s="32">
        <f t="shared" ca="1" si="163"/>
        <v>2.125366137235531E-2</v>
      </c>
      <c r="F1214" s="18">
        <f t="shared" ca="1" si="164"/>
        <v>59.549302015875696</v>
      </c>
      <c r="G1214" s="19">
        <f t="shared" ca="1" si="165"/>
        <v>-1.2393010158756965</v>
      </c>
      <c r="H1214" s="27">
        <v>90.5</v>
      </c>
      <c r="I1214" s="19">
        <f t="shared" si="166"/>
        <v>-2.3311071732740274E-2</v>
      </c>
      <c r="J1214" s="19">
        <f t="shared" ca="1" si="167"/>
        <v>-1.7178766218063795E-3</v>
      </c>
      <c r="K1214" s="19">
        <f t="shared" ca="1" si="168"/>
        <v>83.34657248428114</v>
      </c>
      <c r="L1214" s="19">
        <f t="shared" ca="1" si="169"/>
        <v>0.1434255157188602</v>
      </c>
      <c r="M1214" s="19">
        <f t="shared" ca="1" si="170"/>
        <v>-1.0958755001568363</v>
      </c>
      <c r="AA1214" s="37">
        <v>1194</v>
      </c>
      <c r="AB1214" s="37">
        <v>1.8113460206008234</v>
      </c>
      <c r="AC1214" s="37">
        <v>2.8673120939309786</v>
      </c>
      <c r="AD1214" s="37">
        <v>3.4939536970859271</v>
      </c>
    </row>
    <row r="1215" spans="2:30" x14ac:dyDescent="0.3">
      <c r="B1215" s="28">
        <v>44397</v>
      </c>
      <c r="C1215" s="25">
        <v>43.740001999999997</v>
      </c>
      <c r="D1215" s="18">
        <f t="shared" si="162"/>
        <v>-2.4531623550401616E-2</v>
      </c>
      <c r="E1215" s="32">
        <f t="shared" ca="1" si="163"/>
        <v>2.3200565163394866E-2</v>
      </c>
      <c r="F1215" s="18">
        <f t="shared" ca="1" si="164"/>
        <v>59.662825977878121</v>
      </c>
      <c r="G1215" s="19">
        <f t="shared" ca="1" si="165"/>
        <v>-1.3528249778781216</v>
      </c>
      <c r="H1215" s="27">
        <v>90.419998000000007</v>
      </c>
      <c r="I1215" s="19">
        <f t="shared" si="166"/>
        <v>-8.8399999999988488E-4</v>
      </c>
      <c r="J1215" s="19">
        <f t="shared" ca="1" si="167"/>
        <v>4.8056765298017987E-2</v>
      </c>
      <c r="K1215" s="19">
        <f t="shared" ca="1" si="168"/>
        <v>87.502257238617986</v>
      </c>
      <c r="L1215" s="19">
        <f t="shared" ca="1" si="169"/>
        <v>-4.0122592386179861</v>
      </c>
      <c r="M1215" s="19">
        <f t="shared" ca="1" si="170"/>
        <v>-5.3650842164961077</v>
      </c>
      <c r="AA1215" s="37">
        <v>1195</v>
      </c>
      <c r="AB1215" s="37">
        <v>1.8724795931982172</v>
      </c>
      <c r="AC1215" s="37">
        <v>2.8745064261322297</v>
      </c>
      <c r="AD1215" s="37">
        <v>3.3764710070525386</v>
      </c>
    </row>
    <row r="1216" spans="2:30" x14ac:dyDescent="0.3">
      <c r="B1216" s="28">
        <v>44398</v>
      </c>
      <c r="C1216" s="25">
        <v>44.419998</v>
      </c>
      <c r="D1216" s="18">
        <f t="shared" si="162"/>
        <v>1.5546318447813512E-2</v>
      </c>
      <c r="E1216" s="32">
        <f t="shared" ca="1" si="163"/>
        <v>-1.0149261766083908E-2</v>
      </c>
      <c r="F1216" s="18">
        <f t="shared" ca="1" si="164"/>
        <v>57.718197536270388</v>
      </c>
      <c r="G1216" s="19">
        <f t="shared" ca="1" si="165"/>
        <v>0.59180346372961168</v>
      </c>
      <c r="H1216" s="27">
        <v>92.739998</v>
      </c>
      <c r="I1216" s="19">
        <f t="shared" si="166"/>
        <v>2.5658040824110495E-2</v>
      </c>
      <c r="J1216" s="19">
        <f t="shared" ca="1" si="167"/>
        <v>1.7186782722647266E-2</v>
      </c>
      <c r="K1216" s="19">
        <f t="shared" ca="1" si="168"/>
        <v>84.924922455140262</v>
      </c>
      <c r="L1216" s="19">
        <f t="shared" ca="1" si="169"/>
        <v>-1.434924455140262</v>
      </c>
      <c r="M1216" s="19">
        <f t="shared" ca="1" si="170"/>
        <v>-0.84312099141065033</v>
      </c>
      <c r="AA1216" s="37">
        <v>1196</v>
      </c>
      <c r="AB1216" s="37">
        <v>1.7770982317872641</v>
      </c>
      <c r="AC1216" s="37">
        <v>2.6997423182781541</v>
      </c>
      <c r="AD1216" s="37">
        <v>3.2513279793757355</v>
      </c>
    </row>
    <row r="1217" spans="2:30" x14ac:dyDescent="0.3">
      <c r="B1217" s="28">
        <v>44399</v>
      </c>
      <c r="C1217" s="25">
        <v>44.790000999999997</v>
      </c>
      <c r="D1217" s="18">
        <f t="shared" si="162"/>
        <v>8.3296491818842799E-3</v>
      </c>
      <c r="E1217" s="32">
        <f t="shared" ca="1" si="163"/>
        <v>1.4402142951462969E-2</v>
      </c>
      <c r="F1217" s="18">
        <f t="shared" ca="1" si="164"/>
        <v>59.149789969901946</v>
      </c>
      <c r="G1217" s="19">
        <f t="shared" ca="1" si="165"/>
        <v>-0.83978896990194585</v>
      </c>
      <c r="H1217" s="27">
        <v>94.209998999999996</v>
      </c>
      <c r="I1217" s="19">
        <f t="shared" si="166"/>
        <v>1.5850776705861103E-2</v>
      </c>
      <c r="J1217" s="19">
        <f t="shared" ca="1" si="167"/>
        <v>2.3186746193738283E-2</v>
      </c>
      <c r="K1217" s="19">
        <f t="shared" ca="1" si="168"/>
        <v>85.42585939334171</v>
      </c>
      <c r="L1217" s="19">
        <f t="shared" ca="1" si="169"/>
        <v>-1.9358613933417104</v>
      </c>
      <c r="M1217" s="19">
        <f t="shared" ca="1" si="170"/>
        <v>-2.7756503632436562</v>
      </c>
      <c r="AA1217" s="37">
        <v>1197</v>
      </c>
      <c r="AB1217" s="37">
        <v>1.7507735617905418</v>
      </c>
      <c r="AC1217" s="37">
        <v>2.9884546376600225</v>
      </c>
      <c r="AD1217" s="37">
        <v>3.292906411775689</v>
      </c>
    </row>
    <row r="1218" spans="2:30" x14ac:dyDescent="0.3">
      <c r="B1218" s="28">
        <v>44400</v>
      </c>
      <c r="C1218" s="25">
        <v>44.790000999999997</v>
      </c>
      <c r="D1218" s="18">
        <f t="shared" si="162"/>
        <v>0</v>
      </c>
      <c r="E1218" s="32">
        <f t="shared" ca="1" si="163"/>
        <v>-5.6488818338411616E-3</v>
      </c>
      <c r="F1218" s="18">
        <f t="shared" ca="1" si="164"/>
        <v>57.980614694619838</v>
      </c>
      <c r="G1218" s="19">
        <f t="shared" ca="1" si="165"/>
        <v>0.32938630538016156</v>
      </c>
      <c r="H1218" s="27">
        <v>94.870002999999997</v>
      </c>
      <c r="I1218" s="19">
        <f t="shared" si="166"/>
        <v>7.0056682624526356E-3</v>
      </c>
      <c r="J1218" s="19">
        <f t="shared" ca="1" si="167"/>
        <v>-4.278255148006483E-2</v>
      </c>
      <c r="K1218" s="19">
        <f t="shared" ca="1" si="168"/>
        <v>79.918082862494487</v>
      </c>
      <c r="L1218" s="19">
        <f t="shared" ca="1" si="169"/>
        <v>3.5719151375055134</v>
      </c>
      <c r="M1218" s="19">
        <f t="shared" ca="1" si="170"/>
        <v>3.9013014428856749</v>
      </c>
      <c r="AA1218" s="37">
        <v>1198</v>
      </c>
      <c r="AB1218" s="37">
        <v>1.7243881852028056</v>
      </c>
      <c r="AC1218" s="37">
        <v>2.898217074104144</v>
      </c>
      <c r="AD1218" s="37">
        <v>3.2929570555579732</v>
      </c>
    </row>
    <row r="1219" spans="2:30" x14ac:dyDescent="0.3">
      <c r="B1219" s="28">
        <v>44403</v>
      </c>
      <c r="C1219" s="25">
        <v>45.34</v>
      </c>
      <c r="D1219" s="18">
        <f t="shared" si="162"/>
        <v>1.2279504079493186E-2</v>
      </c>
      <c r="E1219" s="32">
        <f t="shared" ca="1" si="163"/>
        <v>3.8770263752780166E-3</v>
      </c>
      <c r="F1219" s="18">
        <f t="shared" ca="1" si="164"/>
        <v>58.536070411819495</v>
      </c>
      <c r="G1219" s="19">
        <f t="shared" ca="1" si="165"/>
        <v>-0.2260694118194948</v>
      </c>
      <c r="H1219" s="27">
        <v>96.839995999999999</v>
      </c>
      <c r="I1219" s="19">
        <f t="shared" si="166"/>
        <v>2.0765183279271238E-2</v>
      </c>
      <c r="J1219" s="19">
        <f t="shared" ca="1" si="167"/>
        <v>1.1995099972854101E-3</v>
      </c>
      <c r="K1219" s="19">
        <f t="shared" ca="1" si="168"/>
        <v>83.590145087274337</v>
      </c>
      <c r="L1219" s="19">
        <f t="shared" ca="1" si="169"/>
        <v>-0.10014708727433685</v>
      </c>
      <c r="M1219" s="19">
        <f t="shared" ca="1" si="170"/>
        <v>-0.32621649909383166</v>
      </c>
      <c r="AA1219" s="37">
        <v>1199</v>
      </c>
      <c r="AB1219" s="37">
        <v>1.8367223117369169</v>
      </c>
      <c r="AC1219" s="37">
        <v>2.8206997873123698</v>
      </c>
      <c r="AD1219" s="37">
        <v>3.3993555108665099</v>
      </c>
    </row>
    <row r="1220" spans="2:30" x14ac:dyDescent="0.3">
      <c r="B1220" s="28">
        <v>44404</v>
      </c>
      <c r="C1220" s="25">
        <v>45.669998</v>
      </c>
      <c r="D1220" s="18">
        <f t="shared" si="162"/>
        <v>7.2782973092191394E-3</v>
      </c>
      <c r="E1220" s="32">
        <f t="shared" ca="1" si="163"/>
        <v>-3.7709768670759593E-3</v>
      </c>
      <c r="F1220" s="18">
        <f t="shared" ca="1" si="164"/>
        <v>58.090115335109822</v>
      </c>
      <c r="G1220" s="19">
        <f t="shared" ca="1" si="165"/>
        <v>0.21988566489017813</v>
      </c>
      <c r="H1220" s="27">
        <v>98.370002999999997</v>
      </c>
      <c r="I1220" s="19">
        <f t="shared" si="166"/>
        <v>1.5799329442351517E-2</v>
      </c>
      <c r="J1220" s="19">
        <f t="shared" ca="1" si="167"/>
        <v>2.772286064131808E-3</v>
      </c>
      <c r="K1220" s="19">
        <f t="shared" ca="1" si="168"/>
        <v>83.721456157949788</v>
      </c>
      <c r="L1220" s="19">
        <f t="shared" ca="1" si="169"/>
        <v>-0.2314581579497883</v>
      </c>
      <c r="M1220" s="19">
        <f t="shared" ca="1" si="170"/>
        <v>-1.1572493059610167E-2</v>
      </c>
      <c r="AA1220" s="37">
        <v>1200</v>
      </c>
      <c r="AB1220" s="37">
        <v>1.7439563207278819</v>
      </c>
      <c r="AC1220" s="37">
        <v>2.8790345072949162</v>
      </c>
      <c r="AD1220" s="37">
        <v>3.0997726492718272</v>
      </c>
    </row>
    <row r="1221" spans="2:30" x14ac:dyDescent="0.3">
      <c r="B1221" s="28">
        <v>44405</v>
      </c>
      <c r="C1221" s="25">
        <v>45.060001</v>
      </c>
      <c r="D1221" s="18">
        <f t="shared" si="162"/>
        <v>-1.3356624189035382E-2</v>
      </c>
      <c r="E1221" s="32">
        <f t="shared" ca="1" si="163"/>
        <v>2.8708393875310857E-2</v>
      </c>
      <c r="F1221" s="18">
        <f t="shared" ca="1" si="164"/>
        <v>59.983987475577763</v>
      </c>
      <c r="G1221" s="19">
        <f t="shared" ca="1" si="165"/>
        <v>-1.6739864755777631</v>
      </c>
      <c r="H1221" s="27">
        <v>96.360000999999997</v>
      </c>
      <c r="I1221" s="19">
        <f t="shared" si="166"/>
        <v>-2.0433078567660523E-2</v>
      </c>
      <c r="J1221" s="19">
        <f t="shared" ca="1" si="167"/>
        <v>-1.0404595967283431E-2</v>
      </c>
      <c r="K1221" s="19">
        <f t="shared" ca="1" si="168"/>
        <v>82.621318303500701</v>
      </c>
      <c r="L1221" s="19">
        <f t="shared" ca="1" si="169"/>
        <v>0.86867969649929933</v>
      </c>
      <c r="M1221" s="19">
        <f t="shared" ca="1" si="170"/>
        <v>-0.80530677907846382</v>
      </c>
      <c r="AA1221" s="37">
        <v>1201</v>
      </c>
      <c r="AB1221" s="37">
        <v>1.7180663384796451</v>
      </c>
      <c r="AC1221" s="37">
        <v>2.7407245959816309</v>
      </c>
      <c r="AD1221" s="37">
        <v>3.4149901240911755</v>
      </c>
    </row>
    <row r="1222" spans="2:30" x14ac:dyDescent="0.3">
      <c r="B1222" s="28">
        <v>44406</v>
      </c>
      <c r="C1222" s="25">
        <v>46.740001999999997</v>
      </c>
      <c r="D1222" s="18">
        <f t="shared" si="162"/>
        <v>3.7283643202759675E-2</v>
      </c>
      <c r="E1222" s="32">
        <f t="shared" ca="1" si="163"/>
        <v>-6.1895547471921787E-3</v>
      </c>
      <c r="F1222" s="18">
        <f t="shared" ca="1" si="164"/>
        <v>57.949088056501665</v>
      </c>
      <c r="G1222" s="19">
        <f t="shared" ca="1" si="165"/>
        <v>0.36091294349833447</v>
      </c>
      <c r="H1222" s="27">
        <v>97.050003000000004</v>
      </c>
      <c r="I1222" s="19">
        <f t="shared" si="166"/>
        <v>7.1606682527951548E-3</v>
      </c>
      <c r="J1222" s="19">
        <f t="shared" ca="1" si="167"/>
        <v>-5.6303259756839107E-3</v>
      </c>
      <c r="K1222" s="19">
        <f t="shared" ca="1" si="168"/>
        <v>83.019922095550797</v>
      </c>
      <c r="L1222" s="19">
        <f t="shared" ca="1" si="169"/>
        <v>0.47007590444920311</v>
      </c>
      <c r="M1222" s="19">
        <f t="shared" ca="1" si="170"/>
        <v>0.83098884794753758</v>
      </c>
      <c r="AA1222" s="37">
        <v>1202</v>
      </c>
      <c r="AB1222" s="37">
        <v>1.7991107640374782</v>
      </c>
      <c r="AC1222" s="37">
        <v>2.8617267731208629</v>
      </c>
      <c r="AD1222" s="37">
        <v>3.4267659250837283</v>
      </c>
    </row>
    <row r="1223" spans="2:30" x14ac:dyDescent="0.3">
      <c r="B1223" s="28">
        <v>44407</v>
      </c>
      <c r="C1223" s="25">
        <v>45.880001</v>
      </c>
      <c r="D1223" s="18">
        <f t="shared" si="162"/>
        <v>-1.8399678288417598E-2</v>
      </c>
      <c r="E1223" s="32">
        <f t="shared" ca="1" si="163"/>
        <v>-7.608035192723306E-3</v>
      </c>
      <c r="F1223" s="18">
        <f t="shared" ca="1" si="164"/>
        <v>57.866376460304267</v>
      </c>
      <c r="G1223" s="19">
        <f t="shared" ca="1" si="165"/>
        <v>0.44362453969573323</v>
      </c>
      <c r="H1223" s="27">
        <v>91.209998999999996</v>
      </c>
      <c r="I1223" s="19">
        <f t="shared" si="166"/>
        <v>-6.0175206795202385E-2</v>
      </c>
      <c r="J1223" s="19">
        <f t="shared" ca="1" si="167"/>
        <v>2.9849393934866537E-2</v>
      </c>
      <c r="K1223" s="19">
        <f t="shared" ca="1" si="168"/>
        <v>85.982123839923219</v>
      </c>
      <c r="L1223" s="19">
        <f t="shared" ca="1" si="169"/>
        <v>-2.4921258399232187</v>
      </c>
      <c r="M1223" s="19">
        <f t="shared" ca="1" si="170"/>
        <v>-2.0485013002274854</v>
      </c>
      <c r="AA1223" s="37">
        <v>1203</v>
      </c>
      <c r="AB1223" s="37">
        <v>1.8874862314029228</v>
      </c>
      <c r="AC1223" s="37">
        <v>2.8055250408969585</v>
      </c>
      <c r="AD1223" s="37">
        <v>3.2600093999597868</v>
      </c>
    </row>
    <row r="1224" spans="2:30" x14ac:dyDescent="0.3">
      <c r="B1224" s="28">
        <v>44410</v>
      </c>
      <c r="C1224" s="25">
        <v>47.709999000000003</v>
      </c>
      <c r="D1224" s="18">
        <f t="shared" ref="D1224:D1261" si="171">C1224/C1223-1</f>
        <v>3.9886616393055574E-2</v>
      </c>
      <c r="E1224" s="32">
        <f t="shared" ref="E1224:E1261" ca="1" si="172">NORMINV(RAND(),$E$3,$E$4)</f>
        <v>-2.0598692646979402E-2</v>
      </c>
      <c r="F1224" s="18">
        <f t="shared" ref="F1224:F1261" ca="1" si="173">$C$1261*(1+E1224)</f>
        <v>57.108891211155935</v>
      </c>
      <c r="G1224" s="19">
        <f t="shared" ref="G1224:G1261" ca="1" si="174">$C$1261-F1224</f>
        <v>1.2011097888440645</v>
      </c>
      <c r="H1224" s="27">
        <v>91.260002</v>
      </c>
      <c r="I1224" s="19">
        <f t="shared" ref="I1224:I1261" si="175">H1224/H1223-1</f>
        <v>5.4821840311602976E-4</v>
      </c>
      <c r="J1224" s="19">
        <f t="shared" ref="J1224:J1261" ca="1" si="176">NORMINV(RAND(),$J$3,$J$4)</f>
        <v>1.0360110393305236E-2</v>
      </c>
      <c r="K1224" s="19">
        <f t="shared" ref="K1224:K1261" ca="1" si="177">$H$1261*(1+J1224)</f>
        <v>84.354963596016844</v>
      </c>
      <c r="L1224" s="19">
        <f t="shared" ref="L1224:L1261" ca="1" si="178">$H$1261-K1224</f>
        <v>-0.86496559601684453</v>
      </c>
      <c r="M1224" s="19">
        <f t="shared" ref="M1224:M1261" ca="1" si="179">SUM(G1224,L1224)</f>
        <v>0.33614419282721997</v>
      </c>
      <c r="AA1224" s="37">
        <v>1204</v>
      </c>
      <c r="AB1224" s="37">
        <v>1.7719135157057933</v>
      </c>
      <c r="AC1224" s="37">
        <v>2.8913182444828478</v>
      </c>
      <c r="AD1224" s="37">
        <v>3.2835077602010747</v>
      </c>
    </row>
    <row r="1225" spans="2:30" x14ac:dyDescent="0.3">
      <c r="B1225" s="28">
        <v>44411</v>
      </c>
      <c r="C1225" s="25">
        <v>48.330002</v>
      </c>
      <c r="D1225" s="18">
        <f t="shared" si="171"/>
        <v>1.2995242359992387E-2</v>
      </c>
      <c r="E1225" s="32">
        <f t="shared" ca="1" si="172"/>
        <v>-3.304016705511291E-2</v>
      </c>
      <c r="F1225" s="18">
        <f t="shared" ca="1" si="173"/>
        <v>56.383428825976196</v>
      </c>
      <c r="G1225" s="19">
        <f t="shared" ca="1" si="174"/>
        <v>1.9265721740238035</v>
      </c>
      <c r="H1225" s="27">
        <v>93.099997999999999</v>
      </c>
      <c r="I1225" s="19">
        <f t="shared" si="175"/>
        <v>2.0162129735653567E-2</v>
      </c>
      <c r="J1225" s="19">
        <f t="shared" ca="1" si="176"/>
        <v>-8.7589881810149796E-3</v>
      </c>
      <c r="K1225" s="19">
        <f t="shared" ca="1" si="177"/>
        <v>82.758710094285036</v>
      </c>
      <c r="L1225" s="19">
        <f t="shared" ca="1" si="178"/>
        <v>0.73128790571496438</v>
      </c>
      <c r="M1225" s="19">
        <f t="shared" ca="1" si="179"/>
        <v>2.6578600797387679</v>
      </c>
      <c r="AA1225" s="37">
        <v>1205</v>
      </c>
      <c r="AB1225" s="37">
        <v>1.7129813823919404</v>
      </c>
      <c r="AC1225" s="37">
        <v>2.962836515219013</v>
      </c>
      <c r="AD1225" s="37">
        <v>3.1468275041577982</v>
      </c>
    </row>
    <row r="1226" spans="2:30" x14ac:dyDescent="0.3">
      <c r="B1226" s="28">
        <v>44412</v>
      </c>
      <c r="C1226" s="25">
        <v>48.75</v>
      </c>
      <c r="D1226" s="18">
        <f t="shared" si="171"/>
        <v>8.6902127585262168E-3</v>
      </c>
      <c r="E1226" s="32">
        <f t="shared" ca="1" si="172"/>
        <v>1.5899403312988541E-2</v>
      </c>
      <c r="F1226" s="18">
        <f t="shared" ca="1" si="173"/>
        <v>59.237095223079763</v>
      </c>
      <c r="G1226" s="19">
        <f t="shared" ca="1" si="174"/>
        <v>-0.92709422307976297</v>
      </c>
      <c r="H1226" s="27">
        <v>94.279999000000004</v>
      </c>
      <c r="I1226" s="19">
        <f t="shared" si="175"/>
        <v>1.2674554515027969E-2</v>
      </c>
      <c r="J1226" s="19">
        <f t="shared" ca="1" si="176"/>
        <v>-9.559400272959054E-4</v>
      </c>
      <c r="K1226" s="19">
        <f t="shared" ca="1" si="177"/>
        <v>83.410186569032945</v>
      </c>
      <c r="L1226" s="19">
        <f t="shared" ca="1" si="178"/>
        <v>7.981143096705523E-2</v>
      </c>
      <c r="M1226" s="19">
        <f t="shared" ca="1" si="179"/>
        <v>-0.84728279211270774</v>
      </c>
      <c r="AA1226" s="37">
        <v>1206</v>
      </c>
      <c r="AB1226" s="37">
        <v>1.7342514282475203</v>
      </c>
      <c r="AC1226" s="37">
        <v>2.9708206402137955</v>
      </c>
      <c r="AD1226" s="37">
        <v>3.3442792302136066</v>
      </c>
    </row>
    <row r="1227" spans="2:30" x14ac:dyDescent="0.3">
      <c r="B1227" s="28">
        <v>44413</v>
      </c>
      <c r="C1227" s="25">
        <v>48.400002000000001</v>
      </c>
      <c r="D1227" s="18">
        <f t="shared" si="171"/>
        <v>-7.1794461538461363E-3</v>
      </c>
      <c r="E1227" s="32">
        <f t="shared" ca="1" si="172"/>
        <v>9.5175107596838487E-3</v>
      </c>
      <c r="F1227" s="18">
        <f t="shared" ca="1" si="173"/>
        <v>58.864967061914676</v>
      </c>
      <c r="G1227" s="19">
        <f t="shared" ca="1" si="174"/>
        <v>-0.55496606191467635</v>
      </c>
      <c r="H1227" s="27">
        <v>95.029999000000004</v>
      </c>
      <c r="I1227" s="19">
        <f t="shared" si="175"/>
        <v>7.9550276618054472E-3</v>
      </c>
      <c r="J1227" s="19">
        <f t="shared" ca="1" si="176"/>
        <v>-8.2183984527608965E-3</v>
      </c>
      <c r="K1227" s="19">
        <f t="shared" ca="1" si="177"/>
        <v>82.803843929615795</v>
      </c>
      <c r="L1227" s="19">
        <f t="shared" ca="1" si="178"/>
        <v>0.68615407038420528</v>
      </c>
      <c r="M1227" s="19">
        <f t="shared" ca="1" si="179"/>
        <v>0.13118800846952894</v>
      </c>
      <c r="AA1227" s="37">
        <v>1207</v>
      </c>
      <c r="AB1227" s="37">
        <v>1.8072588534638017</v>
      </c>
      <c r="AC1227" s="37">
        <v>2.8445974561699772</v>
      </c>
      <c r="AD1227" s="37">
        <v>3.3147810616539437</v>
      </c>
    </row>
    <row r="1228" spans="2:30" x14ac:dyDescent="0.3">
      <c r="B1228" s="28">
        <v>44414</v>
      </c>
      <c r="C1228" s="25">
        <v>49</v>
      </c>
      <c r="D1228" s="18">
        <f t="shared" si="171"/>
        <v>1.239665238030363E-2</v>
      </c>
      <c r="E1228" s="32">
        <f t="shared" ca="1" si="172"/>
        <v>-2.8894986063006396E-2</v>
      </c>
      <c r="F1228" s="18">
        <f t="shared" ca="1" si="173"/>
        <v>56.625134333771108</v>
      </c>
      <c r="G1228" s="19">
        <f t="shared" ca="1" si="174"/>
        <v>1.684866666228892</v>
      </c>
      <c r="H1228" s="27">
        <v>94.800003000000004</v>
      </c>
      <c r="I1228" s="19">
        <f t="shared" si="175"/>
        <v>-2.420246263498349E-3</v>
      </c>
      <c r="J1228" s="19">
        <f t="shared" ca="1" si="176"/>
        <v>-2.2560229858194596E-2</v>
      </c>
      <c r="K1228" s="19">
        <f t="shared" ca="1" si="177"/>
        <v>81.606444454259787</v>
      </c>
      <c r="L1228" s="19">
        <f t="shared" ca="1" si="178"/>
        <v>1.8835535457402131</v>
      </c>
      <c r="M1228" s="19">
        <f t="shared" ca="1" si="179"/>
        <v>3.5684202119691051</v>
      </c>
      <c r="AA1228" s="37">
        <v>1208</v>
      </c>
      <c r="AB1228" s="37">
        <v>1.8408672051360853</v>
      </c>
      <c r="AC1228" s="37">
        <v>2.8979252082765496</v>
      </c>
      <c r="AD1228" s="37">
        <v>3.3472147588967771</v>
      </c>
    </row>
    <row r="1229" spans="2:30" x14ac:dyDescent="0.3">
      <c r="B1229" s="28">
        <v>44417</v>
      </c>
      <c r="C1229" s="25">
        <v>49.439999</v>
      </c>
      <c r="D1229" s="18">
        <f t="shared" si="171"/>
        <v>8.9795714285714201E-3</v>
      </c>
      <c r="E1229" s="32">
        <f t="shared" ca="1" si="172"/>
        <v>2.011039620082096E-3</v>
      </c>
      <c r="F1229" s="18">
        <f t="shared" ca="1" si="173"/>
        <v>58.427264722258023</v>
      </c>
      <c r="G1229" s="19">
        <f t="shared" ca="1" si="174"/>
        <v>-0.11726372225802351</v>
      </c>
      <c r="H1229" s="27">
        <v>93.75</v>
      </c>
      <c r="I1229" s="19">
        <f t="shared" si="175"/>
        <v>-1.107598066215254E-2</v>
      </c>
      <c r="J1229" s="19">
        <f t="shared" ca="1" si="176"/>
        <v>-3.3771548314702138E-2</v>
      </c>
      <c r="K1229" s="19">
        <f t="shared" ca="1" si="177"/>
        <v>80.670411498748621</v>
      </c>
      <c r="L1229" s="19">
        <f t="shared" ca="1" si="178"/>
        <v>2.8195865012513792</v>
      </c>
      <c r="M1229" s="19">
        <f t="shared" ca="1" si="179"/>
        <v>2.7023227789933557</v>
      </c>
      <c r="AA1229" s="37">
        <v>1209</v>
      </c>
      <c r="AB1229" s="37">
        <v>1.7139680036464016</v>
      </c>
      <c r="AC1229" s="37">
        <v>2.8602137777791419</v>
      </c>
      <c r="AD1229" s="37">
        <v>3.2579600008758134</v>
      </c>
    </row>
    <row r="1230" spans="2:30" x14ac:dyDescent="0.3">
      <c r="B1230" s="28">
        <v>44418</v>
      </c>
      <c r="C1230" s="25">
        <v>49.16</v>
      </c>
      <c r="D1230" s="18">
        <f t="shared" si="171"/>
        <v>-5.6634103087259691E-3</v>
      </c>
      <c r="E1230" s="32">
        <f t="shared" ca="1" si="172"/>
        <v>1.2473391018872661E-2</v>
      </c>
      <c r="F1230" s="18">
        <f t="shared" ca="1" si="173"/>
        <v>59.037324442783849</v>
      </c>
      <c r="G1230" s="19">
        <f t="shared" ca="1" si="174"/>
        <v>-0.72732344278384886</v>
      </c>
      <c r="H1230" s="27">
        <v>93.800003000000004</v>
      </c>
      <c r="I1230" s="19">
        <f t="shared" si="175"/>
        <v>5.333653333334798E-4</v>
      </c>
      <c r="J1230" s="19">
        <f t="shared" ca="1" si="176"/>
        <v>-9.2497476593295727E-3</v>
      </c>
      <c r="K1230" s="19">
        <f t="shared" ca="1" si="177"/>
        <v>82.717736586422063</v>
      </c>
      <c r="L1230" s="19">
        <f t="shared" ca="1" si="178"/>
        <v>0.77226141357793665</v>
      </c>
      <c r="M1230" s="19">
        <f t="shared" ca="1" si="179"/>
        <v>4.4937970794087789E-2</v>
      </c>
      <c r="AA1230" s="37">
        <v>1210</v>
      </c>
      <c r="AB1230" s="37">
        <v>1.7524332785853236</v>
      </c>
      <c r="AC1230" s="37">
        <v>2.7735869196724932</v>
      </c>
      <c r="AD1230" s="37">
        <v>3.3205148114280822</v>
      </c>
    </row>
    <row r="1231" spans="2:30" x14ac:dyDescent="0.3">
      <c r="B1231" s="28">
        <v>44419</v>
      </c>
      <c r="C1231" s="25">
        <v>49.689999</v>
      </c>
      <c r="D1231" s="18">
        <f t="shared" si="171"/>
        <v>1.0781102522376074E-2</v>
      </c>
      <c r="E1231" s="32">
        <f t="shared" ca="1" si="172"/>
        <v>-2.535972145625157E-2</v>
      </c>
      <c r="F1231" s="18">
        <f t="shared" ca="1" si="173"/>
        <v>56.831275616526248</v>
      </c>
      <c r="G1231" s="19">
        <f t="shared" ca="1" si="174"/>
        <v>1.4787253834737513</v>
      </c>
      <c r="H1231" s="27">
        <v>95.57</v>
      </c>
      <c r="I1231" s="19">
        <f t="shared" si="175"/>
        <v>1.8869903447657599E-2</v>
      </c>
      <c r="J1231" s="19">
        <f t="shared" ca="1" si="176"/>
        <v>-2.2359561743946221E-2</v>
      </c>
      <c r="K1231" s="19">
        <f t="shared" ca="1" si="177"/>
        <v>81.623198234717051</v>
      </c>
      <c r="L1231" s="19">
        <f t="shared" ca="1" si="178"/>
        <v>1.8667997652829484</v>
      </c>
      <c r="M1231" s="19">
        <f t="shared" ca="1" si="179"/>
        <v>3.3455251487566997</v>
      </c>
      <c r="AA1231" s="37">
        <v>1211</v>
      </c>
      <c r="AB1231" s="37">
        <v>1.8325622944938245</v>
      </c>
      <c r="AC1231" s="37">
        <v>3.065533024054321</v>
      </c>
      <c r="AD1231" s="37">
        <v>3.2572695844710622</v>
      </c>
    </row>
    <row r="1232" spans="2:30" x14ac:dyDescent="0.3">
      <c r="B1232" s="28">
        <v>44420</v>
      </c>
      <c r="C1232" s="25">
        <v>48.950001</v>
      </c>
      <c r="D1232" s="18">
        <f t="shared" si="171"/>
        <v>-1.489229251141666E-2</v>
      </c>
      <c r="E1232" s="32">
        <f t="shared" ca="1" si="172"/>
        <v>1.8655771120078005E-2</v>
      </c>
      <c r="F1232" s="18">
        <f t="shared" ca="1" si="173"/>
        <v>59.397819032667527</v>
      </c>
      <c r="G1232" s="19">
        <f t="shared" ca="1" si="174"/>
        <v>-1.0878180326675277</v>
      </c>
      <c r="H1232" s="27">
        <v>92.5</v>
      </c>
      <c r="I1232" s="19">
        <f t="shared" si="175"/>
        <v>-3.2123051166684014E-2</v>
      </c>
      <c r="J1232" s="19">
        <f t="shared" ca="1" si="176"/>
        <v>-1.2944265782948192E-2</v>
      </c>
      <c r="K1232" s="19">
        <f t="shared" ca="1" si="177"/>
        <v>82.409281275670196</v>
      </c>
      <c r="L1232" s="19">
        <f t="shared" ca="1" si="178"/>
        <v>1.0807167243298039</v>
      </c>
      <c r="M1232" s="19">
        <f t="shared" ca="1" si="179"/>
        <v>-7.1013083377238218E-3</v>
      </c>
      <c r="AA1232" s="37">
        <v>1212</v>
      </c>
      <c r="AB1232" s="37">
        <v>1.8559628884781836</v>
      </c>
      <c r="AC1232" s="37">
        <v>2.8924673842953266</v>
      </c>
      <c r="AD1232" s="37">
        <v>3.3807183899712543</v>
      </c>
    </row>
    <row r="1233" spans="2:30" x14ac:dyDescent="0.3">
      <c r="B1233" s="28">
        <v>44421</v>
      </c>
      <c r="C1233" s="25">
        <v>48.889999000000003</v>
      </c>
      <c r="D1233" s="18">
        <f t="shared" si="171"/>
        <v>-1.2257813845600873E-3</v>
      </c>
      <c r="E1233" s="32">
        <f t="shared" ca="1" si="172"/>
        <v>2.0519655582592064E-3</v>
      </c>
      <c r="F1233" s="18">
        <f t="shared" ca="1" si="173"/>
        <v>58.429651113754055</v>
      </c>
      <c r="G1233" s="19">
        <f t="shared" ca="1" si="174"/>
        <v>-0.1196501137540551</v>
      </c>
      <c r="H1233" s="27">
        <v>93.239998</v>
      </c>
      <c r="I1233" s="19">
        <f t="shared" si="175"/>
        <v>7.9999783783784029E-3</v>
      </c>
      <c r="J1233" s="19">
        <f t="shared" ca="1" si="176"/>
        <v>-1.6761356220904477E-2</v>
      </c>
      <c r="K1233" s="19">
        <f t="shared" ca="1" si="177"/>
        <v>82.090592402639402</v>
      </c>
      <c r="L1233" s="19">
        <f t="shared" ca="1" si="178"/>
        <v>1.3994055973605981</v>
      </c>
      <c r="M1233" s="19">
        <f t="shared" ca="1" si="179"/>
        <v>1.279755483606543</v>
      </c>
      <c r="AA1233" s="37">
        <v>1213</v>
      </c>
      <c r="AB1233" s="37">
        <v>1.8104790815471479</v>
      </c>
      <c r="AC1233" s="37">
        <v>3.0932406363245746</v>
      </c>
      <c r="AD1233" s="37">
        <v>3.2306670339932957</v>
      </c>
    </row>
    <row r="1234" spans="2:30" x14ac:dyDescent="0.3">
      <c r="B1234" s="28">
        <v>44424</v>
      </c>
      <c r="C1234" s="25">
        <v>49.630001</v>
      </c>
      <c r="D1234" s="18">
        <f t="shared" si="171"/>
        <v>1.5136060853672584E-2</v>
      </c>
      <c r="E1234" s="32">
        <f t="shared" ca="1" si="172"/>
        <v>1.5428301847087012E-2</v>
      </c>
      <c r="F1234" s="18">
        <f t="shared" ca="1" si="173"/>
        <v>59.209625296131954</v>
      </c>
      <c r="G1234" s="19">
        <f t="shared" ca="1" si="174"/>
        <v>-0.89962429613195383</v>
      </c>
      <c r="H1234" s="27">
        <v>92.129997000000003</v>
      </c>
      <c r="I1234" s="19">
        <f t="shared" si="175"/>
        <v>-1.1904772885130255E-2</v>
      </c>
      <c r="J1234" s="19">
        <f t="shared" ca="1" si="176"/>
        <v>-2.6528085791900673E-2</v>
      </c>
      <c r="K1234" s="19">
        <f t="shared" ca="1" si="177"/>
        <v>81.275168170290385</v>
      </c>
      <c r="L1234" s="19">
        <f t="shared" ca="1" si="178"/>
        <v>2.2148298297096147</v>
      </c>
      <c r="M1234" s="19">
        <f t="shared" ca="1" si="179"/>
        <v>1.3152055335776609</v>
      </c>
      <c r="AA1234" s="37">
        <v>1214</v>
      </c>
      <c r="AB1234" s="37">
        <v>1.8885709846554122</v>
      </c>
      <c r="AC1234" s="37">
        <v>2.9010373021575688</v>
      </c>
      <c r="AD1234" s="37">
        <v>3.2322843005402606</v>
      </c>
    </row>
    <row r="1235" spans="2:30" x14ac:dyDescent="0.3">
      <c r="B1235" s="28">
        <v>44425</v>
      </c>
      <c r="C1235" s="25">
        <v>51.43</v>
      </c>
      <c r="D1235" s="18">
        <f t="shared" si="171"/>
        <v>3.6268365176941986E-2</v>
      </c>
      <c r="E1235" s="32">
        <f t="shared" ca="1" si="172"/>
        <v>-1.2960562695267873E-2</v>
      </c>
      <c r="F1235" s="18">
        <f t="shared" ca="1" si="173"/>
        <v>57.554270576278363</v>
      </c>
      <c r="G1235" s="19">
        <f t="shared" ca="1" si="174"/>
        <v>0.75573042372163712</v>
      </c>
      <c r="H1235" s="27">
        <v>90.580001999999993</v>
      </c>
      <c r="I1235" s="19">
        <f t="shared" si="175"/>
        <v>-1.6823999245327292E-2</v>
      </c>
      <c r="J1235" s="19">
        <f t="shared" ca="1" si="176"/>
        <v>1.4098216996335882E-2</v>
      </c>
      <c r="K1235" s="19">
        <f t="shared" ca="1" si="177"/>
        <v>84.667058108827661</v>
      </c>
      <c r="L1235" s="19">
        <f t="shared" ca="1" si="178"/>
        <v>-1.1770601088276607</v>
      </c>
      <c r="M1235" s="19">
        <f t="shared" ca="1" si="179"/>
        <v>-0.42132968510602353</v>
      </c>
      <c r="AA1235" s="37">
        <v>1215</v>
      </c>
      <c r="AB1235" s="37">
        <v>1.8242613826759106</v>
      </c>
      <c r="AC1235" s="37">
        <v>2.8332035894013838</v>
      </c>
      <c r="AD1235" s="37">
        <v>3.3654168757028575</v>
      </c>
    </row>
    <row r="1236" spans="2:30" x14ac:dyDescent="0.3">
      <c r="B1236" s="28">
        <v>44426</v>
      </c>
      <c r="C1236" s="25">
        <v>50.990001999999997</v>
      </c>
      <c r="D1236" s="18">
        <f t="shared" si="171"/>
        <v>-8.5552790200272844E-3</v>
      </c>
      <c r="E1236" s="32">
        <f t="shared" ca="1" si="172"/>
        <v>2.0835405176982447E-2</v>
      </c>
      <c r="F1236" s="18">
        <f t="shared" ca="1" si="173"/>
        <v>59.524913496705246</v>
      </c>
      <c r="G1236" s="19">
        <f t="shared" ca="1" si="174"/>
        <v>-1.2149124967052458</v>
      </c>
      <c r="H1236" s="27">
        <v>90.970000999999996</v>
      </c>
      <c r="I1236" s="19">
        <f t="shared" si="175"/>
        <v>4.3055750870926168E-3</v>
      </c>
      <c r="J1236" s="19">
        <f t="shared" ca="1" si="176"/>
        <v>-1.9066106451198207E-2</v>
      </c>
      <c r="K1236" s="19">
        <f t="shared" ca="1" si="177"/>
        <v>81.898168810521668</v>
      </c>
      <c r="L1236" s="19">
        <f t="shared" ca="1" si="178"/>
        <v>1.5918291894783323</v>
      </c>
      <c r="M1236" s="19">
        <f t="shared" ca="1" si="179"/>
        <v>0.37691669277308648</v>
      </c>
      <c r="AA1236" s="37">
        <v>1216</v>
      </c>
      <c r="AB1236" s="37">
        <v>1.6197585629541325</v>
      </c>
      <c r="AC1236" s="37">
        <v>2.8927417918091396</v>
      </c>
      <c r="AD1236" s="37">
        <v>3.2780381055055341</v>
      </c>
    </row>
    <row r="1237" spans="2:30" x14ac:dyDescent="0.3">
      <c r="B1237" s="28">
        <v>44427</v>
      </c>
      <c r="C1237" s="25">
        <v>49.810001</v>
      </c>
      <c r="D1237" s="18">
        <f t="shared" si="171"/>
        <v>-2.3141811212323504E-2</v>
      </c>
      <c r="E1237" s="32">
        <f t="shared" ca="1" si="172"/>
        <v>1.0735479417575529E-2</v>
      </c>
      <c r="F1237" s="18">
        <f t="shared" ca="1" si="173"/>
        <v>58.93598681557431</v>
      </c>
      <c r="G1237" s="19">
        <f t="shared" ca="1" si="174"/>
        <v>-0.62598581557431032</v>
      </c>
      <c r="H1237" s="27">
        <v>86.410004000000001</v>
      </c>
      <c r="I1237" s="19">
        <f t="shared" si="175"/>
        <v>-5.0126381772821915E-2</v>
      </c>
      <c r="J1237" s="19">
        <f t="shared" ca="1" si="176"/>
        <v>2.8504331082192988E-3</v>
      </c>
      <c r="K1237" s="19">
        <f t="shared" ca="1" si="177"/>
        <v>83.727980654504364</v>
      </c>
      <c r="L1237" s="19">
        <f t="shared" ca="1" si="178"/>
        <v>-0.23798265450436418</v>
      </c>
      <c r="M1237" s="19">
        <f t="shared" ca="1" si="179"/>
        <v>-0.8639684700786745</v>
      </c>
      <c r="AA1237" s="37">
        <v>1217</v>
      </c>
      <c r="AB1237" s="37">
        <v>1.7363465973713517</v>
      </c>
      <c r="AC1237" s="37">
        <v>2.8874709837629178</v>
      </c>
      <c r="AD1237" s="37">
        <v>3.4427114419975955</v>
      </c>
    </row>
    <row r="1238" spans="2:30" x14ac:dyDescent="0.3">
      <c r="B1238" s="28">
        <v>44428</v>
      </c>
      <c r="C1238" s="25">
        <v>49.82</v>
      </c>
      <c r="D1238" s="18">
        <f t="shared" si="171"/>
        <v>2.0074281869630894E-4</v>
      </c>
      <c r="E1238" s="32">
        <f t="shared" ca="1" si="172"/>
        <v>1.5435158952227605E-2</v>
      </c>
      <c r="F1238" s="18">
        <f t="shared" ca="1" si="173"/>
        <v>59.210025133939553</v>
      </c>
      <c r="G1238" s="19">
        <f t="shared" ca="1" si="174"/>
        <v>-0.90002413393955294</v>
      </c>
      <c r="H1238" s="27">
        <v>87.709998999999996</v>
      </c>
      <c r="I1238" s="19">
        <f t="shared" si="175"/>
        <v>1.5044496468256119E-2</v>
      </c>
      <c r="J1238" s="19">
        <f t="shared" ca="1" si="176"/>
        <v>1.2757876705385784E-2</v>
      </c>
      <c r="K1238" s="19">
        <f t="shared" ca="1" si="177"/>
        <v>84.555153100616906</v>
      </c>
      <c r="L1238" s="19">
        <f t="shared" ca="1" si="178"/>
        <v>-1.0651551006169058</v>
      </c>
      <c r="M1238" s="19">
        <f t="shared" ca="1" si="179"/>
        <v>-1.9651792345564587</v>
      </c>
      <c r="AA1238" s="37">
        <v>1218</v>
      </c>
      <c r="AB1238" s="37">
        <v>1.7240203478558078</v>
      </c>
      <c r="AC1238" s="37">
        <v>2.7085583591365703</v>
      </c>
      <c r="AD1238" s="37">
        <v>3.4957910324128392</v>
      </c>
    </row>
    <row r="1239" spans="2:30" x14ac:dyDescent="0.3">
      <c r="B1239" s="28">
        <v>44431</v>
      </c>
      <c r="C1239" s="25">
        <v>49.93</v>
      </c>
      <c r="D1239" s="18">
        <f t="shared" si="171"/>
        <v>2.2079486150139438E-3</v>
      </c>
      <c r="E1239" s="32">
        <f t="shared" ca="1" si="172"/>
        <v>2.2202003904999212E-2</v>
      </c>
      <c r="F1239" s="18">
        <f t="shared" ca="1" si="173"/>
        <v>59.604599869902508</v>
      </c>
      <c r="G1239" s="19">
        <f t="shared" ca="1" si="174"/>
        <v>-1.2945988699025079</v>
      </c>
      <c r="H1239" s="27">
        <v>88.559997999999993</v>
      </c>
      <c r="I1239" s="19">
        <f t="shared" si="175"/>
        <v>9.6910159581691246E-3</v>
      </c>
      <c r="J1239" s="19">
        <f t="shared" ca="1" si="176"/>
        <v>-8.5088709840113012E-3</v>
      </c>
      <c r="K1239" s="19">
        <f t="shared" ca="1" si="177"/>
        <v>82.77959237856264</v>
      </c>
      <c r="L1239" s="19">
        <f t="shared" ca="1" si="178"/>
        <v>0.71040562143735997</v>
      </c>
      <c r="M1239" s="19">
        <f t="shared" ca="1" si="179"/>
        <v>-0.58419324846514797</v>
      </c>
      <c r="AA1239" s="37">
        <v>1219</v>
      </c>
      <c r="AB1239" s="37">
        <v>1.803896181604707</v>
      </c>
      <c r="AC1239" s="37">
        <v>2.8512137136262874</v>
      </c>
      <c r="AD1239" s="37">
        <v>3.2480293460930816</v>
      </c>
    </row>
    <row r="1240" spans="2:30" x14ac:dyDescent="0.3">
      <c r="B1240" s="28">
        <v>44432</v>
      </c>
      <c r="C1240" s="25">
        <v>49.299999</v>
      </c>
      <c r="D1240" s="18">
        <f t="shared" si="171"/>
        <v>-1.2617684758662095E-2</v>
      </c>
      <c r="E1240" s="32">
        <f t="shared" ca="1" si="172"/>
        <v>-2.4389486601064592E-2</v>
      </c>
      <c r="F1240" s="18">
        <f t="shared" ca="1" si="173"/>
        <v>56.887850011902437</v>
      </c>
      <c r="G1240" s="19">
        <f t="shared" ca="1" si="174"/>
        <v>1.4221509880975631</v>
      </c>
      <c r="H1240" s="27">
        <v>88.209998999999996</v>
      </c>
      <c r="I1240" s="19">
        <f t="shared" si="175"/>
        <v>-3.9521116520350175E-3</v>
      </c>
      <c r="J1240" s="19">
        <f t="shared" ca="1" si="176"/>
        <v>5.4495631503556708E-3</v>
      </c>
      <c r="K1240" s="19">
        <f t="shared" ca="1" si="177"/>
        <v>83.944982016524079</v>
      </c>
      <c r="L1240" s="19">
        <f t="shared" ca="1" si="178"/>
        <v>-0.45498401652407949</v>
      </c>
      <c r="M1240" s="19">
        <f t="shared" ca="1" si="179"/>
        <v>0.96716697157348364</v>
      </c>
      <c r="AA1240" s="37">
        <v>1220</v>
      </c>
      <c r="AB1240" s="37">
        <v>1.6896665216574438</v>
      </c>
      <c r="AC1240" s="37">
        <v>2.9168868498155338</v>
      </c>
      <c r="AD1240" s="37">
        <v>3.5360920549997408</v>
      </c>
    </row>
    <row r="1241" spans="2:30" x14ac:dyDescent="0.3">
      <c r="B1241" s="28">
        <v>44433</v>
      </c>
      <c r="C1241" s="25">
        <v>49.029998999999997</v>
      </c>
      <c r="D1241" s="18">
        <f t="shared" si="171"/>
        <v>-5.4766735390806565E-3</v>
      </c>
      <c r="E1241" s="32">
        <f t="shared" ca="1" si="172"/>
        <v>7.8120549369192945E-3</v>
      </c>
      <c r="F1241" s="18">
        <f t="shared" ca="1" si="173"/>
        <v>58.765521931183827</v>
      </c>
      <c r="G1241" s="19">
        <f t="shared" ca="1" si="174"/>
        <v>-0.45552093118382686</v>
      </c>
      <c r="H1241" s="27">
        <v>90.400002000000001</v>
      </c>
      <c r="I1241" s="19">
        <f t="shared" si="175"/>
        <v>2.4827151398108649E-2</v>
      </c>
      <c r="J1241" s="19">
        <f t="shared" ca="1" si="176"/>
        <v>1.7326652715021085E-2</v>
      </c>
      <c r="K1241" s="19">
        <f t="shared" ca="1" si="177"/>
        <v>84.936600200523799</v>
      </c>
      <c r="L1241" s="19">
        <f t="shared" ca="1" si="178"/>
        <v>-1.4466022005237988</v>
      </c>
      <c r="M1241" s="19">
        <f t="shared" ca="1" si="179"/>
        <v>-1.9021231317076257</v>
      </c>
      <c r="AA1241" s="37">
        <v>1221</v>
      </c>
      <c r="AB1241" s="37">
        <v>1.7098380530016566</v>
      </c>
      <c r="AC1241" s="37">
        <v>2.790518429743488</v>
      </c>
      <c r="AD1241" s="37">
        <v>3.5268603365878026</v>
      </c>
    </row>
    <row r="1242" spans="2:30" x14ac:dyDescent="0.3">
      <c r="B1242" s="28">
        <v>44434</v>
      </c>
      <c r="C1242" s="25">
        <v>49.68</v>
      </c>
      <c r="D1242" s="18">
        <f t="shared" si="171"/>
        <v>1.3257210141897069E-2</v>
      </c>
      <c r="E1242" s="32">
        <f t="shared" ca="1" si="172"/>
        <v>-1.017290872075988E-2</v>
      </c>
      <c r="F1242" s="18">
        <f t="shared" ca="1" si="173"/>
        <v>57.716818682319577</v>
      </c>
      <c r="G1242" s="19">
        <f t="shared" ca="1" si="174"/>
        <v>0.59318231768042295</v>
      </c>
      <c r="H1242" s="27">
        <v>89.089995999999999</v>
      </c>
      <c r="I1242" s="19">
        <f t="shared" si="175"/>
        <v>-1.4491216493557224E-2</v>
      </c>
      <c r="J1242" s="19">
        <f t="shared" ca="1" si="176"/>
        <v>-7.7528564325834862E-3</v>
      </c>
      <c r="K1242" s="19">
        <f t="shared" ca="1" si="177"/>
        <v>82.842712031949318</v>
      </c>
      <c r="L1242" s="19">
        <f t="shared" ca="1" si="178"/>
        <v>0.6472859680506815</v>
      </c>
      <c r="M1242" s="19">
        <f t="shared" ca="1" si="179"/>
        <v>1.2404682857311045</v>
      </c>
      <c r="AA1242" s="37">
        <v>1222</v>
      </c>
      <c r="AB1242" s="37">
        <v>1.7117751203192455</v>
      </c>
      <c r="AC1242" s="37">
        <v>2.7296113799295134</v>
      </c>
      <c r="AD1242" s="37">
        <v>3.1699183830012201</v>
      </c>
    </row>
    <row r="1243" spans="2:30" x14ac:dyDescent="0.3">
      <c r="B1243" s="28">
        <v>44435</v>
      </c>
      <c r="C1243" s="25">
        <v>49.700001</v>
      </c>
      <c r="D1243" s="18">
        <f t="shared" si="171"/>
        <v>4.0259661835739813E-4</v>
      </c>
      <c r="E1243" s="32">
        <f t="shared" ca="1" si="172"/>
        <v>-1.0025948114395925E-3</v>
      </c>
      <c r="F1243" s="18">
        <f t="shared" ca="1" si="173"/>
        <v>58.251539695542363</v>
      </c>
      <c r="G1243" s="19">
        <f t="shared" ca="1" si="174"/>
        <v>5.8461304457637198E-2</v>
      </c>
      <c r="H1243" s="27">
        <v>90.290001000000004</v>
      </c>
      <c r="I1243" s="19">
        <f t="shared" si="175"/>
        <v>1.3469581927021412E-2</v>
      </c>
      <c r="J1243" s="19">
        <f t="shared" ca="1" si="176"/>
        <v>-2.2780805170141728E-3</v>
      </c>
      <c r="K1243" s="19">
        <f t="shared" ca="1" si="177"/>
        <v>83.299801062190653</v>
      </c>
      <c r="L1243" s="19">
        <f t="shared" ca="1" si="178"/>
        <v>0.19019693780934688</v>
      </c>
      <c r="M1243" s="19">
        <f t="shared" ca="1" si="179"/>
        <v>0.24865824226698408</v>
      </c>
      <c r="AA1243" s="37">
        <v>1223</v>
      </c>
      <c r="AB1243" s="37">
        <v>1.8223939948793941</v>
      </c>
      <c r="AC1243" s="37">
        <v>2.8749738343834808</v>
      </c>
      <c r="AD1243" s="37">
        <v>3.2179918051906395</v>
      </c>
    </row>
    <row r="1244" spans="2:30" x14ac:dyDescent="0.3">
      <c r="B1244" s="28">
        <v>44438</v>
      </c>
      <c r="C1244" s="25">
        <v>49.82</v>
      </c>
      <c r="D1244" s="18">
        <f t="shared" si="171"/>
        <v>2.4144667522238983E-3</v>
      </c>
      <c r="E1244" s="32">
        <f t="shared" ca="1" si="172"/>
        <v>-1.6026767960712889E-2</v>
      </c>
      <c r="F1244" s="18">
        <f t="shared" ca="1" si="173"/>
        <v>57.37548014418406</v>
      </c>
      <c r="G1244" s="19">
        <f t="shared" ca="1" si="174"/>
        <v>0.93452085581593991</v>
      </c>
      <c r="H1244" s="27">
        <v>92.739998</v>
      </c>
      <c r="I1244" s="19">
        <f t="shared" si="175"/>
        <v>2.7134754378837611E-2</v>
      </c>
      <c r="J1244" s="19">
        <f t="shared" ca="1" si="176"/>
        <v>7.4394588238640121E-3</v>
      </c>
      <c r="K1244" s="19">
        <f t="shared" ca="1" si="177"/>
        <v>84.111118402325488</v>
      </c>
      <c r="L1244" s="19">
        <f t="shared" ca="1" si="178"/>
        <v>-0.62112040232548793</v>
      </c>
      <c r="M1244" s="19">
        <f t="shared" ca="1" si="179"/>
        <v>0.31340045349045198</v>
      </c>
      <c r="AA1244" s="37">
        <v>1224</v>
      </c>
      <c r="AB1244" s="37">
        <v>1.8113438971735043</v>
      </c>
      <c r="AC1244" s="37">
        <v>2.8860311511227259</v>
      </c>
      <c r="AD1244" s="37">
        <v>3.4320899315017916</v>
      </c>
    </row>
    <row r="1245" spans="2:30" x14ac:dyDescent="0.3">
      <c r="B1245" s="28">
        <v>44439</v>
      </c>
      <c r="C1245" s="25">
        <v>50.82</v>
      </c>
      <c r="D1245" s="18">
        <f t="shared" si="171"/>
        <v>2.0072260136491327E-2</v>
      </c>
      <c r="E1245" s="32">
        <f t="shared" ca="1" si="172"/>
        <v>4.2566141647116598E-2</v>
      </c>
      <c r="F1245" s="18">
        <f t="shared" ca="1" si="173"/>
        <v>60.792032762009512</v>
      </c>
      <c r="G1245" s="19">
        <f t="shared" ca="1" si="174"/>
        <v>-2.4820317620095125</v>
      </c>
      <c r="H1245" s="27">
        <v>93.550003000000004</v>
      </c>
      <c r="I1245" s="19">
        <f t="shared" si="175"/>
        <v>8.7341494227766159E-3</v>
      </c>
      <c r="J1245" s="19">
        <f t="shared" ca="1" si="176"/>
        <v>-2.6741896815489956E-3</v>
      </c>
      <c r="K1245" s="19">
        <f t="shared" ca="1" si="177"/>
        <v>83.266729908835856</v>
      </c>
      <c r="L1245" s="19">
        <f t="shared" ca="1" si="178"/>
        <v>0.22326809116414381</v>
      </c>
      <c r="M1245" s="19">
        <f t="shared" ca="1" si="179"/>
        <v>-2.2587636708453687</v>
      </c>
      <c r="AA1245" s="37">
        <v>1225</v>
      </c>
      <c r="AB1245" s="37">
        <v>1.7467136526240636</v>
      </c>
      <c r="AC1245" s="37">
        <v>2.8391542932741189</v>
      </c>
      <c r="AD1245" s="37">
        <v>3.3219654670349676</v>
      </c>
    </row>
    <row r="1246" spans="2:30" x14ac:dyDescent="0.3">
      <c r="B1246" s="28">
        <v>44440</v>
      </c>
      <c r="C1246" s="25">
        <v>50.650002000000001</v>
      </c>
      <c r="D1246" s="18">
        <f t="shared" si="171"/>
        <v>-3.3451003541912216E-3</v>
      </c>
      <c r="E1246" s="32">
        <f t="shared" ca="1" si="172"/>
        <v>4.0140129608088743E-2</v>
      </c>
      <c r="F1246" s="18">
        <f t="shared" ca="1" si="173"/>
        <v>60.650571997587782</v>
      </c>
      <c r="G1246" s="19">
        <f t="shared" ca="1" si="174"/>
        <v>-2.3405709975877826</v>
      </c>
      <c r="H1246" s="27">
        <v>90.580001999999993</v>
      </c>
      <c r="I1246" s="19">
        <f t="shared" si="175"/>
        <v>-3.1747738158811267E-2</v>
      </c>
      <c r="J1246" s="19">
        <f t="shared" ca="1" si="176"/>
        <v>-1.8058278309550296E-2</v>
      </c>
      <c r="K1246" s="19">
        <f t="shared" ca="1" si="177"/>
        <v>81.982312380052207</v>
      </c>
      <c r="L1246" s="19">
        <f t="shared" ca="1" si="178"/>
        <v>1.507685619947793</v>
      </c>
      <c r="M1246" s="19">
        <f t="shared" ca="1" si="179"/>
        <v>-0.8328853776399896</v>
      </c>
      <c r="AA1246" s="37">
        <v>1226</v>
      </c>
      <c r="AB1246" s="37">
        <v>1.7857478785995387</v>
      </c>
      <c r="AC1246" s="37">
        <v>2.6533589106154913</v>
      </c>
      <c r="AD1246" s="37">
        <v>3.4053185085975128</v>
      </c>
    </row>
    <row r="1247" spans="2:30" x14ac:dyDescent="0.3">
      <c r="B1247" s="28">
        <v>44441</v>
      </c>
      <c r="C1247" s="25">
        <v>50.369999</v>
      </c>
      <c r="D1247" s="18">
        <f t="shared" si="171"/>
        <v>-5.528193266408965E-3</v>
      </c>
      <c r="E1247" s="32">
        <f t="shared" ca="1" si="172"/>
        <v>7.1788280028830496E-3</v>
      </c>
      <c r="F1247" s="18">
        <f t="shared" ca="1" si="173"/>
        <v>58.728598468026938</v>
      </c>
      <c r="G1247" s="19">
        <f t="shared" ca="1" si="174"/>
        <v>-0.4185974680269382</v>
      </c>
      <c r="H1247" s="27">
        <v>90.25</v>
      </c>
      <c r="I1247" s="19">
        <f t="shared" si="175"/>
        <v>-3.643210341284786E-3</v>
      </c>
      <c r="J1247" s="19">
        <f t="shared" ca="1" si="176"/>
        <v>6.0085655242877092E-3</v>
      </c>
      <c r="K1247" s="19">
        <f t="shared" ca="1" si="177"/>
        <v>83.991653123605644</v>
      </c>
      <c r="L1247" s="19">
        <f t="shared" ca="1" si="178"/>
        <v>-0.50165512360564435</v>
      </c>
      <c r="M1247" s="19">
        <f t="shared" ca="1" si="179"/>
        <v>-0.92025259163258255</v>
      </c>
      <c r="AA1247" s="37">
        <v>1227</v>
      </c>
      <c r="AB1247" s="37">
        <v>1.7866846000647658</v>
      </c>
      <c r="AC1247" s="37">
        <v>2.7785067552762794</v>
      </c>
      <c r="AD1247" s="37">
        <v>3.4271047729094248</v>
      </c>
    </row>
    <row r="1248" spans="2:30" x14ac:dyDescent="0.3">
      <c r="B1248" s="28">
        <v>44442</v>
      </c>
      <c r="C1248" s="25">
        <v>49.41</v>
      </c>
      <c r="D1248" s="18">
        <f t="shared" si="171"/>
        <v>-1.9058944194142335E-2</v>
      </c>
      <c r="E1248" s="32">
        <f t="shared" ca="1" si="172"/>
        <v>2.0144638756308206E-2</v>
      </c>
      <c r="F1248" s="18">
        <f t="shared" ca="1" si="173"/>
        <v>59.484634906024972</v>
      </c>
      <c r="G1248" s="19">
        <f t="shared" ca="1" si="174"/>
        <v>-1.1746339060249724</v>
      </c>
      <c r="H1248" s="27">
        <v>91.169998000000007</v>
      </c>
      <c r="I1248" s="19">
        <f t="shared" si="175"/>
        <v>1.0193883656509861E-2</v>
      </c>
      <c r="J1248" s="19">
        <f t="shared" ca="1" si="176"/>
        <v>4.6607398829501701E-3</v>
      </c>
      <c r="K1248" s="19">
        <f t="shared" ca="1" si="177"/>
        <v>83.879123163506023</v>
      </c>
      <c r="L1248" s="19">
        <f t="shared" ca="1" si="178"/>
        <v>-0.38912516350602289</v>
      </c>
      <c r="M1248" s="19">
        <f t="shared" ca="1" si="179"/>
        <v>-1.5637590695309953</v>
      </c>
      <c r="AA1248" s="37">
        <v>1228</v>
      </c>
      <c r="AB1248" s="37">
        <v>1.7856106817907877</v>
      </c>
      <c r="AC1248" s="37">
        <v>2.8608099814181722</v>
      </c>
      <c r="AD1248" s="37">
        <v>3.2354530329380529</v>
      </c>
    </row>
    <row r="1249" spans="2:30" x14ac:dyDescent="0.3">
      <c r="B1249" s="28">
        <v>44445</v>
      </c>
      <c r="C1249" s="25">
        <v>49.970001000000003</v>
      </c>
      <c r="D1249" s="18">
        <f t="shared" si="171"/>
        <v>1.133375834851269E-2</v>
      </c>
      <c r="E1249" s="32">
        <f t="shared" ca="1" si="172"/>
        <v>-4.0490138130589671E-3</v>
      </c>
      <c r="F1249" s="18">
        <f t="shared" ca="1" si="173"/>
        <v>58.073903000511514</v>
      </c>
      <c r="G1249" s="19">
        <f t="shared" ca="1" si="174"/>
        <v>0.23609799948848575</v>
      </c>
      <c r="H1249" s="27">
        <v>90.839995999999999</v>
      </c>
      <c r="I1249" s="19">
        <f t="shared" si="175"/>
        <v>-3.619633730824523E-3</v>
      </c>
      <c r="J1249" s="19">
        <f t="shared" ca="1" si="176"/>
        <v>-1.3656407218197238E-3</v>
      </c>
      <c r="K1249" s="19">
        <f t="shared" ca="1" si="177"/>
        <v>83.375980658866553</v>
      </c>
      <c r="L1249" s="19">
        <f t="shared" ca="1" si="178"/>
        <v>0.1140173411334473</v>
      </c>
      <c r="M1249" s="19">
        <f t="shared" ca="1" si="179"/>
        <v>0.35011534062193306</v>
      </c>
      <c r="AA1249" s="37">
        <v>1229</v>
      </c>
      <c r="AB1249" s="37">
        <v>1.7918847610899327</v>
      </c>
      <c r="AC1249" s="37">
        <v>2.8142436381887848</v>
      </c>
      <c r="AD1249" s="37">
        <v>3.4254557850709926</v>
      </c>
    </row>
    <row r="1250" spans="2:30" x14ac:dyDescent="0.3">
      <c r="B1250" s="28">
        <v>44446</v>
      </c>
      <c r="C1250" s="25">
        <v>49.450001</v>
      </c>
      <c r="D1250" s="18">
        <f t="shared" si="171"/>
        <v>-1.0406243537998017E-2</v>
      </c>
      <c r="E1250" s="32">
        <f t="shared" ca="1" si="172"/>
        <v>-1.6116740975777314E-2</v>
      </c>
      <c r="F1250" s="18">
        <f t="shared" ca="1" si="173"/>
        <v>57.370233817585685</v>
      </c>
      <c r="G1250" s="19">
        <f t="shared" ca="1" si="174"/>
        <v>0.93976718241431456</v>
      </c>
      <c r="H1250" s="27">
        <v>88.120002999999997</v>
      </c>
      <c r="I1250" s="19">
        <f t="shared" si="175"/>
        <v>-2.9942680754851625E-2</v>
      </c>
      <c r="J1250" s="19">
        <f t="shared" ca="1" si="176"/>
        <v>-3.2464931773594074E-4</v>
      </c>
      <c r="K1250" s="19">
        <f t="shared" ca="1" si="177"/>
        <v>83.462893029111527</v>
      </c>
      <c r="L1250" s="19">
        <f t="shared" ca="1" si="178"/>
        <v>2.710497088847319E-2</v>
      </c>
      <c r="M1250" s="19">
        <f t="shared" ca="1" si="179"/>
        <v>0.96687215330278775</v>
      </c>
      <c r="AA1250" s="37">
        <v>1230</v>
      </c>
      <c r="AB1250" s="37">
        <v>1.716714915092963</v>
      </c>
      <c r="AC1250" s="37">
        <v>2.8143830179323737</v>
      </c>
      <c r="AD1250" s="37">
        <v>3.2766616805207258</v>
      </c>
    </row>
    <row r="1251" spans="2:30" x14ac:dyDescent="0.3">
      <c r="B1251" s="28">
        <v>44447</v>
      </c>
      <c r="C1251" s="25">
        <v>49.77</v>
      </c>
      <c r="D1251" s="18">
        <f t="shared" si="171"/>
        <v>6.4711626598350502E-3</v>
      </c>
      <c r="E1251" s="32">
        <f t="shared" ca="1" si="172"/>
        <v>-1.458268497621641E-2</v>
      </c>
      <c r="F1251" s="18">
        <f t="shared" ca="1" si="173"/>
        <v>57.459684624454134</v>
      </c>
      <c r="G1251" s="19">
        <f t="shared" ca="1" si="174"/>
        <v>0.85031637554586581</v>
      </c>
      <c r="H1251" s="27">
        <v>87.059997999999993</v>
      </c>
      <c r="I1251" s="19">
        <f t="shared" si="175"/>
        <v>-1.2029107624973667E-2</v>
      </c>
      <c r="J1251" s="19">
        <f t="shared" ca="1" si="176"/>
        <v>-1.6465783957310048E-2</v>
      </c>
      <c r="K1251" s="19">
        <f t="shared" ca="1" si="177"/>
        <v>82.115269730335754</v>
      </c>
      <c r="L1251" s="19">
        <f t="shared" ca="1" si="178"/>
        <v>1.3747282696642458</v>
      </c>
      <c r="M1251" s="19">
        <f t="shared" ca="1" si="179"/>
        <v>2.2250446452101116</v>
      </c>
      <c r="AA1251" s="37">
        <v>1231</v>
      </c>
      <c r="AB1251" s="37">
        <v>1.770192496536245</v>
      </c>
      <c r="AC1251" s="37">
        <v>2.8912510526279789</v>
      </c>
      <c r="AD1251" s="37">
        <v>3.6091576257546665</v>
      </c>
    </row>
    <row r="1252" spans="2:30" x14ac:dyDescent="0.3">
      <c r="B1252" s="28">
        <v>44448</v>
      </c>
      <c r="C1252" s="25">
        <v>50.080002</v>
      </c>
      <c r="D1252" s="18">
        <f t="shared" si="171"/>
        <v>6.2286919831222587E-3</v>
      </c>
      <c r="E1252" s="32">
        <f t="shared" ca="1" si="172"/>
        <v>-1.8656656279886892E-2</v>
      </c>
      <c r="F1252" s="18">
        <f t="shared" ca="1" si="173"/>
        <v>57.222131353663137</v>
      </c>
      <c r="G1252" s="19">
        <f t="shared" ca="1" si="174"/>
        <v>1.0878696463368627</v>
      </c>
      <c r="H1252" s="27">
        <v>85.889999000000003</v>
      </c>
      <c r="I1252" s="19">
        <f t="shared" si="175"/>
        <v>-1.3438996403376757E-2</v>
      </c>
      <c r="J1252" s="19">
        <f t="shared" ca="1" si="176"/>
        <v>1.3278430759200479E-2</v>
      </c>
      <c r="K1252" s="19">
        <f t="shared" ca="1" si="177"/>
        <v>84.598614157528786</v>
      </c>
      <c r="L1252" s="19">
        <f t="shared" ca="1" si="178"/>
        <v>-1.1086161575287861</v>
      </c>
      <c r="M1252" s="19">
        <f t="shared" ca="1" si="179"/>
        <v>-2.0746511191923389E-2</v>
      </c>
      <c r="AA1252" s="37">
        <v>1232</v>
      </c>
      <c r="AB1252" s="37">
        <v>1.8231206398220208</v>
      </c>
      <c r="AC1252" s="37">
        <v>2.8554766408109442</v>
      </c>
      <c r="AD1252" s="37">
        <v>3.4303429013686815</v>
      </c>
    </row>
    <row r="1253" spans="2:30" x14ac:dyDescent="0.3">
      <c r="B1253" s="28">
        <v>44449</v>
      </c>
      <c r="C1253" s="25">
        <v>50.310001</v>
      </c>
      <c r="D1253" s="18">
        <f t="shared" si="171"/>
        <v>4.59263160572565E-3</v>
      </c>
      <c r="E1253" s="32">
        <f t="shared" ca="1" si="172"/>
        <v>1.4560934167803533E-2</v>
      </c>
      <c r="F1253" s="18">
        <f t="shared" ca="1" si="173"/>
        <v>59.159049085885556</v>
      </c>
      <c r="G1253" s="19">
        <f t="shared" ca="1" si="174"/>
        <v>-0.84904808588555625</v>
      </c>
      <c r="H1253" s="27">
        <v>87.730002999999996</v>
      </c>
      <c r="I1253" s="19">
        <f t="shared" si="175"/>
        <v>2.1422796849724035E-2</v>
      </c>
      <c r="J1253" s="19">
        <f t="shared" ca="1" si="176"/>
        <v>-1.0785143406517518E-2</v>
      </c>
      <c r="K1253" s="19">
        <f t="shared" ca="1" si="177"/>
        <v>82.589546398560145</v>
      </c>
      <c r="L1253" s="19">
        <f t="shared" ca="1" si="178"/>
        <v>0.9004516014398547</v>
      </c>
      <c r="M1253" s="19">
        <f t="shared" ca="1" si="179"/>
        <v>5.1403515554298451E-2</v>
      </c>
      <c r="AA1253" s="37">
        <v>1233</v>
      </c>
      <c r="AB1253" s="37">
        <v>1.8264987698088508</v>
      </c>
      <c r="AC1253" s="37">
        <v>2.6787447752834948</v>
      </c>
      <c r="AD1253" s="37">
        <v>3.4386671486466751</v>
      </c>
    </row>
    <row r="1254" spans="2:30" x14ac:dyDescent="0.3">
      <c r="B1254" s="28">
        <v>44452</v>
      </c>
      <c r="C1254" s="25">
        <v>51.34</v>
      </c>
      <c r="D1254" s="18">
        <f t="shared" si="171"/>
        <v>2.0473046700993036E-2</v>
      </c>
      <c r="E1254" s="32">
        <f t="shared" ca="1" si="172"/>
        <v>8.5326261023648056E-3</v>
      </c>
      <c r="F1254" s="18">
        <f t="shared" ca="1" si="173"/>
        <v>58.807538436561522</v>
      </c>
      <c r="G1254" s="19">
        <f t="shared" ca="1" si="174"/>
        <v>-0.49753743656152238</v>
      </c>
      <c r="H1254" s="27">
        <v>86.25</v>
      </c>
      <c r="I1254" s="19">
        <f t="shared" si="175"/>
        <v>-1.6869975486037525E-2</v>
      </c>
      <c r="J1254" s="19">
        <f t="shared" ca="1" si="176"/>
        <v>-6.6846151691688045E-3</v>
      </c>
      <c r="K1254" s="19">
        <f t="shared" ca="1" si="177"/>
        <v>82.931899492895326</v>
      </c>
      <c r="L1254" s="19">
        <f t="shared" ca="1" si="178"/>
        <v>0.55809850710467401</v>
      </c>
      <c r="M1254" s="19">
        <f t="shared" ca="1" si="179"/>
        <v>6.0561070543151629E-2</v>
      </c>
      <c r="AA1254" s="37">
        <v>1234</v>
      </c>
      <c r="AB1254" s="37">
        <v>1.8223028440579203</v>
      </c>
      <c r="AC1254" s="37">
        <v>2.8970404417157507</v>
      </c>
      <c r="AD1254" s="37">
        <v>3.1861760177027483</v>
      </c>
    </row>
    <row r="1255" spans="2:30" x14ac:dyDescent="0.3">
      <c r="B1255" s="28">
        <v>44453</v>
      </c>
      <c r="C1255" s="25">
        <v>55.299999</v>
      </c>
      <c r="D1255" s="18">
        <f t="shared" si="171"/>
        <v>7.7132820412933345E-2</v>
      </c>
      <c r="E1255" s="32">
        <f t="shared" ca="1" si="172"/>
        <v>-6.3272619813817309E-3</v>
      </c>
      <c r="F1255" s="18">
        <f t="shared" ca="1" si="173"/>
        <v>57.941058347538366</v>
      </c>
      <c r="G1255" s="19">
        <f t="shared" ca="1" si="174"/>
        <v>0.36894265246163371</v>
      </c>
      <c r="H1255" s="27">
        <v>87.389999000000003</v>
      </c>
      <c r="I1255" s="19">
        <f t="shared" si="175"/>
        <v>1.3217379710144916E-2</v>
      </c>
      <c r="J1255" s="19">
        <f t="shared" ca="1" si="176"/>
        <v>2.010657701732909E-2</v>
      </c>
      <c r="K1255" s="19">
        <f t="shared" ca="1" si="177"/>
        <v>85.168696074963648</v>
      </c>
      <c r="L1255" s="19">
        <f t="shared" ca="1" si="178"/>
        <v>-1.6786980749636484</v>
      </c>
      <c r="M1255" s="19">
        <f t="shared" ca="1" si="179"/>
        <v>-1.3097554225020147</v>
      </c>
      <c r="AA1255" s="37">
        <v>1235</v>
      </c>
      <c r="AB1255" s="37">
        <v>1.7329046254057938</v>
      </c>
      <c r="AC1255" s="37">
        <v>2.8390131342856528</v>
      </c>
      <c r="AD1255" s="37">
        <v>3.3562504856986459</v>
      </c>
    </row>
    <row r="1256" spans="2:30" x14ac:dyDescent="0.3">
      <c r="B1256" s="28">
        <v>44454</v>
      </c>
      <c r="C1256" s="25">
        <v>56</v>
      </c>
      <c r="D1256" s="18">
        <f t="shared" si="171"/>
        <v>1.2658246160185183E-2</v>
      </c>
      <c r="E1256" s="32">
        <f t="shared" ca="1" si="172"/>
        <v>-1.4893562696410791E-2</v>
      </c>
      <c r="F1256" s="18">
        <f t="shared" ca="1" si="173"/>
        <v>57.441557344278721</v>
      </c>
      <c r="G1256" s="19">
        <f t="shared" ca="1" si="174"/>
        <v>0.86844365572127913</v>
      </c>
      <c r="H1256" s="27">
        <v>88.910004000000001</v>
      </c>
      <c r="I1256" s="19">
        <f t="shared" si="175"/>
        <v>1.7393351841095583E-2</v>
      </c>
      <c r="J1256" s="19">
        <f t="shared" ca="1" si="176"/>
        <v>-3.6077425095183604E-3</v>
      </c>
      <c r="K1256" s="19">
        <f t="shared" ca="1" si="177"/>
        <v>83.188787585095795</v>
      </c>
      <c r="L1256" s="19">
        <f t="shared" ca="1" si="178"/>
        <v>0.30121041490420453</v>
      </c>
      <c r="M1256" s="19">
        <f t="shared" ca="1" si="179"/>
        <v>1.1696540706254837</v>
      </c>
      <c r="AA1256" s="37">
        <v>1236</v>
      </c>
      <c r="AB1256" s="37">
        <v>1.8629179106244</v>
      </c>
      <c r="AC1256" s="37">
        <v>2.8528705914831369</v>
      </c>
      <c r="AD1256" s="37">
        <v>3.2611402170390291</v>
      </c>
    </row>
    <row r="1257" spans="2:30" x14ac:dyDescent="0.3">
      <c r="B1257" s="28">
        <v>44456</v>
      </c>
      <c r="C1257" s="25">
        <v>56.23</v>
      </c>
      <c r="D1257" s="18">
        <f t="shared" si="171"/>
        <v>4.1071428571428648E-3</v>
      </c>
      <c r="E1257" s="32">
        <f t="shared" ca="1" si="172"/>
        <v>-2.5711609426954499E-2</v>
      </c>
      <c r="F1257" s="18">
        <f t="shared" ca="1" si="173"/>
        <v>56.810757028602673</v>
      </c>
      <c r="G1257" s="19">
        <f t="shared" ca="1" si="174"/>
        <v>1.4992439713973269</v>
      </c>
      <c r="H1257" s="27">
        <v>85.190002000000007</v>
      </c>
      <c r="I1257" s="19">
        <f t="shared" si="175"/>
        <v>-4.1840083597341815E-2</v>
      </c>
      <c r="J1257" s="19">
        <f t="shared" ca="1" si="176"/>
        <v>3.2060676089441152E-2</v>
      </c>
      <c r="K1257" s="19">
        <f t="shared" ca="1" si="177"/>
        <v>86.166743782586082</v>
      </c>
      <c r="L1257" s="19">
        <f t="shared" ca="1" si="178"/>
        <v>-2.6767457825860816</v>
      </c>
      <c r="M1257" s="19">
        <f t="shared" ca="1" si="179"/>
        <v>-1.1775018111887547</v>
      </c>
      <c r="AA1257" s="37">
        <v>1237</v>
      </c>
      <c r="AB1257" s="37">
        <v>1.7815156200619311</v>
      </c>
      <c r="AC1257" s="37">
        <v>2.7670253225307122</v>
      </c>
      <c r="AD1257" s="37">
        <v>3.2756357996655967</v>
      </c>
    </row>
    <row r="1258" spans="2:30" x14ac:dyDescent="0.3">
      <c r="B1258" s="28">
        <v>44459</v>
      </c>
      <c r="C1258" s="25">
        <v>57.91</v>
      </c>
      <c r="D1258" s="18">
        <f t="shared" si="171"/>
        <v>2.9877289703005516E-2</v>
      </c>
      <c r="E1258" s="32">
        <f t="shared" ca="1" si="172"/>
        <v>-2.2002671043050464E-2</v>
      </c>
      <c r="F1258" s="18">
        <f t="shared" ca="1" si="173"/>
        <v>57.027025229477061</v>
      </c>
      <c r="G1258" s="19">
        <f t="shared" ca="1" si="174"/>
        <v>1.2829757705229383</v>
      </c>
      <c r="H1258" s="27">
        <v>82.18</v>
      </c>
      <c r="I1258" s="19">
        <f t="shared" si="175"/>
        <v>-3.5332808185636666E-2</v>
      </c>
      <c r="J1258" s="19">
        <f t="shared" ca="1" si="176"/>
        <v>4.4119372002575825E-2</v>
      </c>
      <c r="K1258" s="19">
        <f t="shared" ca="1" si="177"/>
        <v>87.173524280256316</v>
      </c>
      <c r="L1258" s="19">
        <f t="shared" ca="1" si="178"/>
        <v>-3.6835262802563165</v>
      </c>
      <c r="M1258" s="19">
        <f t="shared" ca="1" si="179"/>
        <v>-2.4005505097333781</v>
      </c>
      <c r="AA1258" s="37">
        <v>1238</v>
      </c>
      <c r="AB1258" s="37">
        <v>1.8028763254289992</v>
      </c>
      <c r="AC1258" s="37">
        <v>2.9413489857277799</v>
      </c>
      <c r="AD1258" s="37">
        <v>3.6127353825949795</v>
      </c>
    </row>
    <row r="1259" spans="2:30" x14ac:dyDescent="0.3">
      <c r="B1259" s="28">
        <v>44460</v>
      </c>
      <c r="C1259" s="25">
        <v>57.880001</v>
      </c>
      <c r="D1259" s="18">
        <f t="shared" si="171"/>
        <v>-5.1802797444300275E-4</v>
      </c>
      <c r="E1259" s="32">
        <f t="shared" ca="1" si="172"/>
        <v>-2.658833646381414E-2</v>
      </c>
      <c r="F1259" s="18">
        <f t="shared" ca="1" si="173"/>
        <v>56.759635074206663</v>
      </c>
      <c r="G1259" s="19">
        <f t="shared" ca="1" si="174"/>
        <v>1.5503659257933364</v>
      </c>
      <c r="H1259" s="27">
        <v>83.029999000000004</v>
      </c>
      <c r="I1259" s="19">
        <f t="shared" si="175"/>
        <v>1.0343137016305626E-2</v>
      </c>
      <c r="J1259" s="19">
        <f t="shared" ca="1" si="176"/>
        <v>1.4134231833063489E-2</v>
      </c>
      <c r="K1259" s="19">
        <f t="shared" ca="1" si="177"/>
        <v>84.670064987474007</v>
      </c>
      <c r="L1259" s="19">
        <f t="shared" ca="1" si="178"/>
        <v>-1.1800669874740066</v>
      </c>
      <c r="M1259" s="19">
        <f t="shared" ca="1" si="179"/>
        <v>0.37029893831932981</v>
      </c>
      <c r="AA1259" s="37">
        <v>1239</v>
      </c>
      <c r="AB1259" s="37">
        <v>1.7634830778874571</v>
      </c>
      <c r="AC1259" s="37">
        <v>3.023195324301104</v>
      </c>
      <c r="AD1259" s="37">
        <v>3.3224307329941127</v>
      </c>
    </row>
    <row r="1260" spans="2:30" x14ac:dyDescent="0.3">
      <c r="B1260" s="28">
        <v>44461</v>
      </c>
      <c r="C1260" s="25">
        <v>58.279998999999997</v>
      </c>
      <c r="D1260" s="18">
        <f t="shared" si="171"/>
        <v>6.9108153609049872E-3</v>
      </c>
      <c r="E1260" s="32">
        <f t="shared" ca="1" si="172"/>
        <v>-1.0952736053562256E-2</v>
      </c>
      <c r="F1260" s="18">
        <f t="shared" ca="1" si="173"/>
        <v>57.67134694976405</v>
      </c>
      <c r="G1260" s="19">
        <f t="shared" ca="1" si="174"/>
        <v>0.63865405023594946</v>
      </c>
      <c r="H1260" s="27">
        <v>83.019997000000004</v>
      </c>
      <c r="I1260" s="19">
        <f t="shared" si="175"/>
        <v>-1.2046248489050448E-4</v>
      </c>
      <c r="J1260" s="19">
        <f t="shared" ca="1" si="176"/>
        <v>-1.6680571855810986E-2</v>
      </c>
      <c r="K1260" s="19">
        <f t="shared" ca="1" si="177"/>
        <v>82.097337089119492</v>
      </c>
      <c r="L1260" s="19">
        <f t="shared" ca="1" si="178"/>
        <v>1.3926609108805081</v>
      </c>
      <c r="M1260" s="19">
        <f t="shared" ca="1" si="179"/>
        <v>2.0313149611164576</v>
      </c>
      <c r="AA1260" s="37">
        <v>1240</v>
      </c>
      <c r="AB1260" s="37">
        <v>1.7416653698410169</v>
      </c>
      <c r="AC1260" s="37">
        <v>2.7842495417685282</v>
      </c>
      <c r="AD1260" s="37">
        <v>3.3709721782708373</v>
      </c>
    </row>
    <row r="1261" spans="2:30" x14ac:dyDescent="0.3">
      <c r="B1261" s="28">
        <v>44462</v>
      </c>
      <c r="C1261" s="25">
        <v>58.310001</v>
      </c>
      <c r="D1261" s="18">
        <f t="shared" si="171"/>
        <v>5.147906745845976E-4</v>
      </c>
      <c r="E1261" s="32">
        <f t="shared" ca="1" si="172"/>
        <v>-5.7929552264586993E-2</v>
      </c>
      <c r="F1261" s="18">
        <f t="shared" ca="1" si="173"/>
        <v>54.932128749522384</v>
      </c>
      <c r="G1261" s="19">
        <f t="shared" ca="1" si="174"/>
        <v>3.3778722504776155</v>
      </c>
      <c r="H1261" s="27">
        <v>83.489998</v>
      </c>
      <c r="I1261" s="19">
        <f t="shared" si="175"/>
        <v>5.661298686869376E-3</v>
      </c>
      <c r="J1261" s="19">
        <f t="shared" ca="1" si="176"/>
        <v>8.6790642586625586E-3</v>
      </c>
      <c r="K1261" s="19">
        <f t="shared" ca="1" si="177"/>
        <v>84.214613057597603</v>
      </c>
      <c r="L1261" s="19">
        <f t="shared" ca="1" si="178"/>
        <v>-0.72461505759760314</v>
      </c>
      <c r="M1261" s="19">
        <f t="shared" ca="1" si="179"/>
        <v>2.6532571928800124</v>
      </c>
      <c r="AA1261" s="37">
        <v>1241</v>
      </c>
      <c r="AB1261" s="37">
        <v>1.8587889059372282</v>
      </c>
      <c r="AC1261" s="37">
        <v>2.7337543578917853</v>
      </c>
      <c r="AD1261" s="37">
        <v>3.2430985962633225</v>
      </c>
    </row>
    <row r="1262" spans="2:30" x14ac:dyDescent="0.3">
      <c r="B1262" s="21"/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AA1262" s="37">
        <v>1242</v>
      </c>
      <c r="AB1262" s="37">
        <v>1.8208559469156498</v>
      </c>
      <c r="AC1262" s="37">
        <v>3.126335053076037</v>
      </c>
      <c r="AD1262" s="37">
        <v>3.1711599980988368</v>
      </c>
    </row>
    <row r="1263" spans="2:30" x14ac:dyDescent="0.3">
      <c r="B1263" s="21"/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AA1263" s="37">
        <v>1243</v>
      </c>
      <c r="AB1263" s="37">
        <v>1.8854666266173115</v>
      </c>
      <c r="AC1263" s="37">
        <v>2.7546135879932048</v>
      </c>
      <c r="AD1263" s="37">
        <v>3.3613186142392646</v>
      </c>
    </row>
    <row r="1264" spans="2:30" x14ac:dyDescent="0.3">
      <c r="B1264" s="21"/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AA1264" s="37">
        <v>1244</v>
      </c>
      <c r="AB1264" s="37">
        <v>1.8258550475878095</v>
      </c>
      <c r="AC1264" s="37">
        <v>2.9035584119238056</v>
      </c>
      <c r="AD1264" s="37">
        <v>3.3582764390902766</v>
      </c>
    </row>
    <row r="1265" spans="2:30" x14ac:dyDescent="0.3">
      <c r="B1265" s="21"/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AA1265" s="37">
        <v>1245</v>
      </c>
      <c r="AB1265" s="37">
        <v>1.7168631863377435</v>
      </c>
      <c r="AC1265" s="37">
        <v>2.6962514411929388</v>
      </c>
      <c r="AD1265" s="37">
        <v>3.1373545921634602</v>
      </c>
    </row>
    <row r="1266" spans="2:30" x14ac:dyDescent="0.3">
      <c r="B1266" s="21"/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AA1266" s="37">
        <v>1246</v>
      </c>
      <c r="AB1266" s="37">
        <v>1.856827693701858</v>
      </c>
      <c r="AC1266" s="37">
        <v>2.6516991656015163</v>
      </c>
      <c r="AD1266" s="37">
        <v>3.4110661458723377</v>
      </c>
    </row>
    <row r="1267" spans="2:30" x14ac:dyDescent="0.3">
      <c r="B1267" s="21"/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AA1267" s="37">
        <v>1247</v>
      </c>
      <c r="AB1267" s="37">
        <v>1.7734106714929159</v>
      </c>
      <c r="AC1267" s="37">
        <v>2.8066368152765233</v>
      </c>
      <c r="AD1267" s="37">
        <v>3.2661536650660592</v>
      </c>
    </row>
    <row r="1268" spans="2:30" x14ac:dyDescent="0.3">
      <c r="B1268" s="21"/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AA1268" s="37">
        <v>1248</v>
      </c>
      <c r="AB1268" s="37">
        <v>1.8516369991992399</v>
      </c>
      <c r="AC1268" s="37">
        <v>2.8781792790728002</v>
      </c>
      <c r="AD1268" s="37">
        <v>3.4889110400430923</v>
      </c>
    </row>
    <row r="1269" spans="2:30" x14ac:dyDescent="0.3">
      <c r="B1269" s="21"/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AA1269" s="37">
        <v>1249</v>
      </c>
      <c r="AB1269" s="37">
        <v>1.8014097969478049</v>
      </c>
      <c r="AC1269" s="37">
        <v>2.9107959556489749</v>
      </c>
      <c r="AD1269" s="37">
        <v>3.3614060104015642</v>
      </c>
    </row>
    <row r="1270" spans="2:30" x14ac:dyDescent="0.3">
      <c r="B1270" s="21"/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AA1270" s="37">
        <v>1250</v>
      </c>
      <c r="AB1270" s="37">
        <v>1.7751843562999781</v>
      </c>
      <c r="AC1270" s="37">
        <v>2.7500299206640699</v>
      </c>
      <c r="AD1270" s="37">
        <v>3.3163435522864875</v>
      </c>
    </row>
    <row r="1271" spans="2:30" x14ac:dyDescent="0.3">
      <c r="B1271" s="21"/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AA1271" s="37">
        <v>1251</v>
      </c>
      <c r="AB1271" s="37">
        <v>1.7038267602645198</v>
      </c>
      <c r="AC1271" s="37">
        <v>2.7347744032831471</v>
      </c>
      <c r="AD1271" s="37">
        <v>3.2799772429371497</v>
      </c>
    </row>
    <row r="1272" spans="2:30" x14ac:dyDescent="0.3">
      <c r="B1272" s="21"/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AA1272" s="37">
        <v>1252</v>
      </c>
      <c r="AB1272" s="37">
        <v>1.7259012138769045</v>
      </c>
      <c r="AC1272" s="37">
        <v>2.8649466209165566</v>
      </c>
      <c r="AD1272" s="37">
        <v>3.4721911601767017</v>
      </c>
    </row>
    <row r="1273" spans="2:30" x14ac:dyDescent="0.3">
      <c r="B1273" s="21"/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AA1273" s="37">
        <v>1253</v>
      </c>
      <c r="AB1273" s="37">
        <v>1.6864261041185695</v>
      </c>
      <c r="AC1273" s="37">
        <v>2.695065282162362</v>
      </c>
      <c r="AD1273" s="37">
        <v>3.4204271730911646</v>
      </c>
    </row>
    <row r="1274" spans="2:30" x14ac:dyDescent="0.3">
      <c r="B1274" s="21"/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AA1274" s="37">
        <v>1254</v>
      </c>
      <c r="AB1274" s="37">
        <v>1.907771069984896</v>
      </c>
      <c r="AC1274" s="37">
        <v>2.917676153876843</v>
      </c>
      <c r="AD1274" s="37">
        <v>3.4172964766087288</v>
      </c>
    </row>
    <row r="1275" spans="2:30" x14ac:dyDescent="0.3">
      <c r="B1275" s="21"/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AA1275" s="37">
        <v>1255</v>
      </c>
      <c r="AB1275" s="37">
        <v>1.8377268263421811</v>
      </c>
      <c r="AC1275" s="37">
        <v>2.764788723212567</v>
      </c>
      <c r="AD1275" s="37">
        <v>3.450074849485826</v>
      </c>
    </row>
    <row r="1276" spans="2:30" x14ac:dyDescent="0.3">
      <c r="B1276" s="21"/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AA1276" s="37">
        <v>1256</v>
      </c>
      <c r="AB1276" s="37">
        <v>1.7738067514746061</v>
      </c>
      <c r="AC1276" s="37">
        <v>3.0091844525939688</v>
      </c>
      <c r="AD1276" s="37">
        <v>3.2505942886038226</v>
      </c>
    </row>
    <row r="1277" spans="2:30" x14ac:dyDescent="0.3">
      <c r="B1277" s="21"/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AA1277" s="37">
        <v>1257</v>
      </c>
      <c r="AB1277" s="37">
        <v>1.8576135926366277</v>
      </c>
      <c r="AC1277" s="37">
        <v>2.8874421479640415</v>
      </c>
      <c r="AD1277" s="37">
        <v>3.3607709209019152</v>
      </c>
    </row>
    <row r="1278" spans="2:30" x14ac:dyDescent="0.3">
      <c r="B1278" s="21"/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AA1278" s="37">
        <v>1258</v>
      </c>
      <c r="AB1278" s="37">
        <v>1.8170472359230849</v>
      </c>
      <c r="AC1278" s="37">
        <v>2.7169019667375958</v>
      </c>
      <c r="AD1278" s="37">
        <v>3.5757892616100575</v>
      </c>
    </row>
    <row r="1279" spans="2:30" x14ac:dyDescent="0.3">
      <c r="B1279" s="21"/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AA1279" s="37">
        <v>1259</v>
      </c>
      <c r="AB1279" s="37">
        <v>1.8104712698961614</v>
      </c>
      <c r="AC1279" s="37">
        <v>2.9358315734195966</v>
      </c>
      <c r="AD1279" s="37">
        <v>3.2538236955494635</v>
      </c>
    </row>
    <row r="1280" spans="2:30" x14ac:dyDescent="0.3">
      <c r="B1280" s="21"/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AA1280" s="37">
        <v>1260</v>
      </c>
      <c r="AB1280" s="37">
        <v>1.7808232580478545</v>
      </c>
      <c r="AC1280" s="37">
        <v>2.949184298762574</v>
      </c>
      <c r="AD1280" s="37">
        <v>3.234329117658683</v>
      </c>
    </row>
    <row r="1281" spans="2:30" x14ac:dyDescent="0.3">
      <c r="B1281" s="21"/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AA1281" s="37">
        <v>1261</v>
      </c>
      <c r="AB1281" s="37">
        <v>1.7035372422341275</v>
      </c>
      <c r="AC1281" s="37">
        <v>2.8706686704654567</v>
      </c>
      <c r="AD1281" s="37">
        <v>3.330182469493097</v>
      </c>
    </row>
    <row r="1282" spans="2:30" x14ac:dyDescent="0.3">
      <c r="B1282" s="21"/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AA1282" s="37">
        <v>1262</v>
      </c>
      <c r="AB1282" s="37">
        <v>1.7778997526515752</v>
      </c>
      <c r="AC1282" s="37">
        <v>3.0321396559580305</v>
      </c>
      <c r="AD1282" s="37">
        <v>3.3579200947562722</v>
      </c>
    </row>
    <row r="1283" spans="2:30" x14ac:dyDescent="0.3">
      <c r="B1283" s="21"/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AA1283" s="37">
        <v>1263</v>
      </c>
      <c r="AB1283" s="37">
        <v>1.7615364910170899</v>
      </c>
      <c r="AC1283" s="37">
        <v>2.7527685984433674</v>
      </c>
      <c r="AD1283" s="37">
        <v>3.2830339942259106</v>
      </c>
    </row>
    <row r="1284" spans="2:30" x14ac:dyDescent="0.3">
      <c r="B1284" s="21"/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AA1284" s="37">
        <v>1264</v>
      </c>
      <c r="AB1284" s="37">
        <v>1.8250070109988561</v>
      </c>
      <c r="AC1284" s="37">
        <v>2.9067169796090364</v>
      </c>
      <c r="AD1284" s="37">
        <v>3.5351593561444417</v>
      </c>
    </row>
    <row r="1285" spans="2:30" x14ac:dyDescent="0.3">
      <c r="B1285" s="21"/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AA1285" s="37">
        <v>1265</v>
      </c>
      <c r="AB1285" s="37">
        <v>1.7415361482462628</v>
      </c>
      <c r="AC1285" s="37">
        <v>2.7824363764415261</v>
      </c>
      <c r="AD1285" s="37">
        <v>3.1407004792768238</v>
      </c>
    </row>
    <row r="1286" spans="2:30" x14ac:dyDescent="0.3">
      <c r="B1286" s="21"/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AA1286" s="37">
        <v>1266</v>
      </c>
      <c r="AB1286" s="37">
        <v>1.8257452476390668</v>
      </c>
      <c r="AC1286" s="37">
        <v>2.6045233119655156</v>
      </c>
      <c r="AD1286" s="37">
        <v>3.2902564024675889</v>
      </c>
    </row>
    <row r="1287" spans="2:30" x14ac:dyDescent="0.3">
      <c r="B1287" s="21"/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AA1287" s="37">
        <v>1267</v>
      </c>
      <c r="AB1287" s="37">
        <v>1.6195909630271899</v>
      </c>
      <c r="AC1287" s="37">
        <v>2.7739195760336153</v>
      </c>
      <c r="AD1287" s="37">
        <v>3.2037504947613624</v>
      </c>
    </row>
    <row r="1288" spans="2:30" x14ac:dyDescent="0.3">
      <c r="B1288" s="21"/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AA1288" s="37">
        <v>1268</v>
      </c>
      <c r="AB1288" s="37">
        <v>1.7605678926581825</v>
      </c>
      <c r="AC1288" s="37">
        <v>2.8713622246354276</v>
      </c>
      <c r="AD1288" s="37">
        <v>3.3347180797981926</v>
      </c>
    </row>
    <row r="1289" spans="2:30" x14ac:dyDescent="0.3">
      <c r="B1289" s="21"/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AA1289" s="37">
        <v>1269</v>
      </c>
      <c r="AB1289" s="37">
        <v>1.8041463408553819</v>
      </c>
      <c r="AC1289" s="37">
        <v>2.8538002421181159</v>
      </c>
      <c r="AD1289" s="37">
        <v>3.4608834905057355</v>
      </c>
    </row>
    <row r="1290" spans="2:30" x14ac:dyDescent="0.3">
      <c r="B1290" s="21"/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AA1290" s="37">
        <v>1270</v>
      </c>
      <c r="AB1290" s="37">
        <v>1.745249379780091</v>
      </c>
      <c r="AC1290" s="37">
        <v>2.9136174543971589</v>
      </c>
      <c r="AD1290" s="37">
        <v>3.3435922568564518</v>
      </c>
    </row>
    <row r="1291" spans="2:30" x14ac:dyDescent="0.3">
      <c r="B1291" s="21"/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AA1291" s="37">
        <v>1271</v>
      </c>
      <c r="AB1291" s="37">
        <v>1.8158891741097249</v>
      </c>
      <c r="AC1291" s="37">
        <v>2.9316044199266313</v>
      </c>
      <c r="AD1291" s="37">
        <v>3.2069284502953872</v>
      </c>
    </row>
    <row r="1292" spans="2:30" x14ac:dyDescent="0.3">
      <c r="B1292" s="21"/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AA1292" s="37">
        <v>1272</v>
      </c>
      <c r="AB1292" s="37">
        <v>1.7668517378414319</v>
      </c>
      <c r="AC1292" s="37">
        <v>2.9556343582202294</v>
      </c>
      <c r="AD1292" s="37">
        <v>3.3374184781967862</v>
      </c>
    </row>
    <row r="1293" spans="2:30" x14ac:dyDescent="0.3">
      <c r="B1293" s="21"/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AA1293" s="37">
        <v>1273</v>
      </c>
      <c r="AB1293" s="37">
        <v>1.7106243132455303</v>
      </c>
      <c r="AC1293" s="37">
        <v>2.937479541443885</v>
      </c>
      <c r="AD1293" s="37">
        <v>3.2353620076460539</v>
      </c>
    </row>
    <row r="1294" spans="2:30" x14ac:dyDescent="0.3">
      <c r="B1294" s="21"/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AA1294" s="37">
        <v>1274</v>
      </c>
      <c r="AB1294" s="37">
        <v>1.8585695791066661</v>
      </c>
      <c r="AC1294" s="37">
        <v>2.8058240432317372</v>
      </c>
      <c r="AD1294" s="37">
        <v>3.544434548423876</v>
      </c>
    </row>
    <row r="1295" spans="2:30" x14ac:dyDescent="0.3">
      <c r="B1295" s="21"/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AA1295" s="37">
        <v>1275</v>
      </c>
      <c r="AB1295" s="37">
        <v>1.7537868515799488</v>
      </c>
      <c r="AC1295" s="37">
        <v>2.9481707026331039</v>
      </c>
      <c r="AD1295" s="37">
        <v>3.3443768055133223</v>
      </c>
    </row>
    <row r="1296" spans="2:30" x14ac:dyDescent="0.3">
      <c r="B1296" s="21"/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AA1296" s="37">
        <v>1276</v>
      </c>
      <c r="AB1296" s="37">
        <v>1.7193807555645599</v>
      </c>
      <c r="AC1296" s="37">
        <v>3.0372479292922532</v>
      </c>
      <c r="AD1296" s="37">
        <v>3.2923690093517535</v>
      </c>
    </row>
    <row r="1297" spans="2:30" x14ac:dyDescent="0.3">
      <c r="B1297" s="21"/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AA1297" s="37">
        <v>1277</v>
      </c>
      <c r="AB1297" s="37">
        <v>1.7477795754406742</v>
      </c>
      <c r="AC1297" s="37">
        <v>2.7225515121947552</v>
      </c>
      <c r="AD1297" s="37">
        <v>3.195764564310156</v>
      </c>
    </row>
    <row r="1298" spans="2:30" x14ac:dyDescent="0.3">
      <c r="B1298" s="21"/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AA1298" s="37">
        <v>1278</v>
      </c>
      <c r="AB1298" s="37">
        <v>1.7655431293723503</v>
      </c>
      <c r="AC1298" s="37">
        <v>2.9969339284804901</v>
      </c>
      <c r="AD1298" s="37">
        <v>3.3283045495202166</v>
      </c>
    </row>
    <row r="1299" spans="2:30" x14ac:dyDescent="0.3">
      <c r="B1299" s="21"/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AA1299" s="37">
        <v>1279</v>
      </c>
      <c r="AB1299" s="37">
        <v>1.7509377245756463</v>
      </c>
      <c r="AC1299" s="37">
        <v>2.848319485837798</v>
      </c>
      <c r="AD1299" s="37">
        <v>3.3767199697871462</v>
      </c>
    </row>
    <row r="1300" spans="2:30" x14ac:dyDescent="0.3">
      <c r="B1300" s="21"/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AA1300" s="37">
        <v>1280</v>
      </c>
      <c r="AB1300" s="37">
        <v>1.7132079579331894</v>
      </c>
      <c r="AC1300" s="37">
        <v>2.8420068621380445</v>
      </c>
      <c r="AD1300" s="37">
        <v>3.5481278057779622</v>
      </c>
    </row>
    <row r="1301" spans="2:30" x14ac:dyDescent="0.3">
      <c r="B1301" s="21"/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AA1301" s="37">
        <v>1281</v>
      </c>
      <c r="AB1301" s="37">
        <v>1.7792775390524986</v>
      </c>
      <c r="AC1301" s="37">
        <v>2.8564421359441776</v>
      </c>
      <c r="AD1301" s="37">
        <v>3.3164315732366574</v>
      </c>
    </row>
    <row r="1302" spans="2:30" x14ac:dyDescent="0.3">
      <c r="B1302" s="21"/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AA1302" s="37">
        <v>1282</v>
      </c>
      <c r="AB1302" s="37">
        <v>1.7123900103326752</v>
      </c>
      <c r="AC1302" s="37">
        <v>2.9446654197024369</v>
      </c>
      <c r="AD1302" s="37">
        <v>3.490618960566775</v>
      </c>
    </row>
    <row r="1303" spans="2:30" x14ac:dyDescent="0.3">
      <c r="B1303" s="21"/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AA1303" s="37">
        <v>1283</v>
      </c>
      <c r="AB1303" s="37">
        <v>1.8938228904641452</v>
      </c>
      <c r="AC1303" s="37">
        <v>2.8311308562414634</v>
      </c>
      <c r="AD1303" s="37">
        <v>3.2605031545581826</v>
      </c>
    </row>
    <row r="1304" spans="2:30" x14ac:dyDescent="0.3">
      <c r="B1304" s="21"/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AA1304" s="37">
        <v>1284</v>
      </c>
      <c r="AB1304" s="37">
        <v>1.8009905892469849</v>
      </c>
      <c r="AC1304" s="37">
        <v>2.9114828837499345</v>
      </c>
      <c r="AD1304" s="37">
        <v>3.4899949486328694</v>
      </c>
    </row>
    <row r="1305" spans="2:30" x14ac:dyDescent="0.3">
      <c r="B1305" s="21"/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AA1305" s="37">
        <v>1285</v>
      </c>
      <c r="AB1305" s="37">
        <v>1.7852873899295867</v>
      </c>
      <c r="AC1305" s="37">
        <v>3.0501590978509148</v>
      </c>
      <c r="AD1305" s="37">
        <v>3.3974408330314425</v>
      </c>
    </row>
    <row r="1306" spans="2:30" x14ac:dyDescent="0.3">
      <c r="B1306" s="21"/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AA1306" s="37">
        <v>1286</v>
      </c>
      <c r="AB1306" s="37">
        <v>1.7267056286420381</v>
      </c>
      <c r="AC1306" s="37">
        <v>2.8621088438098128</v>
      </c>
      <c r="AD1306" s="37">
        <v>3.4239063603782016</v>
      </c>
    </row>
    <row r="1307" spans="2:30" x14ac:dyDescent="0.3">
      <c r="AA1307" s="37">
        <v>1287</v>
      </c>
      <c r="AB1307" s="37">
        <v>1.7455856212727565</v>
      </c>
      <c r="AC1307" s="37">
        <v>2.794287031946264</v>
      </c>
      <c r="AD1307" s="37">
        <v>3.2801211610534136</v>
      </c>
    </row>
    <row r="1308" spans="2:30" x14ac:dyDescent="0.3">
      <c r="AA1308" s="37">
        <v>1288</v>
      </c>
      <c r="AB1308" s="37">
        <v>1.6495005225717552</v>
      </c>
      <c r="AC1308" s="37">
        <v>2.7766042201846877</v>
      </c>
      <c r="AD1308" s="37">
        <v>3.3827461195088491</v>
      </c>
    </row>
    <row r="1309" spans="2:30" x14ac:dyDescent="0.3">
      <c r="AA1309" s="37">
        <v>1289</v>
      </c>
      <c r="AB1309" s="37">
        <v>1.8488693891822789</v>
      </c>
      <c r="AC1309" s="37">
        <v>2.9647721745771496</v>
      </c>
      <c r="AD1309" s="37">
        <v>3.165885530846908</v>
      </c>
    </row>
    <row r="1310" spans="2:30" x14ac:dyDescent="0.3">
      <c r="AA1310" s="37">
        <v>1290</v>
      </c>
      <c r="AB1310" s="37">
        <v>1.8594534622463121</v>
      </c>
      <c r="AC1310" s="37">
        <v>2.861238684363026</v>
      </c>
      <c r="AD1310" s="37">
        <v>3.3203526743350453</v>
      </c>
    </row>
    <row r="1311" spans="2:30" x14ac:dyDescent="0.3">
      <c r="AA1311" s="37">
        <v>1291</v>
      </c>
      <c r="AB1311" s="37">
        <v>1.7601700565284568</v>
      </c>
      <c r="AC1311" s="37">
        <v>2.7633348553201875</v>
      </c>
      <c r="AD1311" s="37">
        <v>3.3435529188611719</v>
      </c>
    </row>
    <row r="1312" spans="2:30" x14ac:dyDescent="0.3">
      <c r="AA1312" s="37">
        <v>1292</v>
      </c>
      <c r="AB1312" s="37">
        <v>1.7467696595358002</v>
      </c>
      <c r="AC1312" s="37">
        <v>2.7331877722030313</v>
      </c>
      <c r="AD1312" s="37">
        <v>3.4693944183488745</v>
      </c>
    </row>
    <row r="1313" spans="27:30" x14ac:dyDescent="0.3">
      <c r="AA1313" s="37">
        <v>1293</v>
      </c>
      <c r="AB1313" s="37">
        <v>1.8474037018377361</v>
      </c>
      <c r="AC1313" s="37">
        <v>3.026021045234252</v>
      </c>
      <c r="AD1313" s="37">
        <v>3.4235888360811342</v>
      </c>
    </row>
    <row r="1314" spans="27:30" x14ac:dyDescent="0.3">
      <c r="AA1314" s="37">
        <v>1294</v>
      </c>
      <c r="AB1314" s="37">
        <v>1.9283726939912853</v>
      </c>
      <c r="AC1314" s="37">
        <v>2.9055874528859267</v>
      </c>
      <c r="AD1314" s="37">
        <v>3.3369954454856208</v>
      </c>
    </row>
    <row r="1315" spans="27:30" x14ac:dyDescent="0.3">
      <c r="AA1315" s="37">
        <v>1295</v>
      </c>
      <c r="AB1315" s="37">
        <v>1.8280152480739087</v>
      </c>
      <c r="AC1315" s="37">
        <v>2.9289083740994446</v>
      </c>
      <c r="AD1315" s="37">
        <v>3.6145283307880147</v>
      </c>
    </row>
    <row r="1316" spans="27:30" x14ac:dyDescent="0.3">
      <c r="AA1316" s="37">
        <v>1296</v>
      </c>
      <c r="AB1316" s="37">
        <v>1.7475854625971534</v>
      </c>
      <c r="AC1316" s="37">
        <v>2.8402107196559694</v>
      </c>
      <c r="AD1316" s="37">
        <v>3.2793803859450255</v>
      </c>
    </row>
    <row r="1317" spans="27:30" x14ac:dyDescent="0.3">
      <c r="AA1317" s="37">
        <v>1297</v>
      </c>
      <c r="AB1317" s="37">
        <v>1.8470893057553379</v>
      </c>
      <c r="AC1317" s="37">
        <v>2.6188701821142235</v>
      </c>
      <c r="AD1317" s="37">
        <v>3.4453816823642476</v>
      </c>
    </row>
    <row r="1318" spans="27:30" x14ac:dyDescent="0.3">
      <c r="AA1318" s="37">
        <v>1298</v>
      </c>
      <c r="AB1318" s="37">
        <v>1.8121032203094378</v>
      </c>
      <c r="AC1318" s="37">
        <v>2.8903926504039319</v>
      </c>
      <c r="AD1318" s="37">
        <v>3.4322851891348232</v>
      </c>
    </row>
    <row r="1319" spans="27:30" x14ac:dyDescent="0.3">
      <c r="AA1319" s="37">
        <v>1299</v>
      </c>
      <c r="AB1319" s="37">
        <v>1.8328738051436297</v>
      </c>
      <c r="AC1319" s="37">
        <v>2.7128973121724727</v>
      </c>
      <c r="AD1319" s="37">
        <v>3.3945455522080712</v>
      </c>
    </row>
    <row r="1320" spans="27:30" x14ac:dyDescent="0.3">
      <c r="AA1320" s="37">
        <v>1300</v>
      </c>
      <c r="AB1320" s="37">
        <v>1.703933693644307</v>
      </c>
      <c r="AC1320" s="37">
        <v>2.7950581427123939</v>
      </c>
      <c r="AD1320" s="37">
        <v>3.1406542738962577</v>
      </c>
    </row>
    <row r="1321" spans="27:30" x14ac:dyDescent="0.3">
      <c r="AA1321" s="37">
        <v>1301</v>
      </c>
      <c r="AB1321" s="37">
        <v>1.8528174589973614</v>
      </c>
      <c r="AC1321" s="37">
        <v>2.7665722648556961</v>
      </c>
      <c r="AD1321" s="37">
        <v>3.3977449717894195</v>
      </c>
    </row>
    <row r="1322" spans="27:30" x14ac:dyDescent="0.3">
      <c r="AA1322" s="37">
        <v>1302</v>
      </c>
      <c r="AB1322" s="37">
        <v>1.8183708633894957</v>
      </c>
      <c r="AC1322" s="37">
        <v>2.8088860411696368</v>
      </c>
      <c r="AD1322" s="37">
        <v>3.4790606174485794</v>
      </c>
    </row>
    <row r="1323" spans="27:30" x14ac:dyDescent="0.3">
      <c r="AA1323" s="37">
        <v>1303</v>
      </c>
      <c r="AB1323" s="37">
        <v>1.8728838674331219</v>
      </c>
      <c r="AC1323" s="37">
        <v>2.6571204637481296</v>
      </c>
      <c r="AD1323" s="37">
        <v>3.3742152762152204</v>
      </c>
    </row>
    <row r="1324" spans="27:30" x14ac:dyDescent="0.3">
      <c r="AA1324" s="37">
        <v>1304</v>
      </c>
      <c r="AB1324" s="37">
        <v>1.7214087616723297</v>
      </c>
      <c r="AC1324" s="37">
        <v>2.9402666822773993</v>
      </c>
      <c r="AD1324" s="37">
        <v>3.2753766831387061</v>
      </c>
    </row>
    <row r="1325" spans="27:30" x14ac:dyDescent="0.3">
      <c r="AA1325" s="37">
        <v>1305</v>
      </c>
      <c r="AB1325" s="37">
        <v>1.761689799934264</v>
      </c>
      <c r="AC1325" s="37">
        <v>2.8822082964899378</v>
      </c>
      <c r="AD1325" s="37">
        <v>3.3547364329245988</v>
      </c>
    </row>
    <row r="1326" spans="27:30" x14ac:dyDescent="0.3">
      <c r="AA1326" s="37">
        <v>1306</v>
      </c>
      <c r="AB1326" s="37">
        <v>1.7490974243720068</v>
      </c>
      <c r="AC1326" s="37">
        <v>2.8249146451646041</v>
      </c>
      <c r="AD1326" s="37">
        <v>3.3005074823766076</v>
      </c>
    </row>
    <row r="1327" spans="27:30" x14ac:dyDescent="0.3">
      <c r="AA1327" s="37">
        <v>1307</v>
      </c>
      <c r="AB1327" s="37">
        <v>1.8676052047840834</v>
      </c>
      <c r="AC1327" s="37">
        <v>2.8927979679174323</v>
      </c>
      <c r="AD1327" s="37">
        <v>3.24227425125942</v>
      </c>
    </row>
    <row r="1328" spans="27:30" x14ac:dyDescent="0.3">
      <c r="AA1328" s="37">
        <v>1308</v>
      </c>
      <c r="AB1328" s="37">
        <v>1.7499266776229503</v>
      </c>
      <c r="AC1328" s="37">
        <v>2.8584881170213832</v>
      </c>
      <c r="AD1328" s="37">
        <v>3.233166603747764</v>
      </c>
    </row>
    <row r="1329" spans="27:30" x14ac:dyDescent="0.3">
      <c r="AA1329" s="37">
        <v>1309</v>
      </c>
      <c r="AB1329" s="37">
        <v>1.7571724434891136</v>
      </c>
      <c r="AC1329" s="37">
        <v>2.6907986283149943</v>
      </c>
      <c r="AD1329" s="37">
        <v>3.5086685669570299</v>
      </c>
    </row>
    <row r="1330" spans="27:30" x14ac:dyDescent="0.3">
      <c r="AA1330" s="37">
        <v>1310</v>
      </c>
      <c r="AB1330" s="37">
        <v>1.8381193176617152</v>
      </c>
      <c r="AC1330" s="37">
        <v>3.1165832006217733</v>
      </c>
      <c r="AD1330" s="37">
        <v>3.3914796487428593</v>
      </c>
    </row>
    <row r="1331" spans="27:30" x14ac:dyDescent="0.3">
      <c r="AA1331" s="37">
        <v>1311</v>
      </c>
      <c r="AB1331" s="37">
        <v>1.7122729937537662</v>
      </c>
      <c r="AC1331" s="37">
        <v>2.9643594838245546</v>
      </c>
      <c r="AD1331" s="37">
        <v>3.2496524974419265</v>
      </c>
    </row>
    <row r="1332" spans="27:30" x14ac:dyDescent="0.3">
      <c r="AA1332" s="37">
        <v>1312</v>
      </c>
      <c r="AB1332" s="37">
        <v>1.8239960889126108</v>
      </c>
      <c r="AC1332" s="37">
        <v>2.6883378634761916</v>
      </c>
      <c r="AD1332" s="37">
        <v>3.4066015717179385</v>
      </c>
    </row>
    <row r="1333" spans="27:30" x14ac:dyDescent="0.3">
      <c r="AA1333" s="37">
        <v>1313</v>
      </c>
      <c r="AB1333" s="37">
        <v>1.6110164913747309</v>
      </c>
      <c r="AC1333" s="37">
        <v>2.7341719990070925</v>
      </c>
      <c r="AD1333" s="37">
        <v>3.4892931646664658</v>
      </c>
    </row>
    <row r="1334" spans="27:30" x14ac:dyDescent="0.3">
      <c r="AA1334" s="37">
        <v>1314</v>
      </c>
      <c r="AB1334" s="37">
        <v>1.8911358878832536</v>
      </c>
      <c r="AC1334" s="37">
        <v>3.0259469762184041</v>
      </c>
      <c r="AD1334" s="37">
        <v>3.4860800074482099</v>
      </c>
    </row>
    <row r="1335" spans="27:30" x14ac:dyDescent="0.3">
      <c r="AA1335" s="37">
        <v>1315</v>
      </c>
      <c r="AB1335" s="37">
        <v>1.7627293199209086</v>
      </c>
      <c r="AC1335" s="37">
        <v>2.8528806356787753</v>
      </c>
      <c r="AD1335" s="37">
        <v>3.4038358766086603</v>
      </c>
    </row>
    <row r="1336" spans="27:30" x14ac:dyDescent="0.3">
      <c r="AA1336" s="37">
        <v>1316</v>
      </c>
      <c r="AB1336" s="37">
        <v>1.8266448352797267</v>
      </c>
      <c r="AC1336" s="37">
        <v>2.8575428599888126</v>
      </c>
      <c r="AD1336" s="37">
        <v>3.221295313884009</v>
      </c>
    </row>
    <row r="1337" spans="27:30" x14ac:dyDescent="0.3">
      <c r="AA1337" s="37">
        <v>1317</v>
      </c>
      <c r="AB1337" s="37">
        <v>1.7796183416106115</v>
      </c>
      <c r="AC1337" s="37">
        <v>2.8202104840892304</v>
      </c>
      <c r="AD1337" s="37">
        <v>3.3060725899133478</v>
      </c>
    </row>
    <row r="1338" spans="27:30" x14ac:dyDescent="0.3">
      <c r="AA1338" s="37">
        <v>1318</v>
      </c>
      <c r="AB1338" s="37">
        <v>1.677267559433435</v>
      </c>
      <c r="AC1338" s="37">
        <v>2.7852046546269906</v>
      </c>
      <c r="AD1338" s="37">
        <v>3.5148754403504072</v>
      </c>
    </row>
    <row r="1339" spans="27:30" x14ac:dyDescent="0.3">
      <c r="AA1339" s="37">
        <v>1319</v>
      </c>
      <c r="AB1339" s="37">
        <v>1.7048792093963241</v>
      </c>
      <c r="AC1339" s="37">
        <v>2.9279148495951133</v>
      </c>
      <c r="AD1339" s="37">
        <v>3.4516067636456023</v>
      </c>
    </row>
    <row r="1340" spans="27:30" x14ac:dyDescent="0.3">
      <c r="AA1340" s="37">
        <v>1320</v>
      </c>
      <c r="AB1340" s="37">
        <v>1.6651522649867878</v>
      </c>
      <c r="AC1340" s="37">
        <v>2.6850109492467946</v>
      </c>
      <c r="AD1340" s="37">
        <v>3.2470282721704438</v>
      </c>
    </row>
    <row r="1341" spans="27:30" x14ac:dyDescent="0.3">
      <c r="AA1341" s="37">
        <v>1321</v>
      </c>
      <c r="AB1341" s="37">
        <v>1.9640635942352547</v>
      </c>
      <c r="AC1341" s="37">
        <v>2.7889119788626249</v>
      </c>
      <c r="AD1341" s="37">
        <v>3.3288947778813296</v>
      </c>
    </row>
    <row r="1342" spans="27:30" x14ac:dyDescent="0.3">
      <c r="AA1342" s="37">
        <v>1322</v>
      </c>
      <c r="AB1342" s="37">
        <v>1.7254125847942612</v>
      </c>
      <c r="AC1342" s="37">
        <v>2.8076142577462577</v>
      </c>
      <c r="AD1342" s="37">
        <v>3.4295441685102981</v>
      </c>
    </row>
    <row r="1343" spans="27:30" x14ac:dyDescent="0.3">
      <c r="AA1343" s="37">
        <v>1323</v>
      </c>
      <c r="AB1343" s="37">
        <v>1.7131716295439945</v>
      </c>
      <c r="AC1343" s="37">
        <v>2.8846180802703274</v>
      </c>
      <c r="AD1343" s="37">
        <v>3.4866717121577677</v>
      </c>
    </row>
    <row r="1344" spans="27:30" x14ac:dyDescent="0.3">
      <c r="AA1344" s="37">
        <v>1324</v>
      </c>
      <c r="AB1344" s="37">
        <v>1.7700438256907736</v>
      </c>
      <c r="AC1344" s="37">
        <v>2.7395430525636413</v>
      </c>
      <c r="AD1344" s="37">
        <v>3.359996461443683</v>
      </c>
    </row>
    <row r="1345" spans="27:30" x14ac:dyDescent="0.3">
      <c r="AA1345" s="37">
        <v>1325</v>
      </c>
      <c r="AB1345" s="37">
        <v>1.8750737303114617</v>
      </c>
      <c r="AC1345" s="37">
        <v>2.9129993991597969</v>
      </c>
      <c r="AD1345" s="37">
        <v>3.2061524397179859</v>
      </c>
    </row>
    <row r="1346" spans="27:30" x14ac:dyDescent="0.3">
      <c r="AA1346" s="37">
        <v>1326</v>
      </c>
      <c r="AB1346" s="37">
        <v>1.7906168416515145</v>
      </c>
      <c r="AC1346" s="37">
        <v>2.8982159785841475</v>
      </c>
      <c r="AD1346" s="37">
        <v>3.3767505844860581</v>
      </c>
    </row>
    <row r="1347" spans="27:30" x14ac:dyDescent="0.3">
      <c r="AA1347" s="37">
        <v>1327</v>
      </c>
      <c r="AB1347" s="37">
        <v>1.8142806095121038</v>
      </c>
      <c r="AC1347" s="37">
        <v>2.8515106166505024</v>
      </c>
      <c r="AD1347" s="37">
        <v>3.2893823553134602</v>
      </c>
    </row>
    <row r="1348" spans="27:30" x14ac:dyDescent="0.3">
      <c r="AA1348" s="37">
        <v>1328</v>
      </c>
      <c r="AB1348" s="37">
        <v>1.7529614928800843</v>
      </c>
      <c r="AC1348" s="37">
        <v>3.0212419566542374</v>
      </c>
      <c r="AD1348" s="37">
        <v>3.2693016340064744</v>
      </c>
    </row>
    <row r="1349" spans="27:30" x14ac:dyDescent="0.3">
      <c r="AA1349" s="37">
        <v>1329</v>
      </c>
      <c r="AB1349" s="37">
        <v>1.877384878255552</v>
      </c>
      <c r="AC1349" s="37">
        <v>2.7860877477072989</v>
      </c>
      <c r="AD1349" s="37">
        <v>3.3056349711794422</v>
      </c>
    </row>
    <row r="1350" spans="27:30" x14ac:dyDescent="0.3">
      <c r="AA1350" s="37">
        <v>1330</v>
      </c>
      <c r="AB1350" s="37">
        <v>1.7713125090303483</v>
      </c>
      <c r="AC1350" s="37">
        <v>2.8431139282209026</v>
      </c>
      <c r="AD1350" s="37">
        <v>3.4111029716270989</v>
      </c>
    </row>
    <row r="1351" spans="27:30" x14ac:dyDescent="0.3">
      <c r="AA1351" s="37">
        <v>1331</v>
      </c>
      <c r="AB1351" s="37">
        <v>1.816601181731734</v>
      </c>
      <c r="AC1351" s="37">
        <v>2.7861526395374194</v>
      </c>
      <c r="AD1351" s="37">
        <v>3.4059697306717265</v>
      </c>
    </row>
    <row r="1352" spans="27:30" x14ac:dyDescent="0.3">
      <c r="AA1352" s="37">
        <v>1332</v>
      </c>
      <c r="AB1352" s="37">
        <v>1.8680096598272597</v>
      </c>
      <c r="AC1352" s="37">
        <v>3.0149534695852553</v>
      </c>
      <c r="AD1352" s="37">
        <v>3.241857367179434</v>
      </c>
    </row>
    <row r="1353" spans="27:30" x14ac:dyDescent="0.3">
      <c r="AA1353" s="37">
        <v>1333</v>
      </c>
      <c r="AB1353" s="37">
        <v>1.7976360093100348</v>
      </c>
      <c r="AC1353" s="37">
        <v>2.813083261514461</v>
      </c>
      <c r="AD1353" s="37">
        <v>3.1697234589527885</v>
      </c>
    </row>
    <row r="1354" spans="27:30" x14ac:dyDescent="0.3">
      <c r="AA1354" s="37">
        <v>1334</v>
      </c>
      <c r="AB1354" s="37">
        <v>1.790286885100917</v>
      </c>
      <c r="AC1354" s="37">
        <v>2.8427598904356883</v>
      </c>
      <c r="AD1354" s="37">
        <v>3.1594361237104556</v>
      </c>
    </row>
    <row r="1355" spans="27:30" x14ac:dyDescent="0.3">
      <c r="AA1355" s="37">
        <v>1335</v>
      </c>
      <c r="AB1355" s="37">
        <v>1.744927622223297</v>
      </c>
      <c r="AC1355" s="37">
        <v>2.8271719307964172</v>
      </c>
      <c r="AD1355" s="37">
        <v>3.2907400142974836</v>
      </c>
    </row>
    <row r="1356" spans="27:30" x14ac:dyDescent="0.3">
      <c r="AA1356" s="37">
        <v>1336</v>
      </c>
      <c r="AB1356" s="37">
        <v>1.9131954108281988</v>
      </c>
      <c r="AC1356" s="37">
        <v>2.9905753518574101</v>
      </c>
      <c r="AD1356" s="37">
        <v>3.3043044119287761</v>
      </c>
    </row>
    <row r="1357" spans="27:30" x14ac:dyDescent="0.3">
      <c r="AA1357" s="37">
        <v>1337</v>
      </c>
      <c r="AB1357" s="37">
        <v>1.8474352614744576</v>
      </c>
      <c r="AC1357" s="37">
        <v>2.8946441948586648</v>
      </c>
      <c r="AD1357" s="37">
        <v>3.4411233467025037</v>
      </c>
    </row>
    <row r="1358" spans="27:30" x14ac:dyDescent="0.3">
      <c r="AA1358" s="37">
        <v>1338</v>
      </c>
      <c r="AB1358" s="37">
        <v>1.6918642265316961</v>
      </c>
      <c r="AC1358" s="37">
        <v>2.93087769897787</v>
      </c>
      <c r="AD1358" s="37">
        <v>3.3067331363939485</v>
      </c>
    </row>
    <row r="1359" spans="27:30" x14ac:dyDescent="0.3">
      <c r="AA1359" s="37">
        <v>1339</v>
      </c>
      <c r="AB1359" s="37">
        <v>1.852744064732387</v>
      </c>
      <c r="AC1359" s="37">
        <v>2.824990849868767</v>
      </c>
      <c r="AD1359" s="37">
        <v>3.2103911967577665</v>
      </c>
    </row>
    <row r="1360" spans="27:30" x14ac:dyDescent="0.3">
      <c r="AA1360" s="37">
        <v>1340</v>
      </c>
      <c r="AB1360" s="37">
        <v>1.7351744874711594</v>
      </c>
      <c r="AC1360" s="37">
        <v>2.7930773318408839</v>
      </c>
      <c r="AD1360" s="37">
        <v>3.3853021394874703</v>
      </c>
    </row>
    <row r="1361" spans="27:30" x14ac:dyDescent="0.3">
      <c r="AA1361" s="37">
        <v>1341</v>
      </c>
      <c r="AB1361" s="37">
        <v>1.8124946598982736</v>
      </c>
      <c r="AC1361" s="37">
        <v>3.1163814067494013</v>
      </c>
      <c r="AD1361" s="37">
        <v>3.2396655283534108</v>
      </c>
    </row>
    <row r="1362" spans="27:30" x14ac:dyDescent="0.3">
      <c r="AA1362" s="37">
        <v>1342</v>
      </c>
      <c r="AB1362" s="37">
        <v>1.7089303217053242</v>
      </c>
      <c r="AC1362" s="37">
        <v>2.7628539444273197</v>
      </c>
      <c r="AD1362" s="37">
        <v>3.1476590956101358</v>
      </c>
    </row>
    <row r="1363" spans="27:30" x14ac:dyDescent="0.3">
      <c r="AA1363" s="37">
        <v>1343</v>
      </c>
      <c r="AB1363" s="37">
        <v>1.7611156329928292</v>
      </c>
      <c r="AC1363" s="37">
        <v>2.8160485942417397</v>
      </c>
      <c r="AD1363" s="37">
        <v>3.0780404504927588</v>
      </c>
    </row>
    <row r="1364" spans="27:30" x14ac:dyDescent="0.3">
      <c r="AA1364" s="37">
        <v>1344</v>
      </c>
      <c r="AB1364" s="37">
        <v>1.7073561329566562</v>
      </c>
      <c r="AC1364" s="37">
        <v>2.8777074512777929</v>
      </c>
      <c r="AD1364" s="37">
        <v>3.3516939396248975</v>
      </c>
    </row>
    <row r="1365" spans="27:30" x14ac:dyDescent="0.3">
      <c r="AA1365" s="37">
        <v>1345</v>
      </c>
      <c r="AB1365" s="37">
        <v>1.7041455250391127</v>
      </c>
      <c r="AC1365" s="37">
        <v>2.6776951092228884</v>
      </c>
      <c r="AD1365" s="37">
        <v>3.4220305597484111</v>
      </c>
    </row>
    <row r="1366" spans="27:30" x14ac:dyDescent="0.3">
      <c r="AA1366" s="37">
        <v>1346</v>
      </c>
      <c r="AB1366" s="37">
        <v>1.8191143984126483</v>
      </c>
      <c r="AC1366" s="37">
        <v>2.9714388001480327</v>
      </c>
      <c r="AD1366" s="37">
        <v>3.3823526911854098</v>
      </c>
    </row>
    <row r="1367" spans="27:30" x14ac:dyDescent="0.3">
      <c r="AA1367" s="37">
        <v>1347</v>
      </c>
      <c r="AB1367" s="37">
        <v>1.791391725974339</v>
      </c>
      <c r="AC1367" s="37">
        <v>2.8577851182767988</v>
      </c>
      <c r="AD1367" s="37">
        <v>3.3323357174535104</v>
      </c>
    </row>
    <row r="1368" spans="27:30" x14ac:dyDescent="0.3">
      <c r="AA1368" s="37">
        <v>1348</v>
      </c>
      <c r="AB1368" s="37">
        <v>1.7554762948508316</v>
      </c>
      <c r="AC1368" s="37">
        <v>2.8130669932780958</v>
      </c>
      <c r="AD1368" s="37">
        <v>3.3959431519924217</v>
      </c>
    </row>
    <row r="1369" spans="27:30" x14ac:dyDescent="0.3">
      <c r="AA1369" s="37">
        <v>1349</v>
      </c>
      <c r="AB1369" s="37">
        <v>1.759853010514576</v>
      </c>
      <c r="AC1369" s="37">
        <v>2.7194977435847263</v>
      </c>
      <c r="AD1369" s="37">
        <v>3.2900505092924113</v>
      </c>
    </row>
    <row r="1370" spans="27:30" x14ac:dyDescent="0.3">
      <c r="AA1370" s="37">
        <v>1350</v>
      </c>
      <c r="AB1370" s="37">
        <v>1.709578004411261</v>
      </c>
      <c r="AC1370" s="37">
        <v>2.7532622258667461</v>
      </c>
      <c r="AD1370" s="37">
        <v>3.457239706610248</v>
      </c>
    </row>
    <row r="1371" spans="27:30" x14ac:dyDescent="0.3">
      <c r="AA1371" s="37">
        <v>1351</v>
      </c>
      <c r="AB1371" s="37">
        <v>1.760875184598985</v>
      </c>
      <c r="AC1371" s="37">
        <v>2.8110568623737868</v>
      </c>
      <c r="AD1371" s="37">
        <v>3.3796272906358795</v>
      </c>
    </row>
    <row r="1372" spans="27:30" x14ac:dyDescent="0.3">
      <c r="AA1372" s="37">
        <v>1352</v>
      </c>
      <c r="AB1372" s="37">
        <v>1.7900025680549354</v>
      </c>
      <c r="AC1372" s="37">
        <v>2.769072344090064</v>
      </c>
      <c r="AD1372" s="37">
        <v>3.1864186334328899</v>
      </c>
    </row>
    <row r="1373" spans="27:30" x14ac:dyDescent="0.3">
      <c r="AA1373" s="37">
        <v>1353</v>
      </c>
      <c r="AB1373" s="37">
        <v>1.8626088195887467</v>
      </c>
      <c r="AC1373" s="37">
        <v>2.7242216751107322</v>
      </c>
      <c r="AD1373" s="37">
        <v>3.4789154755084497</v>
      </c>
    </row>
    <row r="1374" spans="27:30" x14ac:dyDescent="0.3">
      <c r="AA1374" s="37">
        <v>1354</v>
      </c>
      <c r="AB1374" s="37">
        <v>1.8226230891479933</v>
      </c>
      <c r="AC1374" s="37">
        <v>3.0591591674647107</v>
      </c>
      <c r="AD1374" s="37">
        <v>3.5522271452388892</v>
      </c>
    </row>
    <row r="1375" spans="27:30" x14ac:dyDescent="0.3">
      <c r="AA1375" s="37">
        <v>1355</v>
      </c>
      <c r="AB1375" s="37">
        <v>1.7620881163407309</v>
      </c>
      <c r="AC1375" s="37">
        <v>2.7722078412667894</v>
      </c>
      <c r="AD1375" s="37">
        <v>3.1547725301909844</v>
      </c>
    </row>
    <row r="1376" spans="27:30" x14ac:dyDescent="0.3">
      <c r="AA1376" s="37">
        <v>1356</v>
      </c>
      <c r="AB1376" s="37">
        <v>1.8236305666284156</v>
      </c>
      <c r="AC1376" s="37">
        <v>2.8751883357354568</v>
      </c>
      <c r="AD1376" s="37">
        <v>3.4428182832214049</v>
      </c>
    </row>
    <row r="1377" spans="27:30" x14ac:dyDescent="0.3">
      <c r="AA1377" s="37">
        <v>1357</v>
      </c>
      <c r="AB1377" s="37">
        <v>1.8686344584949068</v>
      </c>
      <c r="AC1377" s="37">
        <v>2.7976460078748584</v>
      </c>
      <c r="AD1377" s="37">
        <v>3.1464759471187564</v>
      </c>
    </row>
    <row r="1378" spans="27:30" x14ac:dyDescent="0.3">
      <c r="AA1378" s="37">
        <v>1358</v>
      </c>
      <c r="AB1378" s="37">
        <v>1.7263413837498267</v>
      </c>
      <c r="AC1378" s="37">
        <v>2.8988323489773009</v>
      </c>
      <c r="AD1378" s="37">
        <v>3.3690402134131729</v>
      </c>
    </row>
    <row r="1379" spans="27:30" x14ac:dyDescent="0.3">
      <c r="AA1379" s="37">
        <v>1359</v>
      </c>
      <c r="AB1379" s="37">
        <v>1.7691462969214369</v>
      </c>
      <c r="AC1379" s="37">
        <v>2.7827309728671721</v>
      </c>
      <c r="AD1379" s="37">
        <v>3.2243680657776381</v>
      </c>
    </row>
    <row r="1380" spans="27:30" x14ac:dyDescent="0.3">
      <c r="AA1380" s="37">
        <v>1360</v>
      </c>
      <c r="AB1380" s="37">
        <v>1.9216805198683313</v>
      </c>
      <c r="AC1380" s="37">
        <v>2.9009501202832877</v>
      </c>
      <c r="AD1380" s="37">
        <v>3.1848581012487811</v>
      </c>
    </row>
    <row r="1381" spans="27:30" x14ac:dyDescent="0.3">
      <c r="AA1381" s="37">
        <v>1361</v>
      </c>
      <c r="AB1381" s="37">
        <v>1.7451006561514553</v>
      </c>
      <c r="AC1381" s="37">
        <v>2.7278622267330452</v>
      </c>
      <c r="AD1381" s="37">
        <v>3.2944601195152776</v>
      </c>
    </row>
    <row r="1382" spans="27:30" x14ac:dyDescent="0.3">
      <c r="AA1382" s="37">
        <v>1362</v>
      </c>
      <c r="AB1382" s="37">
        <v>1.7015417781315474</v>
      </c>
      <c r="AC1382" s="37">
        <v>3.0529567899258758</v>
      </c>
      <c r="AD1382" s="37">
        <v>3.4384171018792267</v>
      </c>
    </row>
    <row r="1383" spans="27:30" x14ac:dyDescent="0.3">
      <c r="AA1383" s="37">
        <v>1363</v>
      </c>
      <c r="AB1383" s="37">
        <v>1.7513024736094507</v>
      </c>
      <c r="AC1383" s="37">
        <v>2.7938756099683317</v>
      </c>
      <c r="AD1383" s="37">
        <v>3.3681592269852136</v>
      </c>
    </row>
    <row r="1384" spans="27:30" x14ac:dyDescent="0.3">
      <c r="AA1384" s="37">
        <v>1364</v>
      </c>
      <c r="AB1384" s="37">
        <v>1.8274053611381373</v>
      </c>
      <c r="AC1384" s="37">
        <v>2.9393009470726974</v>
      </c>
      <c r="AD1384" s="37">
        <v>3.3530091985248487</v>
      </c>
    </row>
    <row r="1385" spans="27:30" x14ac:dyDescent="0.3">
      <c r="AA1385" s="37">
        <v>1365</v>
      </c>
      <c r="AB1385" s="37">
        <v>1.9053146814815731</v>
      </c>
      <c r="AC1385" s="37">
        <v>2.6584777054249322</v>
      </c>
      <c r="AD1385" s="37">
        <v>3.2328693612212267</v>
      </c>
    </row>
    <row r="1386" spans="27:30" x14ac:dyDescent="0.3">
      <c r="AA1386" s="37">
        <v>1366</v>
      </c>
      <c r="AB1386" s="37">
        <v>1.7591574258757494</v>
      </c>
      <c r="AC1386" s="37">
        <v>2.8713168388868038</v>
      </c>
      <c r="AD1386" s="37">
        <v>3.3294102453431855</v>
      </c>
    </row>
    <row r="1387" spans="27:30" x14ac:dyDescent="0.3">
      <c r="AA1387" s="37">
        <v>1367</v>
      </c>
      <c r="AB1387" s="37">
        <v>1.7482151180781262</v>
      </c>
      <c r="AC1387" s="37">
        <v>2.8990624516446131</v>
      </c>
      <c r="AD1387" s="37">
        <v>3.5143103336633383</v>
      </c>
    </row>
    <row r="1388" spans="27:30" x14ac:dyDescent="0.3">
      <c r="AA1388" s="37">
        <v>1368</v>
      </c>
      <c r="AB1388" s="37">
        <v>1.8608154468611426</v>
      </c>
      <c r="AC1388" s="37">
        <v>2.8470920317184145</v>
      </c>
      <c r="AD1388" s="37">
        <v>3.4858695638673614</v>
      </c>
    </row>
    <row r="1389" spans="27:30" x14ac:dyDescent="0.3">
      <c r="AA1389" s="37">
        <v>1369</v>
      </c>
      <c r="AB1389" s="37">
        <v>1.726704012474839</v>
      </c>
      <c r="AC1389" s="37">
        <v>2.82808365961839</v>
      </c>
      <c r="AD1389" s="37">
        <v>3.5319576330027465</v>
      </c>
    </row>
    <row r="1390" spans="27:30" x14ac:dyDescent="0.3">
      <c r="AA1390" s="37">
        <v>1370</v>
      </c>
      <c r="AB1390" s="37">
        <v>1.7491057442374418</v>
      </c>
      <c r="AC1390" s="37">
        <v>2.8821742203851795</v>
      </c>
      <c r="AD1390" s="37">
        <v>3.1892089718206815</v>
      </c>
    </row>
    <row r="1391" spans="27:30" x14ac:dyDescent="0.3">
      <c r="AA1391" s="37">
        <v>1371</v>
      </c>
      <c r="AB1391" s="37">
        <v>1.7457291039979499</v>
      </c>
      <c r="AC1391" s="37">
        <v>2.9987807710879557</v>
      </c>
      <c r="AD1391" s="37">
        <v>3.2173640170825424</v>
      </c>
    </row>
    <row r="1392" spans="27:30" x14ac:dyDescent="0.3">
      <c r="AA1392" s="37">
        <v>1372</v>
      </c>
      <c r="AB1392" s="37">
        <v>1.9183659012989327</v>
      </c>
      <c r="AC1392" s="37">
        <v>2.9773000545004362</v>
      </c>
      <c r="AD1392" s="37">
        <v>3.2300914747271716</v>
      </c>
    </row>
    <row r="1393" spans="27:30" x14ac:dyDescent="0.3">
      <c r="AA1393" s="37">
        <v>1373</v>
      </c>
      <c r="AB1393" s="37">
        <v>1.685494725758288</v>
      </c>
      <c r="AC1393" s="37">
        <v>2.7775886855384013</v>
      </c>
      <c r="AD1393" s="37">
        <v>3.3339492601228935</v>
      </c>
    </row>
    <row r="1394" spans="27:30" x14ac:dyDescent="0.3">
      <c r="AA1394" s="37">
        <v>1374</v>
      </c>
      <c r="AB1394" s="37">
        <v>1.8006602614004099</v>
      </c>
      <c r="AC1394" s="37">
        <v>2.8319331467893547</v>
      </c>
      <c r="AD1394" s="37">
        <v>3.2690306598933292</v>
      </c>
    </row>
    <row r="1395" spans="27:30" x14ac:dyDescent="0.3">
      <c r="AA1395" s="37">
        <v>1375</v>
      </c>
      <c r="AB1395" s="37">
        <v>1.8158027915536394</v>
      </c>
      <c r="AC1395" s="37">
        <v>2.8655564111820548</v>
      </c>
      <c r="AD1395" s="37">
        <v>3.3086220620318683</v>
      </c>
    </row>
    <row r="1396" spans="27:30" x14ac:dyDescent="0.3">
      <c r="AA1396" s="37">
        <v>1376</v>
      </c>
      <c r="AB1396" s="37">
        <v>1.7235855897629297</v>
      </c>
      <c r="AC1396" s="37">
        <v>2.9249748657713348</v>
      </c>
      <c r="AD1396" s="37">
        <v>3.3443615186511217</v>
      </c>
    </row>
    <row r="1397" spans="27:30" x14ac:dyDescent="0.3">
      <c r="AA1397" s="37">
        <v>1377</v>
      </c>
      <c r="AB1397" s="37">
        <v>1.7114910144021231</v>
      </c>
      <c r="AC1397" s="37">
        <v>2.8261181318369011</v>
      </c>
      <c r="AD1397" s="37">
        <v>3.1599006785892811</v>
      </c>
    </row>
    <row r="1398" spans="27:30" x14ac:dyDescent="0.3">
      <c r="AA1398" s="37">
        <v>1378</v>
      </c>
      <c r="AB1398" s="37">
        <v>1.8591577426535928</v>
      </c>
      <c r="AC1398" s="37">
        <v>2.8411383339544027</v>
      </c>
      <c r="AD1398" s="37">
        <v>3.1984036736469998</v>
      </c>
    </row>
    <row r="1399" spans="27:30" x14ac:dyDescent="0.3">
      <c r="AA1399" s="37">
        <v>1379</v>
      </c>
      <c r="AB1399" s="37">
        <v>1.7957655548657054</v>
      </c>
      <c r="AC1399" s="37">
        <v>2.9036078578679194</v>
      </c>
      <c r="AD1399" s="37">
        <v>3.4416635610524731</v>
      </c>
    </row>
    <row r="1400" spans="27:30" x14ac:dyDescent="0.3">
      <c r="AA1400" s="37">
        <v>1380</v>
      </c>
      <c r="AB1400" s="37">
        <v>1.8522485184735515</v>
      </c>
      <c r="AC1400" s="37">
        <v>2.9547315755374965</v>
      </c>
      <c r="AD1400" s="37">
        <v>3.2840611650043403</v>
      </c>
    </row>
    <row r="1401" spans="27:30" x14ac:dyDescent="0.3">
      <c r="AA1401" s="37">
        <v>1381</v>
      </c>
      <c r="AB1401" s="37">
        <v>1.7562593349111413</v>
      </c>
      <c r="AC1401" s="37">
        <v>2.7490068635966707</v>
      </c>
      <c r="AD1401" s="37">
        <v>3.4728303281846342</v>
      </c>
    </row>
    <row r="1402" spans="27:30" x14ac:dyDescent="0.3">
      <c r="AA1402" s="37">
        <v>1382</v>
      </c>
      <c r="AB1402" s="37">
        <v>1.9310185265369184</v>
      </c>
      <c r="AC1402" s="37">
        <v>2.748282741139044</v>
      </c>
      <c r="AD1402" s="37">
        <v>3.3534188040325095</v>
      </c>
    </row>
    <row r="1403" spans="27:30" x14ac:dyDescent="0.3">
      <c r="AA1403" s="37">
        <v>1383</v>
      </c>
      <c r="AB1403" s="37">
        <v>1.788848468903665</v>
      </c>
      <c r="AC1403" s="37">
        <v>2.6917494981175563</v>
      </c>
      <c r="AD1403" s="37">
        <v>3.2139436613780328</v>
      </c>
    </row>
    <row r="1404" spans="27:30" x14ac:dyDescent="0.3">
      <c r="AA1404" s="37">
        <v>1384</v>
      </c>
      <c r="AB1404" s="37">
        <v>1.8531148728871059</v>
      </c>
      <c r="AC1404" s="37">
        <v>2.8763414915770937</v>
      </c>
      <c r="AD1404" s="37">
        <v>3.5920438517158382</v>
      </c>
    </row>
    <row r="1405" spans="27:30" x14ac:dyDescent="0.3">
      <c r="AA1405" s="37">
        <v>1385</v>
      </c>
      <c r="AB1405" s="37">
        <v>1.7442423811369476</v>
      </c>
      <c r="AC1405" s="37">
        <v>2.8575302161620311</v>
      </c>
      <c r="AD1405" s="37">
        <v>3.4692658677297583</v>
      </c>
    </row>
    <row r="1406" spans="27:30" x14ac:dyDescent="0.3">
      <c r="AA1406" s="37">
        <v>1386</v>
      </c>
      <c r="AB1406" s="37">
        <v>1.8873138524699056</v>
      </c>
      <c r="AC1406" s="37">
        <v>2.932609063013472</v>
      </c>
      <c r="AD1406" s="37">
        <v>3.2545549203071737</v>
      </c>
    </row>
    <row r="1407" spans="27:30" x14ac:dyDescent="0.3">
      <c r="AA1407" s="37">
        <v>1387</v>
      </c>
      <c r="AB1407" s="37">
        <v>1.7434998880626547</v>
      </c>
      <c r="AC1407" s="37">
        <v>2.8770527701420723</v>
      </c>
      <c r="AD1407" s="37">
        <v>3.3599341672312257</v>
      </c>
    </row>
    <row r="1408" spans="27:30" x14ac:dyDescent="0.3">
      <c r="AA1408" s="37">
        <v>1388</v>
      </c>
      <c r="AB1408" s="37">
        <v>1.6763065784857347</v>
      </c>
      <c r="AC1408" s="37">
        <v>2.8757150344185702</v>
      </c>
      <c r="AD1408" s="37">
        <v>3.2582501759133784</v>
      </c>
    </row>
    <row r="1409" spans="27:30" x14ac:dyDescent="0.3">
      <c r="AA1409" s="37">
        <v>1389</v>
      </c>
      <c r="AB1409" s="37">
        <v>1.7549680174851785</v>
      </c>
      <c r="AC1409" s="37">
        <v>2.6074164749145012</v>
      </c>
      <c r="AD1409" s="37">
        <v>3.2254461133920751</v>
      </c>
    </row>
    <row r="1410" spans="27:30" x14ac:dyDescent="0.3">
      <c r="AA1410" s="37">
        <v>1390</v>
      </c>
      <c r="AB1410" s="37">
        <v>1.8543107425202285</v>
      </c>
      <c r="AC1410" s="37">
        <v>2.6232833792946377</v>
      </c>
      <c r="AD1410" s="37">
        <v>3.4624038831724846</v>
      </c>
    </row>
    <row r="1411" spans="27:30" x14ac:dyDescent="0.3">
      <c r="AA1411" s="37">
        <v>1391</v>
      </c>
      <c r="AB1411" s="37">
        <v>1.8664424577008381</v>
      </c>
      <c r="AC1411" s="37">
        <v>2.9143609179546344</v>
      </c>
      <c r="AD1411" s="37">
        <v>3.0853674905228439</v>
      </c>
    </row>
    <row r="1412" spans="27:30" x14ac:dyDescent="0.3">
      <c r="AA1412" s="37">
        <v>1392</v>
      </c>
      <c r="AB1412" s="37">
        <v>1.7657332404912387</v>
      </c>
      <c r="AC1412" s="37">
        <v>2.7649401689999493</v>
      </c>
      <c r="AD1412" s="37">
        <v>3.0960631326482861</v>
      </c>
    </row>
    <row r="1413" spans="27:30" x14ac:dyDescent="0.3">
      <c r="AA1413" s="37">
        <v>1393</v>
      </c>
      <c r="AB1413" s="37">
        <v>1.731609267385458</v>
      </c>
      <c r="AC1413" s="37">
        <v>2.8039552241350667</v>
      </c>
      <c r="AD1413" s="37">
        <v>3.3645553688273169</v>
      </c>
    </row>
    <row r="1414" spans="27:30" x14ac:dyDescent="0.3">
      <c r="AA1414" s="37">
        <v>1394</v>
      </c>
      <c r="AB1414" s="37">
        <v>1.8503127070290439</v>
      </c>
      <c r="AC1414" s="37">
        <v>2.9753886380854127</v>
      </c>
      <c r="AD1414" s="37">
        <v>3.4446453796211713</v>
      </c>
    </row>
    <row r="1415" spans="27:30" x14ac:dyDescent="0.3">
      <c r="AA1415" s="37">
        <v>1395</v>
      </c>
      <c r="AB1415" s="37">
        <v>1.8002365714180837</v>
      </c>
      <c r="AC1415" s="37">
        <v>2.8189223671691592</v>
      </c>
      <c r="AD1415" s="37">
        <v>3.2208810893575182</v>
      </c>
    </row>
    <row r="1416" spans="27:30" x14ac:dyDescent="0.3">
      <c r="AA1416" s="37">
        <v>1396</v>
      </c>
      <c r="AB1416" s="37">
        <v>1.9877667546284636</v>
      </c>
      <c r="AC1416" s="37">
        <v>2.979630925158046</v>
      </c>
      <c r="AD1416" s="37">
        <v>3.3041328378821699</v>
      </c>
    </row>
    <row r="1417" spans="27:30" x14ac:dyDescent="0.3">
      <c r="AA1417" s="37">
        <v>1397</v>
      </c>
      <c r="AB1417" s="37">
        <v>1.7940615836011073</v>
      </c>
      <c r="AC1417" s="37">
        <v>2.7879646030533971</v>
      </c>
      <c r="AD1417" s="37">
        <v>3.4673500169089944</v>
      </c>
    </row>
    <row r="1418" spans="27:30" x14ac:dyDescent="0.3">
      <c r="AA1418" s="37">
        <v>1398</v>
      </c>
      <c r="AB1418" s="37">
        <v>1.7586827199813244</v>
      </c>
      <c r="AC1418" s="37">
        <v>2.6485181355976137</v>
      </c>
      <c r="AD1418" s="37">
        <v>3.088737617623003</v>
      </c>
    </row>
    <row r="1419" spans="27:30" x14ac:dyDescent="0.3">
      <c r="AA1419" s="37">
        <v>1399</v>
      </c>
      <c r="AB1419" s="37">
        <v>1.6867960601465077</v>
      </c>
      <c r="AC1419" s="37">
        <v>2.7115883448243587</v>
      </c>
      <c r="AD1419" s="37">
        <v>3.4931154466974963</v>
      </c>
    </row>
    <row r="1420" spans="27:30" x14ac:dyDescent="0.3">
      <c r="AA1420" s="37">
        <v>1400</v>
      </c>
      <c r="AB1420" s="37">
        <v>1.7528529134130137</v>
      </c>
      <c r="AC1420" s="37">
        <v>3.003259017397149</v>
      </c>
      <c r="AD1420" s="37">
        <v>3.570704191846259</v>
      </c>
    </row>
    <row r="1421" spans="27:30" x14ac:dyDescent="0.3">
      <c r="AA1421" s="37">
        <v>1401</v>
      </c>
      <c r="AB1421" s="37">
        <v>1.8408473292387184</v>
      </c>
      <c r="AC1421" s="37">
        <v>2.7850803305428409</v>
      </c>
      <c r="AD1421" s="37">
        <v>3.4949521415739651</v>
      </c>
    </row>
    <row r="1422" spans="27:30" x14ac:dyDescent="0.3">
      <c r="AA1422" s="37">
        <v>1402</v>
      </c>
      <c r="AB1422" s="37">
        <v>1.6457611276746575</v>
      </c>
      <c r="AC1422" s="37">
        <v>2.8829729638896722</v>
      </c>
      <c r="AD1422" s="37">
        <v>3.507628375334555</v>
      </c>
    </row>
    <row r="1423" spans="27:30" x14ac:dyDescent="0.3">
      <c r="AA1423" s="37">
        <v>1403</v>
      </c>
      <c r="AB1423" s="37">
        <v>1.7929003353872812</v>
      </c>
      <c r="AC1423" s="37">
        <v>2.908249367986727</v>
      </c>
      <c r="AD1423" s="37">
        <v>3.464773322656387</v>
      </c>
    </row>
    <row r="1424" spans="27:30" x14ac:dyDescent="0.3">
      <c r="AA1424" s="37">
        <v>1404</v>
      </c>
      <c r="AB1424" s="37">
        <v>1.8545432045735701</v>
      </c>
      <c r="AC1424" s="37">
        <v>2.8971163104019722</v>
      </c>
      <c r="AD1424" s="37">
        <v>3.5098112262177876</v>
      </c>
    </row>
    <row r="1425" spans="27:30" x14ac:dyDescent="0.3">
      <c r="AA1425" s="37">
        <v>1405</v>
      </c>
      <c r="AB1425" s="37">
        <v>1.9159025684120274</v>
      </c>
      <c r="AC1425" s="37">
        <v>2.8006134212481064</v>
      </c>
      <c r="AD1425" s="37">
        <v>3.4705438044259491</v>
      </c>
    </row>
    <row r="1426" spans="27:30" x14ac:dyDescent="0.3">
      <c r="AA1426" s="37">
        <v>1406</v>
      </c>
      <c r="AB1426" s="37">
        <v>1.7061016295456861</v>
      </c>
      <c r="AC1426" s="37">
        <v>2.9833747090461369</v>
      </c>
      <c r="AD1426" s="37">
        <v>3.2722671497511349</v>
      </c>
    </row>
    <row r="1427" spans="27:30" x14ac:dyDescent="0.3">
      <c r="AA1427" s="37">
        <v>1407</v>
      </c>
      <c r="AB1427" s="37">
        <v>1.96097577352192</v>
      </c>
      <c r="AC1427" s="37">
        <v>2.7813139074801447</v>
      </c>
      <c r="AD1427" s="37">
        <v>3.1584868924747971</v>
      </c>
    </row>
    <row r="1428" spans="27:30" x14ac:dyDescent="0.3">
      <c r="AA1428" s="37">
        <v>1408</v>
      </c>
      <c r="AB1428" s="37">
        <v>1.7839960234120049</v>
      </c>
      <c r="AC1428" s="37">
        <v>2.6874584307453504</v>
      </c>
      <c r="AD1428" s="37">
        <v>3.1794789300200308</v>
      </c>
    </row>
    <row r="1429" spans="27:30" x14ac:dyDescent="0.3">
      <c r="AA1429" s="37">
        <v>1409</v>
      </c>
      <c r="AB1429" s="37">
        <v>1.8748973318581832</v>
      </c>
      <c r="AC1429" s="37">
        <v>2.7605375783583828</v>
      </c>
      <c r="AD1429" s="37">
        <v>3.5213972429508256</v>
      </c>
    </row>
    <row r="1430" spans="27:30" x14ac:dyDescent="0.3">
      <c r="AA1430" s="37">
        <v>1410</v>
      </c>
      <c r="AB1430" s="37">
        <v>1.8617303072356151</v>
      </c>
      <c r="AC1430" s="37">
        <v>2.9254516336148737</v>
      </c>
      <c r="AD1430" s="37">
        <v>3.3698113858097751</v>
      </c>
    </row>
    <row r="1431" spans="27:30" x14ac:dyDescent="0.3">
      <c r="AA1431" s="37">
        <v>1411</v>
      </c>
      <c r="AB1431" s="37">
        <v>1.604455343021584</v>
      </c>
      <c r="AC1431" s="37">
        <v>2.7434108270843041</v>
      </c>
      <c r="AD1431" s="37">
        <v>3.4694124083682572</v>
      </c>
    </row>
    <row r="1432" spans="27:30" x14ac:dyDescent="0.3">
      <c r="AA1432" s="37">
        <v>1412</v>
      </c>
      <c r="AB1432" s="37">
        <v>1.7731474090013728</v>
      </c>
      <c r="AC1432" s="37">
        <v>2.8260583390354048</v>
      </c>
      <c r="AD1432" s="37">
        <v>3.2007613718143726</v>
      </c>
    </row>
    <row r="1433" spans="27:30" x14ac:dyDescent="0.3">
      <c r="AA1433" s="37">
        <v>1413</v>
      </c>
      <c r="AB1433" s="37">
        <v>1.8167934299947897</v>
      </c>
      <c r="AC1433" s="37">
        <v>2.8169735481577898</v>
      </c>
      <c r="AD1433" s="37">
        <v>3.2489512139755976</v>
      </c>
    </row>
    <row r="1434" spans="27:30" x14ac:dyDescent="0.3">
      <c r="AA1434" s="37">
        <v>1414</v>
      </c>
      <c r="AB1434" s="37">
        <v>1.7326903514878578</v>
      </c>
      <c r="AC1434" s="37">
        <v>2.6899807019815429</v>
      </c>
      <c r="AD1434" s="37">
        <v>3.4511148015716526</v>
      </c>
    </row>
    <row r="1435" spans="27:30" x14ac:dyDescent="0.3">
      <c r="AA1435" s="37">
        <v>1415</v>
      </c>
      <c r="AB1435" s="37">
        <v>1.8346810683291142</v>
      </c>
      <c r="AC1435" s="37">
        <v>2.9031405524683991</v>
      </c>
      <c r="AD1435" s="37">
        <v>3.0896534816043264</v>
      </c>
    </row>
    <row r="1436" spans="27:30" x14ac:dyDescent="0.3">
      <c r="AA1436" s="37">
        <v>1416</v>
      </c>
      <c r="AB1436" s="37">
        <v>1.7922490637593689</v>
      </c>
      <c r="AC1436" s="37">
        <v>2.7103666513085614</v>
      </c>
      <c r="AD1436" s="37">
        <v>3.4336192878709655</v>
      </c>
    </row>
    <row r="1437" spans="27:30" x14ac:dyDescent="0.3">
      <c r="AA1437" s="37">
        <v>1417</v>
      </c>
      <c r="AB1437" s="37">
        <v>1.666413935801724</v>
      </c>
      <c r="AC1437" s="37">
        <v>2.8798288240450036</v>
      </c>
      <c r="AD1437" s="37">
        <v>3.28865613427593</v>
      </c>
    </row>
    <row r="1438" spans="27:30" x14ac:dyDescent="0.3">
      <c r="AA1438" s="37">
        <v>1418</v>
      </c>
      <c r="AB1438" s="37">
        <v>1.8789862635275993</v>
      </c>
      <c r="AC1438" s="37">
        <v>2.7365062989829667</v>
      </c>
      <c r="AD1438" s="37">
        <v>3.5907277101852726</v>
      </c>
    </row>
    <row r="1439" spans="27:30" x14ac:dyDescent="0.3">
      <c r="AA1439" s="37">
        <v>1419</v>
      </c>
      <c r="AB1439" s="37">
        <v>1.8540595831665303</v>
      </c>
      <c r="AC1439" s="37">
        <v>2.7735212144982979</v>
      </c>
      <c r="AD1439" s="37">
        <v>3.4507650513229997</v>
      </c>
    </row>
    <row r="1440" spans="27:30" x14ac:dyDescent="0.3">
      <c r="AA1440" s="37">
        <v>1420</v>
      </c>
      <c r="AB1440" s="37">
        <v>1.8001545858083994</v>
      </c>
      <c r="AC1440" s="37">
        <v>2.7720917077428906</v>
      </c>
      <c r="AD1440" s="37">
        <v>3.26084824922355</v>
      </c>
    </row>
    <row r="1441" spans="27:30" x14ac:dyDescent="0.3">
      <c r="AA1441" s="37">
        <v>1421</v>
      </c>
      <c r="AB1441" s="37">
        <v>1.8097917857758006</v>
      </c>
      <c r="AC1441" s="37">
        <v>2.7429123726065479</v>
      </c>
      <c r="AD1441" s="37">
        <v>3.2110827275913847</v>
      </c>
    </row>
    <row r="1442" spans="27:30" x14ac:dyDescent="0.3">
      <c r="AA1442" s="37">
        <v>1422</v>
      </c>
      <c r="AB1442" s="37">
        <v>1.8654935434608815</v>
      </c>
      <c r="AC1442" s="37">
        <v>2.8826358349440557</v>
      </c>
      <c r="AD1442" s="37">
        <v>3.1145674402863159</v>
      </c>
    </row>
    <row r="1443" spans="27:30" x14ac:dyDescent="0.3">
      <c r="AA1443" s="37">
        <v>1423</v>
      </c>
      <c r="AB1443" s="37">
        <v>1.6680572040488153</v>
      </c>
      <c r="AC1443" s="37">
        <v>2.9149091856115685</v>
      </c>
      <c r="AD1443" s="37">
        <v>3.4640579864784158</v>
      </c>
    </row>
    <row r="1444" spans="27:30" x14ac:dyDescent="0.3">
      <c r="AA1444" s="37">
        <v>1424</v>
      </c>
      <c r="AB1444" s="37">
        <v>1.7052998273056394</v>
      </c>
      <c r="AC1444" s="37">
        <v>2.7740094485505975</v>
      </c>
      <c r="AD1444" s="37">
        <v>3.1942076677700704</v>
      </c>
    </row>
    <row r="1445" spans="27:30" x14ac:dyDescent="0.3">
      <c r="AA1445" s="37">
        <v>1425</v>
      </c>
      <c r="AB1445" s="37">
        <v>1.715054216383308</v>
      </c>
      <c r="AC1445" s="37">
        <v>2.6718229314676076</v>
      </c>
      <c r="AD1445" s="37">
        <v>3.5631287544061783</v>
      </c>
    </row>
    <row r="1446" spans="27:30" x14ac:dyDescent="0.3">
      <c r="AA1446" s="37">
        <v>1426</v>
      </c>
      <c r="AB1446" s="37">
        <v>1.8347720504828056</v>
      </c>
      <c r="AC1446" s="37">
        <v>2.9125885428587956</v>
      </c>
      <c r="AD1446" s="37">
        <v>3.1279698891657941</v>
      </c>
    </row>
    <row r="1447" spans="27:30" x14ac:dyDescent="0.3">
      <c r="AA1447" s="37">
        <v>1427</v>
      </c>
      <c r="AB1447" s="37">
        <v>1.8504050902506757</v>
      </c>
      <c r="AC1447" s="37">
        <v>2.9205668425697398</v>
      </c>
      <c r="AD1447" s="37">
        <v>3.3675424606169346</v>
      </c>
    </row>
    <row r="1448" spans="27:30" x14ac:dyDescent="0.3">
      <c r="AA1448" s="37">
        <v>1428</v>
      </c>
      <c r="AB1448" s="37">
        <v>1.7493735972426241</v>
      </c>
      <c r="AC1448" s="37">
        <v>2.9473246561956361</v>
      </c>
      <c r="AD1448" s="37">
        <v>3.1354290774689169</v>
      </c>
    </row>
    <row r="1449" spans="27:30" x14ac:dyDescent="0.3">
      <c r="AA1449" s="37">
        <v>1429</v>
      </c>
      <c r="AB1449" s="37">
        <v>1.7880410182877624</v>
      </c>
      <c r="AC1449" s="37">
        <v>2.8101460417851531</v>
      </c>
      <c r="AD1449" s="37">
        <v>3.3566053412802512</v>
      </c>
    </row>
    <row r="1450" spans="27:30" x14ac:dyDescent="0.3">
      <c r="AA1450" s="37">
        <v>1430</v>
      </c>
      <c r="AB1450" s="37">
        <v>1.8665023233380102</v>
      </c>
      <c r="AC1450" s="37">
        <v>2.992800367182471</v>
      </c>
      <c r="AD1450" s="37">
        <v>3.4634236182870946</v>
      </c>
    </row>
    <row r="1451" spans="27:30" x14ac:dyDescent="0.3">
      <c r="AA1451" s="37">
        <v>1431</v>
      </c>
      <c r="AB1451" s="37">
        <v>1.7372548000139822</v>
      </c>
      <c r="AC1451" s="37">
        <v>2.9796879324382224</v>
      </c>
      <c r="AD1451" s="37">
        <v>3.5530408983370507</v>
      </c>
    </row>
    <row r="1452" spans="27:30" x14ac:dyDescent="0.3">
      <c r="AA1452" s="37">
        <v>1432</v>
      </c>
      <c r="AB1452" s="37">
        <v>1.7416679858735455</v>
      </c>
      <c r="AC1452" s="37">
        <v>2.8577649055348058</v>
      </c>
      <c r="AD1452" s="37">
        <v>3.429463108795376</v>
      </c>
    </row>
    <row r="1453" spans="27:30" x14ac:dyDescent="0.3">
      <c r="AA1453" s="37">
        <v>1433</v>
      </c>
      <c r="AB1453" s="37">
        <v>1.8035056568404435</v>
      </c>
      <c r="AC1453" s="37">
        <v>2.8357666414326519</v>
      </c>
      <c r="AD1453" s="37">
        <v>3.1531860624642061</v>
      </c>
    </row>
    <row r="1454" spans="27:30" x14ac:dyDescent="0.3">
      <c r="AA1454" s="37">
        <v>1434</v>
      </c>
      <c r="AB1454" s="37">
        <v>1.7300370461428796</v>
      </c>
      <c r="AC1454" s="37">
        <v>2.8170643967199509</v>
      </c>
      <c r="AD1454" s="37">
        <v>3.4670081954330407</v>
      </c>
    </row>
    <row r="1455" spans="27:30" x14ac:dyDescent="0.3">
      <c r="AA1455" s="37">
        <v>1435</v>
      </c>
      <c r="AB1455" s="37">
        <v>1.6490896355275484</v>
      </c>
      <c r="AC1455" s="37">
        <v>2.9312190384027108</v>
      </c>
      <c r="AD1455" s="37">
        <v>3.3056783127312936</v>
      </c>
    </row>
    <row r="1456" spans="27:30" x14ac:dyDescent="0.3">
      <c r="AA1456" s="37">
        <v>1436</v>
      </c>
      <c r="AB1456" s="37">
        <v>1.7741568641313405</v>
      </c>
      <c r="AC1456" s="37">
        <v>2.9057638531542804</v>
      </c>
      <c r="AD1456" s="37">
        <v>3.3504301018081288</v>
      </c>
    </row>
    <row r="1457" spans="27:30" x14ac:dyDescent="0.3">
      <c r="AA1457" s="37">
        <v>1437</v>
      </c>
      <c r="AB1457" s="37">
        <v>1.7991321783459386</v>
      </c>
      <c r="AC1457" s="37">
        <v>2.9481122492968859</v>
      </c>
      <c r="AD1457" s="37">
        <v>3.2113670502804865</v>
      </c>
    </row>
    <row r="1458" spans="27:30" x14ac:dyDescent="0.3">
      <c r="AA1458" s="37">
        <v>1438</v>
      </c>
      <c r="AB1458" s="37">
        <v>1.7674752935562401</v>
      </c>
      <c r="AC1458" s="37">
        <v>2.9859677514102811</v>
      </c>
      <c r="AD1458" s="37">
        <v>3.3546887830746517</v>
      </c>
    </row>
    <row r="1459" spans="27:30" x14ac:dyDescent="0.3">
      <c r="AA1459" s="37">
        <v>1439</v>
      </c>
      <c r="AB1459" s="37">
        <v>1.8292616951420948</v>
      </c>
      <c r="AC1459" s="37">
        <v>2.9247067172298187</v>
      </c>
      <c r="AD1459" s="37">
        <v>3.4561061870350387</v>
      </c>
    </row>
    <row r="1460" spans="27:30" x14ac:dyDescent="0.3">
      <c r="AA1460" s="37">
        <v>1440</v>
      </c>
      <c r="AB1460" s="37">
        <v>1.8829166932164072</v>
      </c>
      <c r="AC1460" s="37">
        <v>2.6506554875775987</v>
      </c>
      <c r="AD1460" s="37">
        <v>3.1678707177581509</v>
      </c>
    </row>
    <row r="1461" spans="27:30" x14ac:dyDescent="0.3">
      <c r="AA1461" s="37">
        <v>1441</v>
      </c>
      <c r="AB1461" s="37">
        <v>1.8313159182046923</v>
      </c>
      <c r="AC1461" s="37">
        <v>2.9397798067233927</v>
      </c>
      <c r="AD1461" s="37">
        <v>3.4527980190045988</v>
      </c>
    </row>
    <row r="1462" spans="27:30" x14ac:dyDescent="0.3">
      <c r="AA1462" s="37">
        <v>1442</v>
      </c>
      <c r="AB1462" s="37">
        <v>1.7946684741610099</v>
      </c>
      <c r="AC1462" s="37">
        <v>2.8559087229249922</v>
      </c>
      <c r="AD1462" s="37">
        <v>3.1730114388024839</v>
      </c>
    </row>
    <row r="1463" spans="27:30" x14ac:dyDescent="0.3">
      <c r="AA1463" s="37">
        <v>1443</v>
      </c>
      <c r="AB1463" s="37">
        <v>1.643212762774761</v>
      </c>
      <c r="AC1463" s="37">
        <v>2.7167909840694211</v>
      </c>
      <c r="AD1463" s="37">
        <v>3.5283525278881944</v>
      </c>
    </row>
    <row r="1464" spans="27:30" x14ac:dyDescent="0.3">
      <c r="AA1464" s="37">
        <v>1444</v>
      </c>
      <c r="AB1464" s="37">
        <v>1.8134567050283292</v>
      </c>
      <c r="AC1464" s="37">
        <v>2.7747656719758975</v>
      </c>
      <c r="AD1464" s="37">
        <v>3.4946880176588979</v>
      </c>
    </row>
    <row r="1465" spans="27:30" x14ac:dyDescent="0.3">
      <c r="AA1465" s="37">
        <v>1445</v>
      </c>
      <c r="AB1465" s="37">
        <v>1.7004130598342135</v>
      </c>
      <c r="AC1465" s="37">
        <v>2.6269598924566746</v>
      </c>
      <c r="AD1465" s="37">
        <v>3.493080523259533</v>
      </c>
    </row>
    <row r="1466" spans="27:30" x14ac:dyDescent="0.3">
      <c r="AA1466" s="37">
        <v>1446</v>
      </c>
      <c r="AB1466" s="37">
        <v>1.8165569101163959</v>
      </c>
      <c r="AC1466" s="37">
        <v>2.7764671713983771</v>
      </c>
      <c r="AD1466" s="37">
        <v>3.4731955144655422</v>
      </c>
    </row>
    <row r="1467" spans="27:30" x14ac:dyDescent="0.3">
      <c r="AA1467" s="37">
        <v>1447</v>
      </c>
      <c r="AB1467" s="37">
        <v>1.7975841629312113</v>
      </c>
      <c r="AC1467" s="37">
        <v>2.9387662353666673</v>
      </c>
      <c r="AD1467" s="37">
        <v>3.2710354577393073</v>
      </c>
    </row>
    <row r="1468" spans="27:30" x14ac:dyDescent="0.3">
      <c r="AA1468" s="37">
        <v>1448</v>
      </c>
      <c r="AB1468" s="37">
        <v>1.7286086538765821</v>
      </c>
      <c r="AC1468" s="37">
        <v>2.8732742357113357</v>
      </c>
      <c r="AD1468" s="37">
        <v>3.5591699355617719</v>
      </c>
    </row>
    <row r="1469" spans="27:30" x14ac:dyDescent="0.3">
      <c r="AA1469" s="37">
        <v>1449</v>
      </c>
      <c r="AB1469" s="37">
        <v>1.8790483745213484</v>
      </c>
      <c r="AC1469" s="37">
        <v>2.9988623012837339</v>
      </c>
      <c r="AD1469" s="37">
        <v>3.382635055680018</v>
      </c>
    </row>
    <row r="1470" spans="27:30" x14ac:dyDescent="0.3">
      <c r="AA1470" s="37">
        <v>1450</v>
      </c>
      <c r="AB1470" s="37">
        <v>1.85366059347963</v>
      </c>
      <c r="AC1470" s="37">
        <v>2.9422581957002554</v>
      </c>
      <c r="AD1470" s="37">
        <v>3.2696019633330495</v>
      </c>
    </row>
    <row r="1471" spans="27:30" x14ac:dyDescent="0.3">
      <c r="AA1471" s="37">
        <v>1451</v>
      </c>
      <c r="AB1471" s="37">
        <v>1.8313396250378811</v>
      </c>
      <c r="AC1471" s="37">
        <v>2.6901963211478024</v>
      </c>
      <c r="AD1471" s="37">
        <v>3.1093780636957629</v>
      </c>
    </row>
    <row r="1472" spans="27:30" x14ac:dyDescent="0.3">
      <c r="AA1472" s="37">
        <v>1452</v>
      </c>
      <c r="AB1472" s="37">
        <v>1.7857617352846546</v>
      </c>
      <c r="AC1472" s="37">
        <v>2.9149696005841088</v>
      </c>
      <c r="AD1472" s="37">
        <v>3.4055639629944356</v>
      </c>
    </row>
    <row r="1473" spans="27:30" x14ac:dyDescent="0.3">
      <c r="AA1473" s="37">
        <v>1453</v>
      </c>
      <c r="AB1473" s="37">
        <v>1.690813626265546</v>
      </c>
      <c r="AC1473" s="37">
        <v>2.935086573336863</v>
      </c>
      <c r="AD1473" s="37">
        <v>3.2646434622517111</v>
      </c>
    </row>
    <row r="1474" spans="27:30" x14ac:dyDescent="0.3">
      <c r="AA1474" s="37">
        <v>1454</v>
      </c>
      <c r="AB1474" s="37">
        <v>1.746552987042673</v>
      </c>
      <c r="AC1474" s="37">
        <v>3.0484338203417889</v>
      </c>
      <c r="AD1474" s="37">
        <v>3.3381590039978093</v>
      </c>
    </row>
    <row r="1475" spans="27:30" x14ac:dyDescent="0.3">
      <c r="AA1475" s="37">
        <v>1455</v>
      </c>
      <c r="AB1475" s="37">
        <v>1.7913412361808581</v>
      </c>
      <c r="AC1475" s="37">
        <v>2.7580670473045727</v>
      </c>
      <c r="AD1475" s="37">
        <v>3.2786561238888763</v>
      </c>
    </row>
    <row r="1476" spans="27:30" x14ac:dyDescent="0.3">
      <c r="AA1476" s="37">
        <v>1456</v>
      </c>
      <c r="AB1476" s="37">
        <v>1.7626617979523904</v>
      </c>
      <c r="AC1476" s="37">
        <v>2.7595990005875222</v>
      </c>
      <c r="AD1476" s="37">
        <v>3.6103115454932526</v>
      </c>
    </row>
    <row r="1477" spans="27:30" x14ac:dyDescent="0.3">
      <c r="AA1477" s="37">
        <v>1457</v>
      </c>
      <c r="AB1477" s="37">
        <v>1.8060917056173218</v>
      </c>
      <c r="AC1477" s="37">
        <v>2.734698871081096</v>
      </c>
      <c r="AD1477" s="37">
        <v>3.3708114934607418</v>
      </c>
    </row>
    <row r="1478" spans="27:30" x14ac:dyDescent="0.3">
      <c r="AA1478" s="37">
        <v>1458</v>
      </c>
      <c r="AB1478" s="37">
        <v>1.6982492920195551</v>
      </c>
      <c r="AC1478" s="37">
        <v>3.0648770671543106</v>
      </c>
      <c r="AD1478" s="37">
        <v>3.3700565246841561</v>
      </c>
    </row>
    <row r="1479" spans="27:30" x14ac:dyDescent="0.3">
      <c r="AA1479" s="37">
        <v>1459</v>
      </c>
      <c r="AB1479" s="37">
        <v>1.7847004537635041</v>
      </c>
      <c r="AC1479" s="37">
        <v>2.6544567259842862</v>
      </c>
      <c r="AD1479" s="37">
        <v>3.1395567678230218</v>
      </c>
    </row>
    <row r="1480" spans="27:30" x14ac:dyDescent="0.3">
      <c r="AA1480" s="37">
        <v>1460</v>
      </c>
      <c r="AB1480" s="37">
        <v>1.960750645040249</v>
      </c>
      <c r="AC1480" s="37">
        <v>2.7359310154918277</v>
      </c>
      <c r="AD1480" s="37">
        <v>3.3200151938592914</v>
      </c>
    </row>
    <row r="1481" spans="27:30" x14ac:dyDescent="0.3">
      <c r="AA1481" s="37">
        <v>1461</v>
      </c>
      <c r="AB1481" s="37">
        <v>1.7256118252859436</v>
      </c>
      <c r="AC1481" s="37">
        <v>2.8362527162419111</v>
      </c>
      <c r="AD1481" s="37">
        <v>3.3703719386178888</v>
      </c>
    </row>
    <row r="1482" spans="27:30" x14ac:dyDescent="0.3">
      <c r="AA1482" s="37">
        <v>1462</v>
      </c>
      <c r="AB1482" s="37">
        <v>1.7889331541238369</v>
      </c>
      <c r="AC1482" s="37">
        <v>3.0239156406849861</v>
      </c>
      <c r="AD1482" s="37">
        <v>3.4098778027251955</v>
      </c>
    </row>
    <row r="1483" spans="27:30" x14ac:dyDescent="0.3">
      <c r="AA1483" s="37">
        <v>1463</v>
      </c>
      <c r="AB1483" s="37">
        <v>1.7143068358410374</v>
      </c>
      <c r="AC1483" s="37">
        <v>2.7789223339323805</v>
      </c>
      <c r="AD1483" s="37">
        <v>3.2833971725633746</v>
      </c>
    </row>
    <row r="1484" spans="27:30" x14ac:dyDescent="0.3">
      <c r="AA1484" s="37">
        <v>1464</v>
      </c>
      <c r="AB1484" s="37">
        <v>1.815720489742825</v>
      </c>
      <c r="AC1484" s="37">
        <v>3.0403236735592101</v>
      </c>
      <c r="AD1484" s="37">
        <v>3.2671024099465877</v>
      </c>
    </row>
    <row r="1485" spans="27:30" x14ac:dyDescent="0.3">
      <c r="AA1485" s="37">
        <v>1465</v>
      </c>
      <c r="AB1485" s="37">
        <v>1.8674807557857491</v>
      </c>
      <c r="AC1485" s="37">
        <v>2.7770202607170642</v>
      </c>
      <c r="AD1485" s="37">
        <v>3.4586009915325446</v>
      </c>
    </row>
    <row r="1486" spans="27:30" x14ac:dyDescent="0.3">
      <c r="AA1486" s="37">
        <v>1466</v>
      </c>
      <c r="AB1486" s="37">
        <v>1.7808553797995943</v>
      </c>
      <c r="AC1486" s="37">
        <v>2.7955428661926089</v>
      </c>
      <c r="AD1486" s="37">
        <v>3.4482580338760176</v>
      </c>
    </row>
    <row r="1487" spans="27:30" x14ac:dyDescent="0.3">
      <c r="AA1487" s="37">
        <v>1467</v>
      </c>
      <c r="AB1487" s="37">
        <v>1.7463419471901607</v>
      </c>
      <c r="AC1487" s="37">
        <v>2.8317619520265076</v>
      </c>
      <c r="AD1487" s="37">
        <v>3.2875047283869825</v>
      </c>
    </row>
    <row r="1488" spans="27:30" x14ac:dyDescent="0.3">
      <c r="AA1488" s="37">
        <v>1468</v>
      </c>
      <c r="AB1488" s="37">
        <v>1.7792061779090131</v>
      </c>
      <c r="AC1488" s="37">
        <v>2.7904500873790119</v>
      </c>
      <c r="AD1488" s="37">
        <v>3.4490271298093189</v>
      </c>
    </row>
    <row r="1489" spans="27:30" x14ac:dyDescent="0.3">
      <c r="AA1489" s="37">
        <v>1469</v>
      </c>
      <c r="AB1489" s="37">
        <v>1.713836967281432</v>
      </c>
      <c r="AC1489" s="37">
        <v>2.9076872551415147</v>
      </c>
      <c r="AD1489" s="37">
        <v>3.4329821194680519</v>
      </c>
    </row>
    <row r="1490" spans="27:30" x14ac:dyDescent="0.3">
      <c r="AA1490" s="37">
        <v>1470</v>
      </c>
      <c r="AB1490" s="37">
        <v>1.6974039991212346</v>
      </c>
      <c r="AC1490" s="37">
        <v>2.9572463518214489</v>
      </c>
      <c r="AD1490" s="37">
        <v>3.3132526847625692</v>
      </c>
    </row>
    <row r="1491" spans="27:30" x14ac:dyDescent="0.3">
      <c r="AA1491" s="37">
        <v>1471</v>
      </c>
      <c r="AB1491" s="37">
        <v>1.7409373609917536</v>
      </c>
      <c r="AC1491" s="37">
        <v>2.6924225320518507</v>
      </c>
      <c r="AD1491" s="37">
        <v>3.1037471710196707</v>
      </c>
    </row>
    <row r="1492" spans="27:30" x14ac:dyDescent="0.3">
      <c r="AA1492" s="37">
        <v>1472</v>
      </c>
      <c r="AB1492" s="37">
        <v>1.8599498644615129</v>
      </c>
      <c r="AC1492" s="37">
        <v>2.7698622899194887</v>
      </c>
      <c r="AD1492" s="37">
        <v>3.0161233494453357</v>
      </c>
    </row>
    <row r="1493" spans="27:30" x14ac:dyDescent="0.3">
      <c r="AA1493" s="37">
        <v>1473</v>
      </c>
      <c r="AB1493" s="37">
        <v>1.6929008040039846</v>
      </c>
      <c r="AC1493" s="37">
        <v>2.7060377152115587</v>
      </c>
      <c r="AD1493" s="37">
        <v>3.3574645984870148</v>
      </c>
    </row>
    <row r="1494" spans="27:30" x14ac:dyDescent="0.3">
      <c r="AA1494" s="37">
        <v>1474</v>
      </c>
      <c r="AB1494" s="37">
        <v>1.8413152684174634</v>
      </c>
      <c r="AC1494" s="37">
        <v>2.7728330918877551</v>
      </c>
      <c r="AD1494" s="37">
        <v>3.2039772484333726</v>
      </c>
    </row>
    <row r="1495" spans="27:30" x14ac:dyDescent="0.3">
      <c r="AA1495" s="37">
        <v>1475</v>
      </c>
      <c r="AB1495" s="37">
        <v>1.6965367880878075</v>
      </c>
      <c r="AC1495" s="37">
        <v>2.9298306318281857</v>
      </c>
      <c r="AD1495" s="37">
        <v>3.2841532590639821</v>
      </c>
    </row>
    <row r="1496" spans="27:30" x14ac:dyDescent="0.3">
      <c r="AA1496" s="37">
        <v>1476</v>
      </c>
      <c r="AB1496" s="37">
        <v>1.8623886677953181</v>
      </c>
      <c r="AC1496" s="37">
        <v>2.8675073121787351</v>
      </c>
      <c r="AD1496" s="37">
        <v>3.4362594284909802</v>
      </c>
    </row>
    <row r="1497" spans="27:30" x14ac:dyDescent="0.3">
      <c r="AA1497" s="37">
        <v>1477</v>
      </c>
      <c r="AB1497" s="37">
        <v>1.8101234729933366</v>
      </c>
      <c r="AC1497" s="37">
        <v>2.8710084612527504</v>
      </c>
      <c r="AD1497" s="37">
        <v>3.2781808969656256</v>
      </c>
    </row>
    <row r="1498" spans="27:30" x14ac:dyDescent="0.3">
      <c r="AA1498" s="37">
        <v>1478</v>
      </c>
      <c r="AB1498" s="37">
        <v>1.7886472995862208</v>
      </c>
      <c r="AC1498" s="37">
        <v>2.7170531906087274</v>
      </c>
      <c r="AD1498" s="37">
        <v>3.4158630075270966</v>
      </c>
    </row>
    <row r="1499" spans="27:30" x14ac:dyDescent="0.3">
      <c r="AA1499" s="37">
        <v>1479</v>
      </c>
      <c r="AB1499" s="37">
        <v>1.7198971871690116</v>
      </c>
      <c r="AC1499" s="37">
        <v>2.7322907638212053</v>
      </c>
      <c r="AD1499" s="37">
        <v>3.3188913457842637</v>
      </c>
    </row>
    <row r="1500" spans="27:30" x14ac:dyDescent="0.3">
      <c r="AA1500" s="37">
        <v>1480</v>
      </c>
      <c r="AB1500" s="37">
        <v>1.8320885754558189</v>
      </c>
      <c r="AC1500" s="37">
        <v>2.8369844640089297</v>
      </c>
      <c r="AD1500" s="37">
        <v>3.3109447945785315</v>
      </c>
    </row>
    <row r="1501" spans="27:30" x14ac:dyDescent="0.3">
      <c r="AA1501" s="37">
        <v>1481</v>
      </c>
      <c r="AB1501" s="37">
        <v>1.7513878976087298</v>
      </c>
      <c r="AC1501" s="37">
        <v>2.9345267554134677</v>
      </c>
      <c r="AD1501" s="37">
        <v>3.5652941553896889</v>
      </c>
    </row>
    <row r="1502" spans="27:30" x14ac:dyDescent="0.3">
      <c r="AA1502" s="37">
        <v>1482</v>
      </c>
      <c r="AB1502" s="37">
        <v>1.7728359373329672</v>
      </c>
      <c r="AC1502" s="37">
        <v>2.8064204592795146</v>
      </c>
      <c r="AD1502" s="37">
        <v>3.4889560143432012</v>
      </c>
    </row>
    <row r="1503" spans="27:30" x14ac:dyDescent="0.3">
      <c r="AA1503" s="37">
        <v>1483</v>
      </c>
      <c r="AB1503" s="37">
        <v>1.7736978326928285</v>
      </c>
      <c r="AC1503" s="37">
        <v>2.7200399405355098</v>
      </c>
      <c r="AD1503" s="37">
        <v>3.5331038260578267</v>
      </c>
    </row>
    <row r="1504" spans="27:30" x14ac:dyDescent="0.3">
      <c r="AA1504" s="37">
        <v>1484</v>
      </c>
      <c r="AB1504" s="37">
        <v>1.7397025679808493</v>
      </c>
      <c r="AC1504" s="37">
        <v>2.8716305228824499</v>
      </c>
      <c r="AD1504" s="37">
        <v>3.4185910716210568</v>
      </c>
    </row>
    <row r="1505" spans="27:30" x14ac:dyDescent="0.3">
      <c r="AA1505" s="37">
        <v>1485</v>
      </c>
      <c r="AB1505" s="37">
        <v>1.7950935852134449</v>
      </c>
      <c r="AC1505" s="37">
        <v>2.9074259127464166</v>
      </c>
      <c r="AD1505" s="37">
        <v>3.2589753285806888</v>
      </c>
    </row>
    <row r="1506" spans="27:30" x14ac:dyDescent="0.3">
      <c r="AA1506" s="37">
        <v>1486</v>
      </c>
      <c r="AB1506" s="37">
        <v>1.6953115763232811</v>
      </c>
      <c r="AC1506" s="37">
        <v>2.9405123100225996</v>
      </c>
      <c r="AD1506" s="37">
        <v>3.257651932844456</v>
      </c>
    </row>
    <row r="1507" spans="27:30" x14ac:dyDescent="0.3">
      <c r="AA1507" s="37">
        <v>1487</v>
      </c>
      <c r="AB1507" s="37">
        <v>1.932164539100746</v>
      </c>
      <c r="AC1507" s="37">
        <v>2.8326806583872282</v>
      </c>
      <c r="AD1507" s="37">
        <v>3.2604481333929831</v>
      </c>
    </row>
    <row r="1508" spans="27:30" x14ac:dyDescent="0.3">
      <c r="AA1508" s="37">
        <v>1488</v>
      </c>
      <c r="AB1508" s="37">
        <v>1.7189443652699841</v>
      </c>
      <c r="AC1508" s="37">
        <v>2.8843752484996443</v>
      </c>
      <c r="AD1508" s="37">
        <v>3.4752743530352532</v>
      </c>
    </row>
    <row r="1509" spans="27:30" x14ac:dyDescent="0.3">
      <c r="AA1509" s="37">
        <v>1489</v>
      </c>
      <c r="AB1509" s="37">
        <v>1.845789613504444</v>
      </c>
      <c r="AC1509" s="37">
        <v>2.9082761876062131</v>
      </c>
      <c r="AD1509" s="37">
        <v>3.3110379733059965</v>
      </c>
    </row>
    <row r="1510" spans="27:30" x14ac:dyDescent="0.3">
      <c r="AA1510" s="37">
        <v>1490</v>
      </c>
      <c r="AB1510" s="37">
        <v>1.7533498849299589</v>
      </c>
      <c r="AC1510" s="37">
        <v>2.7118575196841528</v>
      </c>
      <c r="AD1510" s="37">
        <v>3.3309412046932749</v>
      </c>
    </row>
    <row r="1511" spans="27:30" x14ac:dyDescent="0.3">
      <c r="AA1511" s="37">
        <v>1491</v>
      </c>
      <c r="AB1511" s="37">
        <v>1.7797098953822112</v>
      </c>
      <c r="AC1511" s="37">
        <v>2.7508946125922811</v>
      </c>
      <c r="AD1511" s="37">
        <v>3.1846336067284597</v>
      </c>
    </row>
    <row r="1512" spans="27:30" x14ac:dyDescent="0.3">
      <c r="AA1512" s="37">
        <v>1492</v>
      </c>
      <c r="AB1512" s="37">
        <v>1.7953928302371749</v>
      </c>
      <c r="AC1512" s="37">
        <v>2.6496193688821745</v>
      </c>
      <c r="AD1512" s="37">
        <v>3.4807269288626244</v>
      </c>
    </row>
    <row r="1513" spans="27:30" x14ac:dyDescent="0.3">
      <c r="AA1513" s="37">
        <v>1493</v>
      </c>
      <c r="AB1513" s="37">
        <v>1.8033471144967803</v>
      </c>
      <c r="AC1513" s="37">
        <v>2.8485915076416726</v>
      </c>
      <c r="AD1513" s="37">
        <v>3.2782357140688996</v>
      </c>
    </row>
    <row r="1514" spans="27:30" x14ac:dyDescent="0.3">
      <c r="AA1514" s="37">
        <v>1494</v>
      </c>
      <c r="AB1514" s="37">
        <v>1.7569668696265037</v>
      </c>
      <c r="AC1514" s="37">
        <v>2.723959380760848</v>
      </c>
      <c r="AD1514" s="37">
        <v>3.3899722627331288</v>
      </c>
    </row>
    <row r="1515" spans="27:30" x14ac:dyDescent="0.3">
      <c r="AA1515" s="37">
        <v>1495</v>
      </c>
      <c r="AB1515" s="37">
        <v>1.8424819068591021</v>
      </c>
      <c r="AC1515" s="37">
        <v>2.6990737200602477</v>
      </c>
      <c r="AD1515" s="37">
        <v>3.3636195754014917</v>
      </c>
    </row>
    <row r="1516" spans="27:30" x14ac:dyDescent="0.3">
      <c r="AA1516" s="37">
        <v>1496</v>
      </c>
      <c r="AB1516" s="37">
        <v>1.8316836488243047</v>
      </c>
      <c r="AC1516" s="37">
        <v>2.8327736362551601</v>
      </c>
      <c r="AD1516" s="37">
        <v>3.3032646867193769</v>
      </c>
    </row>
    <row r="1517" spans="27:30" x14ac:dyDescent="0.3">
      <c r="AA1517" s="37">
        <v>1497</v>
      </c>
      <c r="AB1517" s="37">
        <v>1.7940788246039197</v>
      </c>
      <c r="AC1517" s="37">
        <v>2.67656912542523</v>
      </c>
      <c r="AD1517" s="37">
        <v>3.3353701027142666</v>
      </c>
    </row>
    <row r="1518" spans="27:30" x14ac:dyDescent="0.3">
      <c r="AA1518" s="37">
        <v>1498</v>
      </c>
      <c r="AB1518" s="37">
        <v>1.7414479450766562</v>
      </c>
      <c r="AC1518" s="37">
        <v>2.8577345595910777</v>
      </c>
      <c r="AD1518" s="37">
        <v>3.3728548435406411</v>
      </c>
    </row>
    <row r="1519" spans="27:30" x14ac:dyDescent="0.3">
      <c r="AA1519" s="37">
        <v>1499</v>
      </c>
      <c r="AB1519" s="37">
        <v>1.7620051118687408</v>
      </c>
      <c r="AC1519" s="37">
        <v>2.9919293917021133</v>
      </c>
      <c r="AD1519" s="37">
        <v>3.1644128537918959</v>
      </c>
    </row>
    <row r="1520" spans="27:30" x14ac:dyDescent="0.3">
      <c r="AA1520" s="37">
        <v>1500</v>
      </c>
      <c r="AB1520" s="37">
        <v>1.6707820619943248</v>
      </c>
      <c r="AC1520" s="37">
        <v>2.8642771605083204</v>
      </c>
      <c r="AD1520" s="37">
        <v>3.1646785406556859</v>
      </c>
    </row>
    <row r="1521" spans="27:30" x14ac:dyDescent="0.3">
      <c r="AA1521" s="37">
        <v>1501</v>
      </c>
      <c r="AB1521" s="37">
        <v>1.7619540543160088</v>
      </c>
      <c r="AC1521" s="37">
        <v>2.8567612428034606</v>
      </c>
      <c r="AD1521" s="37">
        <v>3.3509978441608528</v>
      </c>
    </row>
    <row r="1522" spans="27:30" x14ac:dyDescent="0.3">
      <c r="AA1522" s="37">
        <v>1502</v>
      </c>
      <c r="AB1522" s="37">
        <v>1.780361113109711</v>
      </c>
      <c r="AC1522" s="37">
        <v>2.740619038213981</v>
      </c>
      <c r="AD1522" s="37">
        <v>3.2211633150464216</v>
      </c>
    </row>
    <row r="1523" spans="27:30" x14ac:dyDescent="0.3">
      <c r="AA1523" s="37">
        <v>1503</v>
      </c>
      <c r="AB1523" s="37">
        <v>1.8342065534022693</v>
      </c>
      <c r="AC1523" s="37">
        <v>2.9154227352726023</v>
      </c>
      <c r="AD1523" s="37">
        <v>3.5979084441339655</v>
      </c>
    </row>
    <row r="1524" spans="27:30" x14ac:dyDescent="0.3">
      <c r="AA1524" s="37">
        <v>1504</v>
      </c>
      <c r="AB1524" s="37">
        <v>1.8147062033429073</v>
      </c>
      <c r="AC1524" s="37">
        <v>2.9635271079722756</v>
      </c>
      <c r="AD1524" s="37">
        <v>3.2944981695437727</v>
      </c>
    </row>
    <row r="1525" spans="27:30" x14ac:dyDescent="0.3">
      <c r="AA1525" s="37">
        <v>1505</v>
      </c>
      <c r="AB1525" s="37">
        <v>1.7881335995413081</v>
      </c>
      <c r="AC1525" s="37">
        <v>2.9236783164696787</v>
      </c>
      <c r="AD1525" s="37">
        <v>3.1316805684604399</v>
      </c>
    </row>
    <row r="1526" spans="27:30" x14ac:dyDescent="0.3">
      <c r="AA1526" s="37">
        <v>1506</v>
      </c>
      <c r="AB1526" s="37">
        <v>1.8382391716401167</v>
      </c>
      <c r="AC1526" s="37">
        <v>2.7822630930516019</v>
      </c>
      <c r="AD1526" s="37">
        <v>3.0709648120439921</v>
      </c>
    </row>
    <row r="1527" spans="27:30" x14ac:dyDescent="0.3">
      <c r="AA1527" s="37">
        <v>1507</v>
      </c>
      <c r="AB1527" s="37">
        <v>1.760405892448154</v>
      </c>
      <c r="AC1527" s="37">
        <v>2.9494112847826486</v>
      </c>
      <c r="AD1527" s="37">
        <v>3.4076698017343854</v>
      </c>
    </row>
    <row r="1528" spans="27:30" x14ac:dyDescent="0.3">
      <c r="AA1528" s="37">
        <v>1508</v>
      </c>
      <c r="AB1528" s="37">
        <v>1.8410112701052908</v>
      </c>
      <c r="AC1528" s="37">
        <v>2.7875581322935785</v>
      </c>
      <c r="AD1528" s="37">
        <v>3.1731572620903119</v>
      </c>
    </row>
    <row r="1529" spans="27:30" x14ac:dyDescent="0.3">
      <c r="AA1529" s="37">
        <v>1509</v>
      </c>
      <c r="AB1529" s="37">
        <v>1.7744726337041208</v>
      </c>
      <c r="AC1529" s="37">
        <v>2.9673536188382892</v>
      </c>
      <c r="AD1529" s="37">
        <v>3.2637886665237335</v>
      </c>
    </row>
    <row r="1530" spans="27:30" x14ac:dyDescent="0.3">
      <c r="AA1530" s="37">
        <v>1510</v>
      </c>
      <c r="AB1530" s="37">
        <v>1.9086640258561913</v>
      </c>
      <c r="AC1530" s="37">
        <v>2.9414574083987972</v>
      </c>
      <c r="AD1530" s="37">
        <v>3.2807425023234718</v>
      </c>
    </row>
    <row r="1531" spans="27:30" x14ac:dyDescent="0.3">
      <c r="AA1531" s="37">
        <v>1511</v>
      </c>
      <c r="AB1531" s="37">
        <v>1.7605723650486027</v>
      </c>
      <c r="AC1531" s="37">
        <v>2.8321209043469975</v>
      </c>
      <c r="AD1531" s="37">
        <v>3.3851312052715938</v>
      </c>
    </row>
    <row r="1532" spans="27:30" x14ac:dyDescent="0.3">
      <c r="AA1532" s="37">
        <v>1512</v>
      </c>
      <c r="AB1532" s="37">
        <v>1.88282295509943</v>
      </c>
      <c r="AC1532" s="37">
        <v>2.8088095417741363</v>
      </c>
      <c r="AD1532" s="37">
        <v>3.2881714153260906</v>
      </c>
    </row>
    <row r="1533" spans="27:30" x14ac:dyDescent="0.3">
      <c r="AA1533" s="37">
        <v>1513</v>
      </c>
      <c r="AB1533" s="37">
        <v>1.7595848665037848</v>
      </c>
      <c r="AC1533" s="37">
        <v>2.7012063212144279</v>
      </c>
      <c r="AD1533" s="37">
        <v>3.1078564296904343</v>
      </c>
    </row>
    <row r="1534" spans="27:30" x14ac:dyDescent="0.3">
      <c r="AA1534" s="37">
        <v>1514</v>
      </c>
      <c r="AB1534" s="37">
        <v>1.821845951121726</v>
      </c>
      <c r="AC1534" s="37">
        <v>2.8520090262417237</v>
      </c>
      <c r="AD1534" s="37">
        <v>3.3860475927741693</v>
      </c>
    </row>
    <row r="1535" spans="27:30" x14ac:dyDescent="0.3">
      <c r="AA1535" s="37">
        <v>1515</v>
      </c>
      <c r="AB1535" s="37">
        <v>1.5813986553976072</v>
      </c>
      <c r="AC1535" s="37">
        <v>2.905128620810562</v>
      </c>
      <c r="AD1535" s="37">
        <v>3.2642035707443773</v>
      </c>
    </row>
    <row r="1536" spans="27:30" x14ac:dyDescent="0.3">
      <c r="AA1536" s="37">
        <v>1516</v>
      </c>
      <c r="AB1536" s="37">
        <v>1.780835854641073</v>
      </c>
      <c r="AC1536" s="37">
        <v>2.846312424845733</v>
      </c>
      <c r="AD1536" s="37">
        <v>3.5032538872002226</v>
      </c>
    </row>
    <row r="1537" spans="27:30" x14ac:dyDescent="0.3">
      <c r="AA1537" s="37">
        <v>1517</v>
      </c>
      <c r="AB1537" s="37">
        <v>1.7863093019589096</v>
      </c>
      <c r="AC1537" s="37">
        <v>2.8696888805867373</v>
      </c>
      <c r="AD1537" s="37">
        <v>3.3498675440029126</v>
      </c>
    </row>
    <row r="1538" spans="27:30" x14ac:dyDescent="0.3">
      <c r="AA1538" s="37">
        <v>1518</v>
      </c>
      <c r="AB1538" s="37">
        <v>1.7730005442735763</v>
      </c>
      <c r="AC1538" s="37">
        <v>2.8582738583113079</v>
      </c>
      <c r="AD1538" s="37">
        <v>3.3527893261731188</v>
      </c>
    </row>
    <row r="1539" spans="27:30" x14ac:dyDescent="0.3">
      <c r="AA1539" s="37">
        <v>1519</v>
      </c>
      <c r="AB1539" s="37">
        <v>1.7848757020954971</v>
      </c>
      <c r="AC1539" s="37">
        <v>2.9398058690545565</v>
      </c>
      <c r="AD1539" s="37">
        <v>3.359140479370371</v>
      </c>
    </row>
    <row r="1540" spans="27:30" x14ac:dyDescent="0.3">
      <c r="AA1540" s="37">
        <v>1520</v>
      </c>
      <c r="AB1540" s="37">
        <v>1.7768484062708119</v>
      </c>
      <c r="AC1540" s="37">
        <v>2.9098203055991361</v>
      </c>
      <c r="AD1540" s="37">
        <v>3.4307587200503891</v>
      </c>
    </row>
    <row r="1541" spans="27:30" x14ac:dyDescent="0.3">
      <c r="AA1541" s="37">
        <v>1521</v>
      </c>
      <c r="AB1541" s="37">
        <v>1.7840601560681306</v>
      </c>
      <c r="AC1541" s="37">
        <v>2.8410900948967703</v>
      </c>
      <c r="AD1541" s="37">
        <v>3.184842007884757</v>
      </c>
    </row>
    <row r="1542" spans="27:30" x14ac:dyDescent="0.3">
      <c r="AA1542" s="37">
        <v>1522</v>
      </c>
      <c r="AB1542" s="37">
        <v>1.7990164418668138</v>
      </c>
      <c r="AC1542" s="37">
        <v>2.7477607225945104</v>
      </c>
      <c r="AD1542" s="37">
        <v>3.3373352733595874</v>
      </c>
    </row>
    <row r="1543" spans="27:30" x14ac:dyDescent="0.3">
      <c r="AA1543" s="37">
        <v>1523</v>
      </c>
      <c r="AB1543" s="37">
        <v>1.7418886949938623</v>
      </c>
      <c r="AC1543" s="37">
        <v>2.9319328995800409</v>
      </c>
      <c r="AD1543" s="37">
        <v>3.481221609665706</v>
      </c>
    </row>
    <row r="1544" spans="27:30" x14ac:dyDescent="0.3">
      <c r="AA1544" s="37">
        <v>1524</v>
      </c>
      <c r="AB1544" s="37">
        <v>1.7581253435059023</v>
      </c>
      <c r="AC1544" s="37">
        <v>2.7557996039820267</v>
      </c>
      <c r="AD1544" s="37">
        <v>3.5460626920588032</v>
      </c>
    </row>
    <row r="1545" spans="27:30" x14ac:dyDescent="0.3">
      <c r="AA1545" s="37">
        <v>1525</v>
      </c>
      <c r="AB1545" s="37">
        <v>1.7858443339323316</v>
      </c>
      <c r="AC1545" s="37">
        <v>2.9944763559158285</v>
      </c>
      <c r="AD1545" s="37">
        <v>3.3486577324563966</v>
      </c>
    </row>
    <row r="1546" spans="27:30" x14ac:dyDescent="0.3">
      <c r="AA1546" s="37">
        <v>1526</v>
      </c>
      <c r="AB1546" s="37">
        <v>1.7518884237761141</v>
      </c>
      <c r="AC1546" s="37">
        <v>2.8871012491730181</v>
      </c>
      <c r="AD1546" s="37">
        <v>3.2858073588232326</v>
      </c>
    </row>
    <row r="1547" spans="27:30" x14ac:dyDescent="0.3">
      <c r="AA1547" s="37">
        <v>1527</v>
      </c>
      <c r="AB1547" s="37">
        <v>1.8867096344996899</v>
      </c>
      <c r="AC1547" s="37">
        <v>2.7684885919393749</v>
      </c>
      <c r="AD1547" s="37">
        <v>3.4064998602264747</v>
      </c>
    </row>
    <row r="1548" spans="27:30" x14ac:dyDescent="0.3">
      <c r="AA1548" s="37">
        <v>1528</v>
      </c>
      <c r="AB1548" s="37">
        <v>1.8546761785526895</v>
      </c>
      <c r="AC1548" s="37">
        <v>2.7993514432382778</v>
      </c>
      <c r="AD1548" s="37">
        <v>3.5208203510314475</v>
      </c>
    </row>
    <row r="1549" spans="27:30" x14ac:dyDescent="0.3">
      <c r="AA1549" s="37">
        <v>1529</v>
      </c>
      <c r="AB1549" s="37">
        <v>1.7692743812721801</v>
      </c>
      <c r="AC1549" s="37">
        <v>2.8916735769842941</v>
      </c>
      <c r="AD1549" s="37">
        <v>3.1999727557717237</v>
      </c>
    </row>
    <row r="1550" spans="27:30" x14ac:dyDescent="0.3">
      <c r="AA1550" s="37">
        <v>1530</v>
      </c>
      <c r="AB1550" s="37">
        <v>2.0047263747527326</v>
      </c>
      <c r="AC1550" s="37">
        <v>2.9428894224567608</v>
      </c>
      <c r="AD1550" s="37">
        <v>3.2654388717043474</v>
      </c>
    </row>
    <row r="1551" spans="27:30" x14ac:dyDescent="0.3">
      <c r="AA1551" s="37">
        <v>1531</v>
      </c>
      <c r="AB1551" s="37">
        <v>1.8364671991821826</v>
      </c>
      <c r="AC1551" s="37">
        <v>2.8546661392979833</v>
      </c>
      <c r="AD1551" s="37">
        <v>3.0055795731930668</v>
      </c>
    </row>
    <row r="1552" spans="27:30" x14ac:dyDescent="0.3">
      <c r="AA1552" s="37">
        <v>1532</v>
      </c>
      <c r="AB1552" s="37">
        <v>1.7799563118209121</v>
      </c>
      <c r="AC1552" s="37">
        <v>3.0205898665240096</v>
      </c>
      <c r="AD1552" s="37">
        <v>3.3305982183769234</v>
      </c>
    </row>
    <row r="1553" spans="27:30" x14ac:dyDescent="0.3">
      <c r="AA1553" s="37">
        <v>1533</v>
      </c>
      <c r="AB1553" s="37">
        <v>1.7939133996640226</v>
      </c>
      <c r="AC1553" s="37">
        <v>2.6743638713398132</v>
      </c>
      <c r="AD1553" s="37">
        <v>3.2854053612569816</v>
      </c>
    </row>
    <row r="1554" spans="27:30" x14ac:dyDescent="0.3">
      <c r="AA1554" s="37">
        <v>1534</v>
      </c>
      <c r="AB1554" s="37">
        <v>1.783721030230073</v>
      </c>
      <c r="AC1554" s="37">
        <v>2.9133715873584549</v>
      </c>
      <c r="AD1554" s="37">
        <v>3.4086333291654443</v>
      </c>
    </row>
    <row r="1555" spans="27:30" x14ac:dyDescent="0.3">
      <c r="AA1555" s="37">
        <v>1535</v>
      </c>
      <c r="AB1555" s="37">
        <v>1.7650367432119194</v>
      </c>
      <c r="AC1555" s="37">
        <v>3.0444375867087232</v>
      </c>
      <c r="AD1555" s="37">
        <v>3.2987001814230408</v>
      </c>
    </row>
    <row r="1556" spans="27:30" x14ac:dyDescent="0.3">
      <c r="AA1556" s="37">
        <v>1536</v>
      </c>
      <c r="AB1556" s="37">
        <v>1.7053439951541183</v>
      </c>
      <c r="AC1556" s="37">
        <v>2.8606146557002332</v>
      </c>
      <c r="AD1556" s="37">
        <v>3.391865775858907</v>
      </c>
    </row>
    <row r="1557" spans="27:30" x14ac:dyDescent="0.3">
      <c r="AA1557" s="37">
        <v>1537</v>
      </c>
      <c r="AB1557" s="37">
        <v>1.5919769484446677</v>
      </c>
      <c r="AC1557" s="37">
        <v>2.9590736200998444</v>
      </c>
      <c r="AD1557" s="37">
        <v>3.2983608242848077</v>
      </c>
    </row>
    <row r="1558" spans="27:30" x14ac:dyDescent="0.3">
      <c r="AA1558" s="37">
        <v>1538</v>
      </c>
      <c r="AB1558" s="37">
        <v>1.8167300198153349</v>
      </c>
      <c r="AC1558" s="37">
        <v>2.6939131113725878</v>
      </c>
      <c r="AD1558" s="37">
        <v>3.3298647896751885</v>
      </c>
    </row>
    <row r="1559" spans="27:30" x14ac:dyDescent="0.3">
      <c r="AA1559" s="37">
        <v>1539</v>
      </c>
      <c r="AB1559" s="37">
        <v>1.8025725296003321</v>
      </c>
      <c r="AC1559" s="37">
        <v>2.9175078223157893</v>
      </c>
      <c r="AD1559" s="37">
        <v>3.4832838880224415</v>
      </c>
    </row>
    <row r="1560" spans="27:30" x14ac:dyDescent="0.3">
      <c r="AA1560" s="37">
        <v>1540</v>
      </c>
      <c r="AB1560" s="37">
        <v>1.763191450773361</v>
      </c>
      <c r="AC1560" s="37">
        <v>2.6657793350054018</v>
      </c>
      <c r="AD1560" s="37">
        <v>3.0524705775289251</v>
      </c>
    </row>
    <row r="1561" spans="27:30" x14ac:dyDescent="0.3">
      <c r="AA1561" s="37">
        <v>1541</v>
      </c>
      <c r="AB1561" s="37">
        <v>1.8158602887207933</v>
      </c>
      <c r="AC1561" s="37">
        <v>2.7960256933285903</v>
      </c>
      <c r="AD1561" s="37">
        <v>3.2262429329581042</v>
      </c>
    </row>
    <row r="1562" spans="27:30" x14ac:dyDescent="0.3">
      <c r="AA1562" s="37">
        <v>1542</v>
      </c>
      <c r="AB1562" s="37">
        <v>1.8289801941974526</v>
      </c>
      <c r="AC1562" s="37">
        <v>2.7568992601403606</v>
      </c>
      <c r="AD1562" s="37">
        <v>3.2023843808118477</v>
      </c>
    </row>
    <row r="1563" spans="27:30" x14ac:dyDescent="0.3">
      <c r="AA1563" s="37">
        <v>1543</v>
      </c>
      <c r="AB1563" s="37">
        <v>1.8039869150977443</v>
      </c>
      <c r="AC1563" s="37">
        <v>2.5667861230702296</v>
      </c>
      <c r="AD1563" s="37">
        <v>3.3726662271306922</v>
      </c>
    </row>
    <row r="1564" spans="27:30" x14ac:dyDescent="0.3">
      <c r="AA1564" s="37">
        <v>1544</v>
      </c>
      <c r="AB1564" s="37">
        <v>1.8789763328908133</v>
      </c>
      <c r="AC1564" s="37">
        <v>2.823181761673764</v>
      </c>
      <c r="AD1564" s="37">
        <v>3.3363748981195274</v>
      </c>
    </row>
    <row r="1565" spans="27:30" x14ac:dyDescent="0.3">
      <c r="AA1565" s="37">
        <v>1545</v>
      </c>
      <c r="AB1565" s="37">
        <v>1.9288474428823159</v>
      </c>
      <c r="AC1565" s="37">
        <v>2.7576481069401355</v>
      </c>
      <c r="AD1565" s="37">
        <v>3.2852884173019645</v>
      </c>
    </row>
    <row r="1566" spans="27:30" x14ac:dyDescent="0.3">
      <c r="AA1566" s="37">
        <v>1546</v>
      </c>
      <c r="AB1566" s="37">
        <v>1.7963417278872262</v>
      </c>
      <c r="AC1566" s="37">
        <v>2.8820213433151833</v>
      </c>
      <c r="AD1566" s="37">
        <v>3.1464176706507292</v>
      </c>
    </row>
    <row r="1567" spans="27:30" x14ac:dyDescent="0.3">
      <c r="AA1567" s="37">
        <v>1547</v>
      </c>
      <c r="AB1567" s="37">
        <v>1.8115422038446658</v>
      </c>
      <c r="AC1567" s="37">
        <v>2.7185317451178217</v>
      </c>
      <c r="AD1567" s="37">
        <v>3.2328604805821985</v>
      </c>
    </row>
    <row r="1568" spans="27:30" x14ac:dyDescent="0.3">
      <c r="AA1568" s="37">
        <v>1548</v>
      </c>
      <c r="AB1568" s="37">
        <v>1.7922124848408607</v>
      </c>
      <c r="AC1568" s="37">
        <v>2.7327149231802492</v>
      </c>
      <c r="AD1568" s="37">
        <v>3.5052131625951866</v>
      </c>
    </row>
    <row r="1569" spans="27:30" x14ac:dyDescent="0.3">
      <c r="AA1569" s="37">
        <v>1549</v>
      </c>
      <c r="AB1569" s="37">
        <v>1.803793875466833</v>
      </c>
      <c r="AC1569" s="37">
        <v>2.8018223927185715</v>
      </c>
      <c r="AD1569" s="37">
        <v>3.4500496217655909</v>
      </c>
    </row>
    <row r="1570" spans="27:30" x14ac:dyDescent="0.3">
      <c r="AA1570" s="37">
        <v>1550</v>
      </c>
      <c r="AB1570" s="37">
        <v>1.8135486395177456</v>
      </c>
      <c r="AC1570" s="37">
        <v>2.6671969356351632</v>
      </c>
      <c r="AD1570" s="37">
        <v>3.2035074925845457</v>
      </c>
    </row>
    <row r="1571" spans="27:30" x14ac:dyDescent="0.3">
      <c r="AA1571" s="37">
        <v>1551</v>
      </c>
      <c r="AB1571" s="37">
        <v>1.6862639246714757</v>
      </c>
      <c r="AC1571" s="37">
        <v>2.8104206230456743</v>
      </c>
      <c r="AD1571" s="37">
        <v>3.4336494268966864</v>
      </c>
    </row>
    <row r="1572" spans="27:30" x14ac:dyDescent="0.3">
      <c r="AA1572" s="37">
        <v>1552</v>
      </c>
      <c r="AB1572" s="37">
        <v>1.8825424395495307</v>
      </c>
      <c r="AC1572" s="37">
        <v>2.7636849587211345</v>
      </c>
      <c r="AD1572" s="37">
        <v>3.1708402932845785</v>
      </c>
    </row>
    <row r="1573" spans="27:30" x14ac:dyDescent="0.3">
      <c r="AA1573" s="37">
        <v>1553</v>
      </c>
      <c r="AB1573" s="37">
        <v>1.8352292908433974</v>
      </c>
      <c r="AC1573" s="37">
        <v>2.9306736003910183</v>
      </c>
      <c r="AD1573" s="37">
        <v>3.2642249784610726</v>
      </c>
    </row>
    <row r="1574" spans="27:30" x14ac:dyDescent="0.3">
      <c r="AA1574" s="37">
        <v>1554</v>
      </c>
      <c r="AB1574" s="37">
        <v>1.7695430032759258</v>
      </c>
      <c r="AC1574" s="37">
        <v>2.7358257932168812</v>
      </c>
      <c r="AD1574" s="37">
        <v>3.520122518186076</v>
      </c>
    </row>
    <row r="1575" spans="27:30" x14ac:dyDescent="0.3">
      <c r="AA1575" s="37">
        <v>1555</v>
      </c>
      <c r="AB1575" s="37">
        <v>1.7380100152148876</v>
      </c>
      <c r="AC1575" s="37">
        <v>2.7894067062145749</v>
      </c>
      <c r="AD1575" s="37">
        <v>3.3575036144655215</v>
      </c>
    </row>
    <row r="1576" spans="27:30" x14ac:dyDescent="0.3">
      <c r="AA1576" s="37">
        <v>1556</v>
      </c>
      <c r="AB1576" s="37">
        <v>1.7883072895208638</v>
      </c>
      <c r="AC1576" s="37">
        <v>2.7473329046853814</v>
      </c>
      <c r="AD1576" s="37">
        <v>3.4692729229360761</v>
      </c>
    </row>
    <row r="1577" spans="27:30" x14ac:dyDescent="0.3">
      <c r="AA1577" s="37">
        <v>1557</v>
      </c>
      <c r="AB1577" s="37">
        <v>1.7836814744598879</v>
      </c>
      <c r="AC1577" s="37">
        <v>2.7419951466608681</v>
      </c>
      <c r="AD1577" s="37">
        <v>3.3852728076605962</v>
      </c>
    </row>
    <row r="1578" spans="27:30" x14ac:dyDescent="0.3">
      <c r="AA1578" s="37">
        <v>1558</v>
      </c>
      <c r="AB1578" s="37">
        <v>1.8238834383420011</v>
      </c>
      <c r="AC1578" s="37">
        <v>2.9425604429481593</v>
      </c>
      <c r="AD1578" s="37">
        <v>3.3576619988979792</v>
      </c>
    </row>
    <row r="1579" spans="27:30" x14ac:dyDescent="0.3">
      <c r="AA1579" s="37">
        <v>1559</v>
      </c>
      <c r="AB1579" s="37">
        <v>1.8050716797451414</v>
      </c>
      <c r="AC1579" s="37">
        <v>2.755640308227302</v>
      </c>
      <c r="AD1579" s="37">
        <v>3.2448589808002661</v>
      </c>
    </row>
    <row r="1580" spans="27:30" x14ac:dyDescent="0.3">
      <c r="AA1580" s="37">
        <v>1560</v>
      </c>
      <c r="AB1580" s="37">
        <v>1.8048850801568923</v>
      </c>
      <c r="AC1580" s="37">
        <v>3.0617035940836725</v>
      </c>
      <c r="AD1580" s="37">
        <v>3.3702143357645982</v>
      </c>
    </row>
    <row r="1581" spans="27:30" x14ac:dyDescent="0.3">
      <c r="AA1581" s="37">
        <v>1561</v>
      </c>
      <c r="AB1581" s="37">
        <v>1.7674415911508261</v>
      </c>
      <c r="AC1581" s="37">
        <v>2.9767634926205204</v>
      </c>
      <c r="AD1581" s="37">
        <v>3.2219816929045653</v>
      </c>
    </row>
    <row r="1582" spans="27:30" x14ac:dyDescent="0.3">
      <c r="AA1582" s="37">
        <v>1562</v>
      </c>
      <c r="AB1582" s="37">
        <v>1.754092919659122</v>
      </c>
      <c r="AC1582" s="37">
        <v>2.7251235708175336</v>
      </c>
      <c r="AD1582" s="37">
        <v>3.4470688150667752</v>
      </c>
    </row>
    <row r="1583" spans="27:30" x14ac:dyDescent="0.3">
      <c r="AA1583" s="37">
        <v>1563</v>
      </c>
      <c r="AB1583" s="37">
        <v>1.761105284953113</v>
      </c>
      <c r="AC1583" s="37">
        <v>2.923085283518148</v>
      </c>
      <c r="AD1583" s="37">
        <v>3.3502490773134541</v>
      </c>
    </row>
    <row r="1584" spans="27:30" x14ac:dyDescent="0.3">
      <c r="AA1584" s="37">
        <v>1564</v>
      </c>
      <c r="AB1584" s="37">
        <v>1.7879398375062248</v>
      </c>
      <c r="AC1584" s="37">
        <v>3.064180261419776</v>
      </c>
      <c r="AD1584" s="37">
        <v>3.2155326496455525</v>
      </c>
    </row>
    <row r="1585" spans="27:30" x14ac:dyDescent="0.3">
      <c r="AA1585" s="37">
        <v>1565</v>
      </c>
      <c r="AB1585" s="37">
        <v>1.6712171114827667</v>
      </c>
      <c r="AC1585" s="37">
        <v>2.8176466511105658</v>
      </c>
      <c r="AD1585" s="37">
        <v>3.375353056591949</v>
      </c>
    </row>
    <row r="1586" spans="27:30" x14ac:dyDescent="0.3">
      <c r="AA1586" s="37">
        <v>1566</v>
      </c>
      <c r="AB1586" s="37">
        <v>1.7313680809262983</v>
      </c>
      <c r="AC1586" s="37">
        <v>2.834164748362515</v>
      </c>
      <c r="AD1586" s="37">
        <v>3.6128074848845451</v>
      </c>
    </row>
    <row r="1587" spans="27:30" x14ac:dyDescent="0.3">
      <c r="AA1587" s="37">
        <v>1567</v>
      </c>
      <c r="AB1587" s="37">
        <v>1.738286571958976</v>
      </c>
      <c r="AC1587" s="37">
        <v>2.8441731098586116</v>
      </c>
      <c r="AD1587" s="37">
        <v>3.3742294731104043</v>
      </c>
    </row>
    <row r="1588" spans="27:30" x14ac:dyDescent="0.3">
      <c r="AA1588" s="37">
        <v>1568</v>
      </c>
      <c r="AB1588" s="37">
        <v>1.8116974204738481</v>
      </c>
      <c r="AC1588" s="37">
        <v>2.7601037032275832</v>
      </c>
      <c r="AD1588" s="37">
        <v>3.3068109804436951</v>
      </c>
    </row>
    <row r="1589" spans="27:30" x14ac:dyDescent="0.3">
      <c r="AA1589" s="37">
        <v>1569</v>
      </c>
      <c r="AB1589" s="37">
        <v>1.8251772771517698</v>
      </c>
      <c r="AC1589" s="37">
        <v>2.7307803893057976</v>
      </c>
      <c r="AD1589" s="37">
        <v>3.3325612612725126</v>
      </c>
    </row>
    <row r="1590" spans="27:30" x14ac:dyDescent="0.3">
      <c r="AA1590" s="37">
        <v>1570</v>
      </c>
      <c r="AB1590" s="37">
        <v>1.7039017362729378</v>
      </c>
      <c r="AC1590" s="37">
        <v>2.7483920377483639</v>
      </c>
      <c r="AD1590" s="37">
        <v>3.3503156945379926</v>
      </c>
    </row>
    <row r="1591" spans="27:30" x14ac:dyDescent="0.3">
      <c r="AA1591" s="37">
        <v>1571</v>
      </c>
      <c r="AB1591" s="37">
        <v>1.7409490928380966</v>
      </c>
      <c r="AC1591" s="37">
        <v>2.7683615385278251</v>
      </c>
      <c r="AD1591" s="37">
        <v>3.4940026622773064</v>
      </c>
    </row>
    <row r="1592" spans="27:30" x14ac:dyDescent="0.3">
      <c r="AA1592" s="37">
        <v>1572</v>
      </c>
      <c r="AB1592" s="37">
        <v>1.8989823828644656</v>
      </c>
      <c r="AC1592" s="37">
        <v>2.8377968194473233</v>
      </c>
      <c r="AD1592" s="37">
        <v>3.4721108587821004</v>
      </c>
    </row>
    <row r="1593" spans="27:30" x14ac:dyDescent="0.3">
      <c r="AA1593" s="37">
        <v>1573</v>
      </c>
      <c r="AB1593" s="37">
        <v>1.8955147388074458</v>
      </c>
      <c r="AC1593" s="37">
        <v>2.8591098714774925</v>
      </c>
      <c r="AD1593" s="37">
        <v>3.3901369939211814</v>
      </c>
    </row>
    <row r="1594" spans="27:30" x14ac:dyDescent="0.3">
      <c r="AA1594" s="37">
        <v>1574</v>
      </c>
      <c r="AB1594" s="37">
        <v>1.7988896207576472</v>
      </c>
      <c r="AC1594" s="37">
        <v>3.0267982791823962</v>
      </c>
      <c r="AD1594" s="37">
        <v>3.4312353058000005</v>
      </c>
    </row>
    <row r="1595" spans="27:30" x14ac:dyDescent="0.3">
      <c r="AA1595" s="37">
        <v>1575</v>
      </c>
      <c r="AB1595" s="37">
        <v>1.7113934827125299</v>
      </c>
      <c r="AC1595" s="37">
        <v>2.8279140869374824</v>
      </c>
      <c r="AD1595" s="37">
        <v>3.4763740689111167</v>
      </c>
    </row>
    <row r="1596" spans="27:30" x14ac:dyDescent="0.3">
      <c r="AA1596" s="37">
        <v>1576</v>
      </c>
      <c r="AB1596" s="37">
        <v>1.7295430998514636</v>
      </c>
      <c r="AC1596" s="37">
        <v>2.7670672683173825</v>
      </c>
      <c r="AD1596" s="37">
        <v>3.3890498409147383</v>
      </c>
    </row>
    <row r="1597" spans="27:30" x14ac:dyDescent="0.3">
      <c r="AA1597" s="37">
        <v>1577</v>
      </c>
      <c r="AB1597" s="37">
        <v>1.76953011950052</v>
      </c>
      <c r="AC1597" s="37">
        <v>2.894502505664164</v>
      </c>
      <c r="AD1597" s="37">
        <v>3.3644615065797829</v>
      </c>
    </row>
    <row r="1598" spans="27:30" x14ac:dyDescent="0.3">
      <c r="AA1598" s="37">
        <v>1578</v>
      </c>
      <c r="AB1598" s="37">
        <v>1.7152595709078622</v>
      </c>
      <c r="AC1598" s="37">
        <v>2.8481702235745265</v>
      </c>
      <c r="AD1598" s="37">
        <v>3.5267422907744823</v>
      </c>
    </row>
    <row r="1599" spans="27:30" x14ac:dyDescent="0.3">
      <c r="AA1599" s="37">
        <v>1579</v>
      </c>
      <c r="AB1599" s="37">
        <v>1.7918365171182009</v>
      </c>
      <c r="AC1599" s="37">
        <v>3.0487732976960955</v>
      </c>
      <c r="AD1599" s="37">
        <v>3.3129387770802663</v>
      </c>
    </row>
    <row r="1600" spans="27:30" x14ac:dyDescent="0.3">
      <c r="AA1600" s="37">
        <v>1580</v>
      </c>
      <c r="AB1600" s="37">
        <v>1.8306088147286168</v>
      </c>
      <c r="AC1600" s="37">
        <v>2.6030455622665114</v>
      </c>
      <c r="AD1600" s="37">
        <v>3.2808696920360481</v>
      </c>
    </row>
    <row r="1601" spans="27:30" x14ac:dyDescent="0.3">
      <c r="AA1601" s="37">
        <v>1581</v>
      </c>
      <c r="AB1601" s="37">
        <v>1.8232562758812974</v>
      </c>
      <c r="AC1601" s="37">
        <v>2.8224848199057275</v>
      </c>
      <c r="AD1601" s="37">
        <v>3.2324723567425342</v>
      </c>
    </row>
    <row r="1602" spans="27:30" x14ac:dyDescent="0.3">
      <c r="AA1602" s="37">
        <v>1582</v>
      </c>
      <c r="AB1602" s="37">
        <v>1.7979349899386969</v>
      </c>
      <c r="AC1602" s="37">
        <v>2.9206732208974731</v>
      </c>
      <c r="AD1602" s="37">
        <v>3.3998514819596912</v>
      </c>
    </row>
    <row r="1603" spans="27:30" x14ac:dyDescent="0.3">
      <c r="AA1603" s="37">
        <v>1583</v>
      </c>
      <c r="AB1603" s="37">
        <v>1.8768567361545465</v>
      </c>
      <c r="AC1603" s="37">
        <v>2.9418600955132073</v>
      </c>
      <c r="AD1603" s="37">
        <v>3.3876947093265519</v>
      </c>
    </row>
    <row r="1604" spans="27:30" x14ac:dyDescent="0.3">
      <c r="AA1604" s="37">
        <v>1584</v>
      </c>
      <c r="AB1604" s="37">
        <v>1.6199091136118844</v>
      </c>
      <c r="AC1604" s="37">
        <v>3.0369873827315743</v>
      </c>
      <c r="AD1604" s="37">
        <v>3.2124174253713176</v>
      </c>
    </row>
    <row r="1605" spans="27:30" x14ac:dyDescent="0.3">
      <c r="AA1605" s="37">
        <v>1585</v>
      </c>
      <c r="AB1605" s="37">
        <v>1.6183696579513867</v>
      </c>
      <c r="AC1605" s="37">
        <v>2.9049639048857752</v>
      </c>
      <c r="AD1605" s="37">
        <v>3.2764450925458011</v>
      </c>
    </row>
    <row r="1606" spans="27:30" x14ac:dyDescent="0.3">
      <c r="AA1606" s="37">
        <v>1586</v>
      </c>
      <c r="AB1606" s="37">
        <v>1.7866537295385787</v>
      </c>
      <c r="AC1606" s="37">
        <v>2.7865274001185694</v>
      </c>
      <c r="AD1606" s="37">
        <v>3.4368929532083063</v>
      </c>
    </row>
    <row r="1607" spans="27:30" x14ac:dyDescent="0.3">
      <c r="AA1607" s="37">
        <v>1587</v>
      </c>
      <c r="AB1607" s="37">
        <v>1.8263905425990976</v>
      </c>
      <c r="AC1607" s="37">
        <v>2.8380834874989298</v>
      </c>
      <c r="AD1607" s="37">
        <v>3.3969053223533705</v>
      </c>
    </row>
    <row r="1608" spans="27:30" x14ac:dyDescent="0.3">
      <c r="AA1608" s="37">
        <v>1588</v>
      </c>
      <c r="AB1608" s="37">
        <v>1.8793243951419036</v>
      </c>
      <c r="AC1608" s="37">
        <v>2.8509054209962414</v>
      </c>
      <c r="AD1608" s="37">
        <v>3.4236840943628848</v>
      </c>
    </row>
    <row r="1609" spans="27:30" x14ac:dyDescent="0.3">
      <c r="AA1609" s="37">
        <v>1589</v>
      </c>
      <c r="AB1609" s="37">
        <v>1.821268183722492</v>
      </c>
      <c r="AC1609" s="37">
        <v>2.9480573973769837</v>
      </c>
      <c r="AD1609" s="37">
        <v>3.2633236165410788</v>
      </c>
    </row>
    <row r="1610" spans="27:30" x14ac:dyDescent="0.3">
      <c r="AA1610" s="37">
        <v>1590</v>
      </c>
      <c r="AB1610" s="37">
        <v>1.7719072960856312</v>
      </c>
      <c r="AC1610" s="37">
        <v>2.9630571342883125</v>
      </c>
      <c r="AD1610" s="37">
        <v>3.3579044998642882</v>
      </c>
    </row>
    <row r="1611" spans="27:30" x14ac:dyDescent="0.3">
      <c r="AA1611" s="37">
        <v>1591</v>
      </c>
      <c r="AB1611" s="37">
        <v>1.7812217799038779</v>
      </c>
      <c r="AC1611" s="37">
        <v>2.8900017998679339</v>
      </c>
      <c r="AD1611" s="37">
        <v>3.4249358890741997</v>
      </c>
    </row>
    <row r="1612" spans="27:30" x14ac:dyDescent="0.3">
      <c r="AA1612" s="37">
        <v>1592</v>
      </c>
      <c r="AB1612" s="37">
        <v>1.728303148653439</v>
      </c>
      <c r="AC1612" s="37">
        <v>2.6986395695821002</v>
      </c>
      <c r="AD1612" s="37">
        <v>3.2105296937929495</v>
      </c>
    </row>
    <row r="1613" spans="27:30" x14ac:dyDescent="0.3">
      <c r="AA1613" s="37">
        <v>1593</v>
      </c>
      <c r="AB1613" s="37">
        <v>1.8393536057154725</v>
      </c>
      <c r="AC1613" s="37">
        <v>2.7369914019138912</v>
      </c>
      <c r="AD1613" s="37">
        <v>3.2620241643370296</v>
      </c>
    </row>
    <row r="1614" spans="27:30" x14ac:dyDescent="0.3">
      <c r="AA1614" s="37">
        <v>1594</v>
      </c>
      <c r="AB1614" s="37">
        <v>1.8564679880498833</v>
      </c>
      <c r="AC1614" s="37">
        <v>2.9218364561917265</v>
      </c>
      <c r="AD1614" s="37">
        <v>3.3304560575530835</v>
      </c>
    </row>
    <row r="1615" spans="27:30" x14ac:dyDescent="0.3">
      <c r="AA1615" s="37">
        <v>1595</v>
      </c>
      <c r="AB1615" s="37">
        <v>1.7952302838019609</v>
      </c>
      <c r="AC1615" s="37">
        <v>2.8654688545156066</v>
      </c>
      <c r="AD1615" s="37">
        <v>3.3900815444737948</v>
      </c>
    </row>
    <row r="1616" spans="27:30" x14ac:dyDescent="0.3">
      <c r="AA1616" s="37">
        <v>1596</v>
      </c>
      <c r="AB1616" s="37">
        <v>1.7496870520466783</v>
      </c>
      <c r="AC1616" s="37">
        <v>2.6432401679523858</v>
      </c>
      <c r="AD1616" s="37">
        <v>3.440530579899725</v>
      </c>
    </row>
    <row r="1617" spans="27:30" x14ac:dyDescent="0.3">
      <c r="AA1617" s="37">
        <v>1597</v>
      </c>
      <c r="AB1617" s="37">
        <v>1.724795033502071</v>
      </c>
      <c r="AC1617" s="37">
        <v>2.7147830275373703</v>
      </c>
      <c r="AD1617" s="37">
        <v>3.5211097144446639</v>
      </c>
    </row>
    <row r="1618" spans="27:30" x14ac:dyDescent="0.3">
      <c r="AA1618" s="37">
        <v>1598</v>
      </c>
      <c r="AB1618" s="37">
        <v>1.8459515413869063</v>
      </c>
      <c r="AC1618" s="37">
        <v>2.8741770998390472</v>
      </c>
      <c r="AD1618" s="37">
        <v>3.5864765619058723</v>
      </c>
    </row>
    <row r="1619" spans="27:30" x14ac:dyDescent="0.3">
      <c r="AA1619" s="37">
        <v>1599</v>
      </c>
      <c r="AB1619" s="37">
        <v>1.7198698220612489</v>
      </c>
      <c r="AC1619" s="37">
        <v>2.8429489864254909</v>
      </c>
      <c r="AD1619" s="37">
        <v>3.3619489245001213</v>
      </c>
    </row>
    <row r="1620" spans="27:30" x14ac:dyDescent="0.3">
      <c r="AA1620" s="37">
        <v>1600</v>
      </c>
      <c r="AB1620" s="37">
        <v>1.7894067936352474</v>
      </c>
      <c r="AC1620" s="37">
        <v>2.8016402291946867</v>
      </c>
      <c r="AD1620" s="37">
        <v>3.4234553213414074</v>
      </c>
    </row>
    <row r="1621" spans="27:30" x14ac:dyDescent="0.3">
      <c r="AA1621" s="37">
        <v>1601</v>
      </c>
      <c r="AB1621" s="37">
        <v>1.7349148832276218</v>
      </c>
      <c r="AC1621" s="37">
        <v>2.8447088379447774</v>
      </c>
      <c r="AD1621" s="37">
        <v>3.3021366041563533</v>
      </c>
    </row>
    <row r="1622" spans="27:30" x14ac:dyDescent="0.3">
      <c r="AA1622" s="37">
        <v>1602</v>
      </c>
      <c r="AB1622" s="37">
        <v>1.8152307777547971</v>
      </c>
      <c r="AC1622" s="37">
        <v>2.8887386651227431</v>
      </c>
      <c r="AD1622" s="37">
        <v>3.5496785992003286</v>
      </c>
    </row>
    <row r="1623" spans="27:30" x14ac:dyDescent="0.3">
      <c r="AA1623" s="37">
        <v>1603</v>
      </c>
      <c r="AB1623" s="37">
        <v>1.6444561795687389</v>
      </c>
      <c r="AC1623" s="37">
        <v>2.8545301638522886</v>
      </c>
      <c r="AD1623" s="37">
        <v>3.3074696560489407</v>
      </c>
    </row>
    <row r="1624" spans="27:30" x14ac:dyDescent="0.3">
      <c r="AA1624" s="37">
        <v>1604</v>
      </c>
      <c r="AB1624" s="37">
        <v>1.6630306974248104</v>
      </c>
      <c r="AC1624" s="37">
        <v>2.7869762321282572</v>
      </c>
      <c r="AD1624" s="37">
        <v>3.4088666770594336</v>
      </c>
    </row>
    <row r="1625" spans="27:30" x14ac:dyDescent="0.3">
      <c r="AA1625" s="37">
        <v>1605</v>
      </c>
      <c r="AB1625" s="37">
        <v>1.7888349518289892</v>
      </c>
      <c r="AC1625" s="37">
        <v>2.851959088569171</v>
      </c>
      <c r="AD1625" s="37">
        <v>3.3591807251702797</v>
      </c>
    </row>
    <row r="1626" spans="27:30" x14ac:dyDescent="0.3">
      <c r="AA1626" s="37">
        <v>1606</v>
      </c>
      <c r="AB1626" s="37">
        <v>1.6783868424764834</v>
      </c>
      <c r="AC1626" s="37">
        <v>2.8673753143543603</v>
      </c>
      <c r="AD1626" s="37">
        <v>3.3512975131661555</v>
      </c>
    </row>
    <row r="1627" spans="27:30" x14ac:dyDescent="0.3">
      <c r="AA1627" s="37">
        <v>1607</v>
      </c>
      <c r="AB1627" s="37">
        <v>1.8191776925793048</v>
      </c>
      <c r="AC1627" s="37">
        <v>2.7593658960470306</v>
      </c>
      <c r="AD1627" s="37">
        <v>3.2085585421465947</v>
      </c>
    </row>
    <row r="1628" spans="27:30" x14ac:dyDescent="0.3">
      <c r="AA1628" s="37">
        <v>1608</v>
      </c>
      <c r="AB1628" s="37">
        <v>1.8716706944152603</v>
      </c>
      <c r="AC1628" s="37">
        <v>2.7593483258410032</v>
      </c>
      <c r="AD1628" s="37">
        <v>3.3573798080197506</v>
      </c>
    </row>
    <row r="1629" spans="27:30" x14ac:dyDescent="0.3">
      <c r="AA1629" s="37">
        <v>1609</v>
      </c>
      <c r="AB1629" s="37">
        <v>1.8972298888174242</v>
      </c>
      <c r="AC1629" s="37">
        <v>2.8803517266223522</v>
      </c>
      <c r="AD1629" s="37">
        <v>3.3574399558844821</v>
      </c>
    </row>
    <row r="1630" spans="27:30" x14ac:dyDescent="0.3">
      <c r="AA1630" s="37">
        <v>1610</v>
      </c>
      <c r="AB1630" s="37">
        <v>1.7472000754697961</v>
      </c>
      <c r="AC1630" s="37">
        <v>2.8084046038409221</v>
      </c>
      <c r="AD1630" s="37">
        <v>3.2339235341395001</v>
      </c>
    </row>
    <row r="1631" spans="27:30" x14ac:dyDescent="0.3">
      <c r="AA1631" s="37">
        <v>1611</v>
      </c>
      <c r="AB1631" s="37">
        <v>1.883181250585795</v>
      </c>
      <c r="AC1631" s="37">
        <v>2.751899700691018</v>
      </c>
      <c r="AD1631" s="37">
        <v>3.3265797127002945</v>
      </c>
    </row>
    <row r="1632" spans="27:30" x14ac:dyDescent="0.3">
      <c r="AA1632" s="37">
        <v>1612</v>
      </c>
      <c r="AB1632" s="37">
        <v>1.881533543041938</v>
      </c>
      <c r="AC1632" s="37">
        <v>2.9374966325276199</v>
      </c>
      <c r="AD1632" s="37">
        <v>3.5832719118355985</v>
      </c>
    </row>
    <row r="1633" spans="27:30" x14ac:dyDescent="0.3">
      <c r="AA1633" s="37">
        <v>1613</v>
      </c>
      <c r="AB1633" s="37">
        <v>1.7159639915039764</v>
      </c>
      <c r="AC1633" s="37">
        <v>2.7657912198648238</v>
      </c>
      <c r="AD1633" s="37">
        <v>3.2908380521582679</v>
      </c>
    </row>
    <row r="1634" spans="27:30" x14ac:dyDescent="0.3">
      <c r="AA1634" s="37">
        <v>1614</v>
      </c>
      <c r="AB1634" s="37">
        <v>1.8326877568422053</v>
      </c>
      <c r="AC1634" s="37">
        <v>2.7769409228411597</v>
      </c>
      <c r="AD1634" s="37">
        <v>3.3577963499744126</v>
      </c>
    </row>
    <row r="1635" spans="27:30" x14ac:dyDescent="0.3">
      <c r="AA1635" s="37">
        <v>1615</v>
      </c>
      <c r="AB1635" s="37">
        <v>1.7491504235063486</v>
      </c>
      <c r="AC1635" s="37">
        <v>2.9277318939693457</v>
      </c>
      <c r="AD1635" s="37">
        <v>3.4527269972533685</v>
      </c>
    </row>
    <row r="1636" spans="27:30" x14ac:dyDescent="0.3">
      <c r="AA1636" s="37">
        <v>1616</v>
      </c>
      <c r="AB1636" s="37">
        <v>1.6906814791865012</v>
      </c>
      <c r="AC1636" s="37">
        <v>2.9428581966638858</v>
      </c>
      <c r="AD1636" s="37">
        <v>3.3048186421701415</v>
      </c>
    </row>
    <row r="1637" spans="27:30" x14ac:dyDescent="0.3">
      <c r="AA1637" s="37">
        <v>1617</v>
      </c>
      <c r="AB1637" s="37">
        <v>1.6425351772581476</v>
      </c>
      <c r="AC1637" s="37">
        <v>2.8665851774260798</v>
      </c>
      <c r="AD1637" s="37">
        <v>3.3535343827121058</v>
      </c>
    </row>
    <row r="1638" spans="27:30" x14ac:dyDescent="0.3">
      <c r="AA1638" s="37">
        <v>1618</v>
      </c>
      <c r="AB1638" s="37">
        <v>1.6484001821630954</v>
      </c>
      <c r="AC1638" s="37">
        <v>2.6952180687099139</v>
      </c>
      <c r="AD1638" s="37">
        <v>3.3256339134065769</v>
      </c>
    </row>
    <row r="1639" spans="27:30" x14ac:dyDescent="0.3">
      <c r="AA1639" s="37">
        <v>1619</v>
      </c>
      <c r="AB1639" s="37">
        <v>1.8479507002410918</v>
      </c>
      <c r="AC1639" s="37">
        <v>2.8694681977306273</v>
      </c>
      <c r="AD1639" s="37">
        <v>3.354139985145776</v>
      </c>
    </row>
    <row r="1640" spans="27:30" x14ac:dyDescent="0.3">
      <c r="AA1640" s="37">
        <v>1620</v>
      </c>
      <c r="AB1640" s="37">
        <v>1.9134985935920634</v>
      </c>
      <c r="AC1640" s="37">
        <v>2.8401161046386494</v>
      </c>
      <c r="AD1640" s="37">
        <v>3.3504151643884326</v>
      </c>
    </row>
    <row r="1641" spans="27:30" x14ac:dyDescent="0.3">
      <c r="AA1641" s="37">
        <v>1621</v>
      </c>
      <c r="AB1641" s="37">
        <v>1.8187645731730839</v>
      </c>
      <c r="AC1641" s="37">
        <v>2.8051772494222686</v>
      </c>
      <c r="AD1641" s="37">
        <v>3.4839661249035681</v>
      </c>
    </row>
    <row r="1642" spans="27:30" x14ac:dyDescent="0.3">
      <c r="AA1642" s="37">
        <v>1622</v>
      </c>
      <c r="AB1642" s="37">
        <v>1.8497478892969514</v>
      </c>
      <c r="AC1642" s="37">
        <v>2.8503692225070405</v>
      </c>
      <c r="AD1642" s="37">
        <v>3.4062634675948313</v>
      </c>
    </row>
    <row r="1643" spans="27:30" x14ac:dyDescent="0.3">
      <c r="AA1643" s="37">
        <v>1623</v>
      </c>
      <c r="AB1643" s="37">
        <v>1.8484955948814152</v>
      </c>
      <c r="AC1643" s="37">
        <v>2.7076214833341861</v>
      </c>
      <c r="AD1643" s="37">
        <v>3.5160987163987203</v>
      </c>
    </row>
    <row r="1644" spans="27:30" x14ac:dyDescent="0.3">
      <c r="AA1644" s="37">
        <v>1624</v>
      </c>
      <c r="AB1644" s="37">
        <v>1.77821835152367</v>
      </c>
      <c r="AC1644" s="37">
        <v>2.7673270042465532</v>
      </c>
      <c r="AD1644" s="37">
        <v>3.3891903119972797</v>
      </c>
    </row>
    <row r="1645" spans="27:30" x14ac:dyDescent="0.3">
      <c r="AA1645" s="37">
        <v>1625</v>
      </c>
      <c r="AB1645" s="37">
        <v>1.8243503346219687</v>
      </c>
      <c r="AC1645" s="37">
        <v>2.7720805729282145</v>
      </c>
      <c r="AD1645" s="37">
        <v>3.3237247184875209</v>
      </c>
    </row>
    <row r="1646" spans="27:30" x14ac:dyDescent="0.3">
      <c r="AA1646" s="37">
        <v>1626</v>
      </c>
      <c r="AB1646" s="37">
        <v>1.5913654066429948</v>
      </c>
      <c r="AC1646" s="37">
        <v>2.954028919277901</v>
      </c>
      <c r="AD1646" s="37">
        <v>3.4528183870125577</v>
      </c>
    </row>
    <row r="1647" spans="27:30" x14ac:dyDescent="0.3">
      <c r="AA1647" s="37">
        <v>1627</v>
      </c>
      <c r="AB1647" s="37">
        <v>1.8448685289819302</v>
      </c>
      <c r="AC1647" s="37">
        <v>2.7882136030671032</v>
      </c>
      <c r="AD1647" s="37">
        <v>3.1872092521521265</v>
      </c>
    </row>
    <row r="1648" spans="27:30" x14ac:dyDescent="0.3">
      <c r="AA1648" s="37">
        <v>1628</v>
      </c>
      <c r="AB1648" s="37">
        <v>1.7249699727323609</v>
      </c>
      <c r="AC1648" s="37">
        <v>3.0642092806733516</v>
      </c>
      <c r="AD1648" s="37">
        <v>3.3228182368198684</v>
      </c>
    </row>
    <row r="1649" spans="27:30" x14ac:dyDescent="0.3">
      <c r="AA1649" s="37">
        <v>1629</v>
      </c>
      <c r="AB1649" s="37">
        <v>1.8173123999178369</v>
      </c>
      <c r="AC1649" s="37">
        <v>2.8401822718645175</v>
      </c>
      <c r="AD1649" s="37">
        <v>3.2949033746073657</v>
      </c>
    </row>
    <row r="1650" spans="27:30" x14ac:dyDescent="0.3">
      <c r="AA1650" s="37">
        <v>1630</v>
      </c>
      <c r="AB1650" s="37">
        <v>1.7979381281635329</v>
      </c>
      <c r="AC1650" s="37">
        <v>2.9698902627416222</v>
      </c>
      <c r="AD1650" s="37">
        <v>3.4418784199544796</v>
      </c>
    </row>
    <row r="1651" spans="27:30" x14ac:dyDescent="0.3">
      <c r="AA1651" s="37">
        <v>1631</v>
      </c>
      <c r="AB1651" s="37">
        <v>1.7837873433045921</v>
      </c>
      <c r="AC1651" s="37">
        <v>2.7163858556706035</v>
      </c>
      <c r="AD1651" s="37">
        <v>3.508192983038307</v>
      </c>
    </row>
    <row r="1652" spans="27:30" x14ac:dyDescent="0.3">
      <c r="AA1652" s="37">
        <v>1632</v>
      </c>
      <c r="AB1652" s="37">
        <v>1.7209134234462444</v>
      </c>
      <c r="AC1652" s="37">
        <v>2.8456551786744049</v>
      </c>
      <c r="AD1652" s="37">
        <v>3.3840491276545999</v>
      </c>
    </row>
    <row r="1653" spans="27:30" x14ac:dyDescent="0.3">
      <c r="AA1653" s="37">
        <v>1633</v>
      </c>
      <c r="AB1653" s="37">
        <v>1.8691491569078194</v>
      </c>
      <c r="AC1653" s="37">
        <v>2.8748974606820377</v>
      </c>
      <c r="AD1653" s="37">
        <v>3.4278695711858247</v>
      </c>
    </row>
    <row r="1654" spans="27:30" x14ac:dyDescent="0.3">
      <c r="AA1654" s="37">
        <v>1634</v>
      </c>
      <c r="AB1654" s="37">
        <v>1.8095992355779742</v>
      </c>
      <c r="AC1654" s="37">
        <v>2.7949471280070415</v>
      </c>
      <c r="AD1654" s="37">
        <v>3.1874393838370096</v>
      </c>
    </row>
    <row r="1655" spans="27:30" x14ac:dyDescent="0.3">
      <c r="AA1655" s="37">
        <v>1635</v>
      </c>
      <c r="AB1655" s="37">
        <v>1.7688223688936426</v>
      </c>
      <c r="AC1655" s="37">
        <v>2.8818375361286868</v>
      </c>
      <c r="AD1655" s="37">
        <v>3.3199260198604139</v>
      </c>
    </row>
    <row r="1656" spans="27:30" x14ac:dyDescent="0.3">
      <c r="AA1656" s="37">
        <v>1636</v>
      </c>
      <c r="AB1656" s="37">
        <v>1.8577656559684663</v>
      </c>
      <c r="AC1656" s="37">
        <v>2.7321415000661702</v>
      </c>
      <c r="AD1656" s="37">
        <v>2.9951600961196014</v>
      </c>
    </row>
    <row r="1657" spans="27:30" x14ac:dyDescent="0.3">
      <c r="AA1657" s="37">
        <v>1637</v>
      </c>
      <c r="AB1657" s="37">
        <v>1.7497025171261582</v>
      </c>
      <c r="AC1657" s="37">
        <v>2.8186253609123506</v>
      </c>
      <c r="AD1657" s="37">
        <v>3.2215894539499912</v>
      </c>
    </row>
    <row r="1658" spans="27:30" x14ac:dyDescent="0.3">
      <c r="AA1658" s="37">
        <v>1638</v>
      </c>
      <c r="AB1658" s="37">
        <v>1.7144594676843332</v>
      </c>
      <c r="AC1658" s="37">
        <v>2.9346599299900316</v>
      </c>
      <c r="AD1658" s="37">
        <v>3.5640256909665631</v>
      </c>
    </row>
    <row r="1659" spans="27:30" x14ac:dyDescent="0.3">
      <c r="AA1659" s="37">
        <v>1639</v>
      </c>
      <c r="AB1659" s="37">
        <v>1.7989340403220946</v>
      </c>
      <c r="AC1659" s="37">
        <v>2.9906607757755959</v>
      </c>
      <c r="AD1659" s="37">
        <v>3.304163354589567</v>
      </c>
    </row>
    <row r="1660" spans="27:30" x14ac:dyDescent="0.3">
      <c r="AA1660" s="37">
        <v>1640</v>
      </c>
      <c r="AB1660" s="37">
        <v>1.8270294399105007</v>
      </c>
      <c r="AC1660" s="37">
        <v>2.8783941900064249</v>
      </c>
      <c r="AD1660" s="37">
        <v>3.2955103636312244</v>
      </c>
    </row>
    <row r="1661" spans="27:30" x14ac:dyDescent="0.3">
      <c r="AA1661" s="37">
        <v>1641</v>
      </c>
      <c r="AB1661" s="37">
        <v>1.8170242848599885</v>
      </c>
      <c r="AC1661" s="37">
        <v>2.9807136109706716</v>
      </c>
      <c r="AD1661" s="37">
        <v>3.3222552020658003</v>
      </c>
    </row>
    <row r="1662" spans="27:30" x14ac:dyDescent="0.3">
      <c r="AA1662" s="37">
        <v>1642</v>
      </c>
      <c r="AB1662" s="37">
        <v>1.7131384973669408</v>
      </c>
      <c r="AC1662" s="37">
        <v>2.7491157163686863</v>
      </c>
      <c r="AD1662" s="37">
        <v>3.4000310923366355</v>
      </c>
    </row>
    <row r="1663" spans="27:30" x14ac:dyDescent="0.3">
      <c r="AA1663" s="37">
        <v>1643</v>
      </c>
      <c r="AB1663" s="37">
        <v>1.8085514972267183</v>
      </c>
      <c r="AC1663" s="37">
        <v>2.8991740635018561</v>
      </c>
      <c r="AD1663" s="37">
        <v>3.1467730774356131</v>
      </c>
    </row>
    <row r="1664" spans="27:30" x14ac:dyDescent="0.3">
      <c r="AA1664" s="37">
        <v>1644</v>
      </c>
      <c r="AB1664" s="37">
        <v>1.7529325937268136</v>
      </c>
      <c r="AC1664" s="37">
        <v>2.7746117448712568</v>
      </c>
      <c r="AD1664" s="37">
        <v>3.2197071379992686</v>
      </c>
    </row>
    <row r="1665" spans="27:30" x14ac:dyDescent="0.3">
      <c r="AA1665" s="37">
        <v>1645</v>
      </c>
      <c r="AB1665" s="37">
        <v>1.7819010095838008</v>
      </c>
      <c r="AC1665" s="37">
        <v>3.0208507699296079</v>
      </c>
      <c r="AD1665" s="37">
        <v>3.2529775974246111</v>
      </c>
    </row>
    <row r="1666" spans="27:30" x14ac:dyDescent="0.3">
      <c r="AA1666" s="37">
        <v>1646</v>
      </c>
      <c r="AB1666" s="37">
        <v>1.6622606374631295</v>
      </c>
      <c r="AC1666" s="37">
        <v>2.9578845459328327</v>
      </c>
      <c r="AD1666" s="37">
        <v>3.2510338949037654</v>
      </c>
    </row>
    <row r="1667" spans="27:30" x14ac:dyDescent="0.3">
      <c r="AA1667" s="37">
        <v>1647</v>
      </c>
      <c r="AB1667" s="37">
        <v>1.8626294328100776</v>
      </c>
      <c r="AC1667" s="37">
        <v>2.777719074965618</v>
      </c>
      <c r="AD1667" s="37">
        <v>3.5083041130324091</v>
      </c>
    </row>
    <row r="1668" spans="27:30" x14ac:dyDescent="0.3">
      <c r="AA1668" s="37">
        <v>1648</v>
      </c>
      <c r="AB1668" s="37">
        <v>1.7023608571237638</v>
      </c>
      <c r="AC1668" s="37">
        <v>2.8663541242396815</v>
      </c>
      <c r="AD1668" s="37">
        <v>3.2206312156367329</v>
      </c>
    </row>
    <row r="1669" spans="27:30" x14ac:dyDescent="0.3">
      <c r="AA1669" s="37">
        <v>1649</v>
      </c>
      <c r="AB1669" s="37">
        <v>1.8479248331685021</v>
      </c>
      <c r="AC1669" s="37">
        <v>2.9245049256406346</v>
      </c>
      <c r="AD1669" s="37">
        <v>3.2126805270340162</v>
      </c>
    </row>
    <row r="1670" spans="27:30" x14ac:dyDescent="0.3">
      <c r="AA1670" s="37">
        <v>1650</v>
      </c>
      <c r="AB1670" s="37">
        <v>1.6583716961210297</v>
      </c>
      <c r="AC1670" s="37">
        <v>2.8239372477659108</v>
      </c>
      <c r="AD1670" s="37">
        <v>3.4055994645897618</v>
      </c>
    </row>
    <row r="1671" spans="27:30" x14ac:dyDescent="0.3">
      <c r="AA1671" s="37">
        <v>1651</v>
      </c>
      <c r="AB1671" s="37">
        <v>1.859901367378888</v>
      </c>
      <c r="AC1671" s="37">
        <v>2.6012661921549003</v>
      </c>
      <c r="AD1671" s="37">
        <v>3.6055319714495742</v>
      </c>
    </row>
    <row r="1672" spans="27:30" x14ac:dyDescent="0.3">
      <c r="AA1672" s="37">
        <v>1652</v>
      </c>
      <c r="AB1672" s="37">
        <v>1.7645565216811856</v>
      </c>
      <c r="AC1672" s="37">
        <v>2.8673810754089049</v>
      </c>
      <c r="AD1672" s="37">
        <v>3.4593719263932381</v>
      </c>
    </row>
    <row r="1673" spans="27:30" x14ac:dyDescent="0.3">
      <c r="AA1673" s="37">
        <v>1653</v>
      </c>
      <c r="AB1673" s="37">
        <v>1.8725299092530694</v>
      </c>
      <c r="AC1673" s="37">
        <v>2.7988350854244071</v>
      </c>
      <c r="AD1673" s="37">
        <v>3.2564970537504614</v>
      </c>
    </row>
    <row r="1674" spans="27:30" x14ac:dyDescent="0.3">
      <c r="AA1674" s="37">
        <v>1654</v>
      </c>
      <c r="AB1674" s="37">
        <v>1.8025736856463397</v>
      </c>
      <c r="AC1674" s="37">
        <v>3.0582995469054222</v>
      </c>
      <c r="AD1674" s="37">
        <v>3.2033266812692451</v>
      </c>
    </row>
    <row r="1675" spans="27:30" x14ac:dyDescent="0.3">
      <c r="AA1675" s="37">
        <v>1655</v>
      </c>
      <c r="AB1675" s="37">
        <v>1.9226467125226991</v>
      </c>
      <c r="AC1675" s="37">
        <v>2.8167032520002109</v>
      </c>
      <c r="AD1675" s="37">
        <v>3.1833740804997901</v>
      </c>
    </row>
    <row r="1676" spans="27:30" x14ac:dyDescent="0.3">
      <c r="AA1676" s="37">
        <v>1656</v>
      </c>
      <c r="AB1676" s="37">
        <v>1.8048323560938879</v>
      </c>
      <c r="AC1676" s="37">
        <v>2.8201582210088088</v>
      </c>
      <c r="AD1676" s="37">
        <v>3.3653494954433123</v>
      </c>
    </row>
    <row r="1677" spans="27:30" x14ac:dyDescent="0.3">
      <c r="AA1677" s="37">
        <v>1657</v>
      </c>
      <c r="AB1677" s="37">
        <v>1.7402311319830575</v>
      </c>
      <c r="AC1677" s="37">
        <v>2.7896562032879269</v>
      </c>
      <c r="AD1677" s="37">
        <v>3.1733221959678111</v>
      </c>
    </row>
    <row r="1678" spans="27:30" x14ac:dyDescent="0.3">
      <c r="AA1678" s="37">
        <v>1658</v>
      </c>
      <c r="AB1678" s="37">
        <v>1.7755104517387315</v>
      </c>
      <c r="AC1678" s="37">
        <v>2.7750708853191326</v>
      </c>
      <c r="AD1678" s="37">
        <v>3.3471264073653098</v>
      </c>
    </row>
    <row r="1679" spans="27:30" x14ac:dyDescent="0.3">
      <c r="AA1679" s="37">
        <v>1659</v>
      </c>
      <c r="AB1679" s="37">
        <v>1.7733671273001792</v>
      </c>
      <c r="AC1679" s="37">
        <v>2.9133729843104148</v>
      </c>
      <c r="AD1679" s="37">
        <v>3.3457281787935158</v>
      </c>
    </row>
    <row r="1680" spans="27:30" x14ac:dyDescent="0.3">
      <c r="AA1680" s="37">
        <v>1660</v>
      </c>
      <c r="AB1680" s="37">
        <v>1.628095558554558</v>
      </c>
      <c r="AC1680" s="37">
        <v>2.7298039139761761</v>
      </c>
      <c r="AD1680" s="37">
        <v>3.3146953903268148</v>
      </c>
    </row>
    <row r="1681" spans="27:30" x14ac:dyDescent="0.3">
      <c r="AA1681" s="37">
        <v>1661</v>
      </c>
      <c r="AB1681" s="37">
        <v>1.7307317790355228</v>
      </c>
      <c r="AC1681" s="37">
        <v>2.7770220211748518</v>
      </c>
      <c r="AD1681" s="37">
        <v>3.3319333644412721</v>
      </c>
    </row>
    <row r="1682" spans="27:30" x14ac:dyDescent="0.3">
      <c r="AA1682" s="37">
        <v>1662</v>
      </c>
      <c r="AB1682" s="37">
        <v>1.9219474990651269</v>
      </c>
      <c r="AC1682" s="37">
        <v>2.771139745150708</v>
      </c>
      <c r="AD1682" s="37">
        <v>3.397797651730281</v>
      </c>
    </row>
    <row r="1683" spans="27:30" x14ac:dyDescent="0.3">
      <c r="AA1683" s="37">
        <v>1663</v>
      </c>
      <c r="AB1683" s="37">
        <v>1.6778783332090978</v>
      </c>
      <c r="AC1683" s="37">
        <v>2.7023934836742285</v>
      </c>
      <c r="AD1683" s="37">
        <v>3.4078131736542026</v>
      </c>
    </row>
    <row r="1684" spans="27:30" x14ac:dyDescent="0.3">
      <c r="AA1684" s="37">
        <v>1664</v>
      </c>
      <c r="AB1684" s="37">
        <v>1.8635646508425419</v>
      </c>
      <c r="AC1684" s="37">
        <v>2.8859430370130608</v>
      </c>
      <c r="AD1684" s="37">
        <v>3.3776922900950233</v>
      </c>
    </row>
    <row r="1685" spans="27:30" x14ac:dyDescent="0.3">
      <c r="AA1685" s="37">
        <v>1665</v>
      </c>
      <c r="AB1685" s="37">
        <v>1.7123147660724396</v>
      </c>
      <c r="AC1685" s="37">
        <v>2.952092597384302</v>
      </c>
      <c r="AD1685" s="37">
        <v>3.3048101263315846</v>
      </c>
    </row>
    <row r="1686" spans="27:30" x14ac:dyDescent="0.3">
      <c r="AA1686" s="37">
        <v>1666</v>
      </c>
      <c r="AB1686" s="37">
        <v>1.8535729341930769</v>
      </c>
      <c r="AC1686" s="37">
        <v>2.7360349920504228</v>
      </c>
      <c r="AD1686" s="37">
        <v>3.2473660169929195</v>
      </c>
    </row>
    <row r="1687" spans="27:30" x14ac:dyDescent="0.3">
      <c r="AA1687" s="37">
        <v>1667</v>
      </c>
      <c r="AB1687" s="37">
        <v>1.8210078783464774</v>
      </c>
      <c r="AC1687" s="37">
        <v>2.8798683087531556</v>
      </c>
      <c r="AD1687" s="37">
        <v>3.5501221880584177</v>
      </c>
    </row>
    <row r="1688" spans="27:30" x14ac:dyDescent="0.3">
      <c r="AA1688" s="37">
        <v>1668</v>
      </c>
      <c r="AB1688" s="37">
        <v>1.7143949116164945</v>
      </c>
      <c r="AC1688" s="37">
        <v>2.834765877746622</v>
      </c>
      <c r="AD1688" s="37">
        <v>3.3686367512405937</v>
      </c>
    </row>
    <row r="1689" spans="27:30" x14ac:dyDescent="0.3">
      <c r="AA1689" s="37">
        <v>1669</v>
      </c>
      <c r="AB1689" s="37">
        <v>1.7257818493730912</v>
      </c>
      <c r="AC1689" s="37">
        <v>3.1030885545164093</v>
      </c>
      <c r="AD1689" s="37">
        <v>3.1608268604022887</v>
      </c>
    </row>
    <row r="1690" spans="27:30" x14ac:dyDescent="0.3">
      <c r="AA1690" s="37">
        <v>1670</v>
      </c>
      <c r="AB1690" s="37">
        <v>1.6513011468228895</v>
      </c>
      <c r="AC1690" s="37">
        <v>2.8722605228628595</v>
      </c>
      <c r="AD1690" s="37">
        <v>3.1808090770950352</v>
      </c>
    </row>
    <row r="1691" spans="27:30" x14ac:dyDescent="0.3">
      <c r="AA1691" s="37">
        <v>1671</v>
      </c>
      <c r="AB1691" s="37">
        <v>1.8106405331512438</v>
      </c>
      <c r="AC1691" s="37">
        <v>2.9129318372955311</v>
      </c>
      <c r="AD1691" s="37">
        <v>3.3468730860157199</v>
      </c>
    </row>
    <row r="1692" spans="27:30" x14ac:dyDescent="0.3">
      <c r="AA1692" s="37">
        <v>1672</v>
      </c>
      <c r="AB1692" s="37">
        <v>1.801514581097827</v>
      </c>
      <c r="AC1692" s="37">
        <v>2.8953002180503744</v>
      </c>
      <c r="AD1692" s="37">
        <v>3.3530722492548271</v>
      </c>
    </row>
    <row r="1693" spans="27:30" x14ac:dyDescent="0.3">
      <c r="AA1693" s="37">
        <v>1673</v>
      </c>
      <c r="AB1693" s="37">
        <v>1.7809416450255013</v>
      </c>
      <c r="AC1693" s="37">
        <v>2.8033836717763849</v>
      </c>
      <c r="AD1693" s="37">
        <v>3.3837787836479012</v>
      </c>
    </row>
    <row r="1694" spans="27:30" x14ac:dyDescent="0.3">
      <c r="AA1694" s="37">
        <v>1674</v>
      </c>
      <c r="AB1694" s="37">
        <v>1.7974131110464262</v>
      </c>
      <c r="AC1694" s="37">
        <v>2.8089439671892298</v>
      </c>
      <c r="AD1694" s="37">
        <v>3.0449138516960983</v>
      </c>
    </row>
    <row r="1695" spans="27:30" x14ac:dyDescent="0.3">
      <c r="AA1695" s="37">
        <v>1675</v>
      </c>
      <c r="AB1695" s="37">
        <v>1.8664678141832978</v>
      </c>
      <c r="AC1695" s="37">
        <v>3.0764915496449268</v>
      </c>
      <c r="AD1695" s="37">
        <v>3.3724172899686331</v>
      </c>
    </row>
    <row r="1696" spans="27:30" x14ac:dyDescent="0.3">
      <c r="AA1696" s="37">
        <v>1676</v>
      </c>
      <c r="AB1696" s="37">
        <v>1.8353013726863552</v>
      </c>
      <c r="AC1696" s="37">
        <v>2.6656856546247729</v>
      </c>
      <c r="AD1696" s="37">
        <v>3.3437018318431213</v>
      </c>
    </row>
    <row r="1697" spans="27:30" x14ac:dyDescent="0.3">
      <c r="AA1697" s="37">
        <v>1677</v>
      </c>
      <c r="AB1697" s="37">
        <v>1.7571096100841177</v>
      </c>
      <c r="AC1697" s="37">
        <v>2.9368211572630183</v>
      </c>
      <c r="AD1697" s="37">
        <v>3.4494897164209712</v>
      </c>
    </row>
    <row r="1698" spans="27:30" x14ac:dyDescent="0.3">
      <c r="AA1698" s="37">
        <v>1678</v>
      </c>
      <c r="AB1698" s="37">
        <v>1.69759779565687</v>
      </c>
      <c r="AC1698" s="37">
        <v>2.7314778817625109</v>
      </c>
      <c r="AD1698" s="37">
        <v>3.1513992194919038</v>
      </c>
    </row>
    <row r="1699" spans="27:30" x14ac:dyDescent="0.3">
      <c r="AA1699" s="37">
        <v>1679</v>
      </c>
      <c r="AB1699" s="37">
        <v>1.8666927530005748</v>
      </c>
      <c r="AC1699" s="37">
        <v>2.7902442742214326</v>
      </c>
      <c r="AD1699" s="37">
        <v>3.2844523050867314</v>
      </c>
    </row>
    <row r="1700" spans="27:30" x14ac:dyDescent="0.3">
      <c r="AA1700" s="37">
        <v>1680</v>
      </c>
      <c r="AB1700" s="37">
        <v>1.791162465066251</v>
      </c>
      <c r="AC1700" s="37">
        <v>2.81386263258053</v>
      </c>
      <c r="AD1700" s="37">
        <v>3.4952686757758129</v>
      </c>
    </row>
    <row r="1701" spans="27:30" x14ac:dyDescent="0.3">
      <c r="AA1701" s="37">
        <v>1681</v>
      </c>
      <c r="AB1701" s="37">
        <v>1.770920993619906</v>
      </c>
      <c r="AC1701" s="37">
        <v>3.011559982877356</v>
      </c>
      <c r="AD1701" s="37">
        <v>3.3799639315807393</v>
      </c>
    </row>
    <row r="1702" spans="27:30" x14ac:dyDescent="0.3">
      <c r="AA1702" s="37">
        <v>1682</v>
      </c>
      <c r="AB1702" s="37">
        <v>1.7981759830051949</v>
      </c>
      <c r="AC1702" s="37">
        <v>2.9229020170314239</v>
      </c>
      <c r="AD1702" s="37">
        <v>3.4481167922629896</v>
      </c>
    </row>
    <row r="1703" spans="27:30" x14ac:dyDescent="0.3">
      <c r="AA1703" s="37">
        <v>1683</v>
      </c>
      <c r="AB1703" s="37">
        <v>1.714083732322766</v>
      </c>
      <c r="AC1703" s="37">
        <v>2.8233917019113135</v>
      </c>
      <c r="AD1703" s="37">
        <v>3.2969326664907324</v>
      </c>
    </row>
    <row r="1704" spans="27:30" x14ac:dyDescent="0.3">
      <c r="AA1704" s="37">
        <v>1684</v>
      </c>
      <c r="AB1704" s="37">
        <v>1.8911242825115142</v>
      </c>
      <c r="AC1704" s="37">
        <v>3.0301572930245642</v>
      </c>
      <c r="AD1704" s="37">
        <v>3.4344080972373332</v>
      </c>
    </row>
    <row r="1705" spans="27:30" x14ac:dyDescent="0.3">
      <c r="AA1705" s="37">
        <v>1685</v>
      </c>
      <c r="AB1705" s="37">
        <v>1.8811837044247512</v>
      </c>
      <c r="AC1705" s="37">
        <v>2.9173892823300633</v>
      </c>
      <c r="AD1705" s="37">
        <v>3.2347317177812003</v>
      </c>
    </row>
    <row r="1706" spans="27:30" x14ac:dyDescent="0.3">
      <c r="AA1706" s="37">
        <v>1686</v>
      </c>
      <c r="AB1706" s="37">
        <v>1.8361940012444149</v>
      </c>
      <c r="AC1706" s="37">
        <v>2.842255769522291</v>
      </c>
      <c r="AD1706" s="37">
        <v>3.3560563478809646</v>
      </c>
    </row>
    <row r="1707" spans="27:30" x14ac:dyDescent="0.3">
      <c r="AA1707" s="37">
        <v>1687</v>
      </c>
      <c r="AB1707" s="37">
        <v>1.7537961211511321</v>
      </c>
      <c r="AC1707" s="37">
        <v>3.0303047863197556</v>
      </c>
      <c r="AD1707" s="37">
        <v>3.24969363840848</v>
      </c>
    </row>
    <row r="1708" spans="27:30" x14ac:dyDescent="0.3">
      <c r="AA1708" s="37">
        <v>1688</v>
      </c>
      <c r="AB1708" s="37">
        <v>1.7057445229171098</v>
      </c>
      <c r="AC1708" s="37">
        <v>2.6677370047491653</v>
      </c>
      <c r="AD1708" s="37">
        <v>3.293094651803004</v>
      </c>
    </row>
    <row r="1709" spans="27:30" x14ac:dyDescent="0.3">
      <c r="AA1709" s="37">
        <v>1689</v>
      </c>
      <c r="AB1709" s="37">
        <v>1.8058527584919251</v>
      </c>
      <c r="AC1709" s="37">
        <v>2.861478757103832</v>
      </c>
      <c r="AD1709" s="37">
        <v>3.2835999757059984</v>
      </c>
    </row>
    <row r="1710" spans="27:30" x14ac:dyDescent="0.3">
      <c r="AA1710" s="37">
        <v>1690</v>
      </c>
      <c r="AB1710" s="37">
        <v>1.7650977949087718</v>
      </c>
      <c r="AC1710" s="37">
        <v>2.9255189940251642</v>
      </c>
      <c r="AD1710" s="37">
        <v>3.3307331780753562</v>
      </c>
    </row>
    <row r="1711" spans="27:30" x14ac:dyDescent="0.3">
      <c r="AA1711" s="37">
        <v>1691</v>
      </c>
      <c r="AB1711" s="37">
        <v>1.7650942259227482</v>
      </c>
      <c r="AC1711" s="37">
        <v>2.7137906165644821</v>
      </c>
      <c r="AD1711" s="37">
        <v>3.2440932809141394</v>
      </c>
    </row>
    <row r="1712" spans="27:30" x14ac:dyDescent="0.3">
      <c r="AA1712" s="37">
        <v>1692</v>
      </c>
      <c r="AB1712" s="37">
        <v>1.8266537986951064</v>
      </c>
      <c r="AC1712" s="37">
        <v>2.984759446885044</v>
      </c>
      <c r="AD1712" s="37">
        <v>3.6066205197995309</v>
      </c>
    </row>
    <row r="1713" spans="27:30" x14ac:dyDescent="0.3">
      <c r="AA1713" s="37">
        <v>1693</v>
      </c>
      <c r="AB1713" s="37">
        <v>1.7831439665747069</v>
      </c>
      <c r="AC1713" s="37">
        <v>2.7140132053232113</v>
      </c>
      <c r="AD1713" s="37">
        <v>3.2640433653995338</v>
      </c>
    </row>
    <row r="1714" spans="27:30" x14ac:dyDescent="0.3">
      <c r="AA1714" s="37">
        <v>1694</v>
      </c>
      <c r="AB1714" s="37">
        <v>1.9380816585096439</v>
      </c>
      <c r="AC1714" s="37">
        <v>2.646143460670868</v>
      </c>
      <c r="AD1714" s="37">
        <v>3.2579298845541387</v>
      </c>
    </row>
    <row r="1715" spans="27:30" x14ac:dyDescent="0.3">
      <c r="AA1715" s="37">
        <v>1695</v>
      </c>
      <c r="AB1715" s="37">
        <v>1.8204676673496967</v>
      </c>
      <c r="AC1715" s="37">
        <v>2.8628053035755281</v>
      </c>
      <c r="AD1715" s="37">
        <v>3.4757446297868166</v>
      </c>
    </row>
    <row r="1716" spans="27:30" x14ac:dyDescent="0.3">
      <c r="AA1716" s="37">
        <v>1696</v>
      </c>
      <c r="AB1716" s="37">
        <v>1.9012124003768169</v>
      </c>
      <c r="AC1716" s="37">
        <v>2.7552732284587576</v>
      </c>
      <c r="AD1716" s="37">
        <v>3.1738803665690898</v>
      </c>
    </row>
    <row r="1717" spans="27:30" x14ac:dyDescent="0.3">
      <c r="AA1717" s="37">
        <v>1697</v>
      </c>
      <c r="AB1717" s="37">
        <v>1.8847606561332293</v>
      </c>
      <c r="AC1717" s="37">
        <v>2.8803884488431279</v>
      </c>
      <c r="AD1717" s="37">
        <v>3.2893532554230589</v>
      </c>
    </row>
    <row r="1718" spans="27:30" x14ac:dyDescent="0.3">
      <c r="AA1718" s="37">
        <v>1698</v>
      </c>
      <c r="AB1718" s="37">
        <v>1.8411459136427448</v>
      </c>
      <c r="AC1718" s="37">
        <v>2.7167024826594171</v>
      </c>
      <c r="AD1718" s="37">
        <v>3.324919340709795</v>
      </c>
    </row>
    <row r="1719" spans="27:30" x14ac:dyDescent="0.3">
      <c r="AA1719" s="37">
        <v>1699</v>
      </c>
      <c r="AB1719" s="37">
        <v>1.6890044739953132</v>
      </c>
      <c r="AC1719" s="37">
        <v>2.7647553657575412</v>
      </c>
      <c r="AD1719" s="37">
        <v>3.4233760531603115</v>
      </c>
    </row>
    <row r="1720" spans="27:30" x14ac:dyDescent="0.3">
      <c r="AA1720" s="37">
        <v>1700</v>
      </c>
      <c r="AB1720" s="37">
        <v>1.7671206749058497</v>
      </c>
      <c r="AC1720" s="37">
        <v>2.9489802082532557</v>
      </c>
      <c r="AD1720" s="37">
        <v>3.3767820701154361</v>
      </c>
    </row>
    <row r="1721" spans="27:30" x14ac:dyDescent="0.3">
      <c r="AA1721" s="37">
        <v>1701</v>
      </c>
      <c r="AB1721" s="37">
        <v>1.7896604409682233</v>
      </c>
      <c r="AC1721" s="37">
        <v>2.875912280329048</v>
      </c>
      <c r="AD1721" s="37">
        <v>3.3051799706267571</v>
      </c>
    </row>
    <row r="1722" spans="27:30" x14ac:dyDescent="0.3">
      <c r="AA1722" s="37">
        <v>1702</v>
      </c>
      <c r="AB1722" s="37">
        <v>1.7614232205301914</v>
      </c>
      <c r="AC1722" s="37">
        <v>2.917844533307191</v>
      </c>
      <c r="AD1722" s="37">
        <v>3.2426235255389342</v>
      </c>
    </row>
    <row r="1723" spans="27:30" x14ac:dyDescent="0.3">
      <c r="AA1723" s="37">
        <v>1703</v>
      </c>
      <c r="AB1723" s="37">
        <v>1.7866415881106474</v>
      </c>
      <c r="AC1723" s="37">
        <v>2.9595795736162693</v>
      </c>
      <c r="AD1723" s="37">
        <v>3.2139183879680666</v>
      </c>
    </row>
    <row r="1724" spans="27:30" x14ac:dyDescent="0.3">
      <c r="AA1724" s="37">
        <v>1704</v>
      </c>
      <c r="AB1724" s="37">
        <v>1.8008108723410619</v>
      </c>
      <c r="AC1724" s="37">
        <v>2.8052792886948761</v>
      </c>
      <c r="AD1724" s="37">
        <v>3.2722089511664665</v>
      </c>
    </row>
    <row r="1725" spans="27:30" x14ac:dyDescent="0.3">
      <c r="AA1725" s="37">
        <v>1705</v>
      </c>
      <c r="AB1725" s="37">
        <v>1.8474398141292647</v>
      </c>
      <c r="AC1725" s="37">
        <v>2.8239929258554821</v>
      </c>
      <c r="AD1725" s="37">
        <v>3.27342033708178</v>
      </c>
    </row>
    <row r="1726" spans="27:30" x14ac:dyDescent="0.3">
      <c r="AA1726" s="37">
        <v>1706</v>
      </c>
      <c r="AB1726" s="37">
        <v>1.8130472290806792</v>
      </c>
      <c r="AC1726" s="37">
        <v>2.774836908897333</v>
      </c>
      <c r="AD1726" s="37">
        <v>3.5212353648169126</v>
      </c>
    </row>
    <row r="1727" spans="27:30" x14ac:dyDescent="0.3">
      <c r="AA1727" s="37">
        <v>1707</v>
      </c>
      <c r="AB1727" s="37">
        <v>1.7875371918594156</v>
      </c>
      <c r="AC1727" s="37">
        <v>2.8066382755220007</v>
      </c>
      <c r="AD1727" s="37">
        <v>3.4147715284455744</v>
      </c>
    </row>
    <row r="1728" spans="27:30" x14ac:dyDescent="0.3">
      <c r="AA1728" s="37">
        <v>1708</v>
      </c>
      <c r="AB1728" s="37">
        <v>1.7095436519659974</v>
      </c>
      <c r="AC1728" s="37">
        <v>2.8840949891181999</v>
      </c>
      <c r="AD1728" s="37">
        <v>3.3197055405867086</v>
      </c>
    </row>
    <row r="1729" spans="27:30" x14ac:dyDescent="0.3">
      <c r="AA1729" s="37">
        <v>1709</v>
      </c>
      <c r="AB1729" s="37">
        <v>1.7836833229738858</v>
      </c>
      <c r="AC1729" s="37">
        <v>2.8293022887775199</v>
      </c>
      <c r="AD1729" s="37">
        <v>3.3445598195551134</v>
      </c>
    </row>
    <row r="1730" spans="27:30" x14ac:dyDescent="0.3">
      <c r="AA1730" s="37">
        <v>1710</v>
      </c>
      <c r="AB1730" s="37">
        <v>1.7492474930460624</v>
      </c>
      <c r="AC1730" s="37">
        <v>2.8238852933628307</v>
      </c>
      <c r="AD1730" s="37">
        <v>3.2924197938838553</v>
      </c>
    </row>
    <row r="1731" spans="27:30" x14ac:dyDescent="0.3">
      <c r="AA1731" s="37">
        <v>1711</v>
      </c>
      <c r="AB1731" s="37">
        <v>1.9045050833023727</v>
      </c>
      <c r="AC1731" s="37">
        <v>2.8369150772290257</v>
      </c>
      <c r="AD1731" s="37">
        <v>3.1177619456383594</v>
      </c>
    </row>
    <row r="1732" spans="27:30" x14ac:dyDescent="0.3">
      <c r="AA1732" s="37">
        <v>1712</v>
      </c>
      <c r="AB1732" s="37">
        <v>1.8473706707788451</v>
      </c>
      <c r="AC1732" s="37">
        <v>3.0679410994992717</v>
      </c>
      <c r="AD1732" s="37">
        <v>3.1573373643709286</v>
      </c>
    </row>
    <row r="1733" spans="27:30" x14ac:dyDescent="0.3">
      <c r="AA1733" s="37">
        <v>1713</v>
      </c>
      <c r="AB1733" s="37">
        <v>1.8025800762091477</v>
      </c>
      <c r="AC1733" s="37">
        <v>2.9566619469188393</v>
      </c>
      <c r="AD1733" s="37">
        <v>3.3681513894373341</v>
      </c>
    </row>
    <row r="1734" spans="27:30" x14ac:dyDescent="0.3">
      <c r="AA1734" s="37">
        <v>1714</v>
      </c>
      <c r="AB1734" s="37">
        <v>1.8129696819838828</v>
      </c>
      <c r="AC1734" s="37">
        <v>2.8214056350962804</v>
      </c>
      <c r="AD1734" s="37">
        <v>3.3407852303589451</v>
      </c>
    </row>
    <row r="1735" spans="27:30" x14ac:dyDescent="0.3">
      <c r="AA1735" s="37">
        <v>1715</v>
      </c>
      <c r="AB1735" s="37">
        <v>1.7554400862727053</v>
      </c>
      <c r="AC1735" s="37">
        <v>2.7882042776344065</v>
      </c>
      <c r="AD1735" s="37">
        <v>3.3619149943587581</v>
      </c>
    </row>
    <row r="1736" spans="27:30" x14ac:dyDescent="0.3">
      <c r="AA1736" s="37">
        <v>1716</v>
      </c>
      <c r="AB1736" s="37">
        <v>1.829684511278949</v>
      </c>
      <c r="AC1736" s="37">
        <v>2.6836521656522576</v>
      </c>
      <c r="AD1736" s="37">
        <v>3.2501564954966846</v>
      </c>
    </row>
    <row r="1737" spans="27:30" x14ac:dyDescent="0.3">
      <c r="AA1737" s="37">
        <v>1717</v>
      </c>
      <c r="AB1737" s="37">
        <v>1.7679047442407547</v>
      </c>
      <c r="AC1737" s="37">
        <v>2.767356299292949</v>
      </c>
      <c r="AD1737" s="37">
        <v>3.4513479858535816</v>
      </c>
    </row>
    <row r="1738" spans="27:30" x14ac:dyDescent="0.3">
      <c r="AA1738" s="37">
        <v>1718</v>
      </c>
      <c r="AB1738" s="37">
        <v>1.7268986028774456</v>
      </c>
      <c r="AC1738" s="37">
        <v>2.8337417330653802</v>
      </c>
      <c r="AD1738" s="37">
        <v>3.3363292088107301</v>
      </c>
    </row>
    <row r="1739" spans="27:30" x14ac:dyDescent="0.3">
      <c r="AA1739" s="37">
        <v>1719</v>
      </c>
      <c r="AB1739" s="37">
        <v>1.7912224643093309</v>
      </c>
      <c r="AC1739" s="37">
        <v>2.9436736721203403</v>
      </c>
      <c r="AD1739" s="37">
        <v>3.3941808638539652</v>
      </c>
    </row>
    <row r="1740" spans="27:30" x14ac:dyDescent="0.3">
      <c r="AA1740" s="37">
        <v>1720</v>
      </c>
      <c r="AB1740" s="37">
        <v>1.7096870322129176</v>
      </c>
      <c r="AC1740" s="37">
        <v>2.7887331083323099</v>
      </c>
      <c r="AD1740" s="37">
        <v>3.421492493829108</v>
      </c>
    </row>
    <row r="1741" spans="27:30" x14ac:dyDescent="0.3">
      <c r="AA1741" s="37">
        <v>1721</v>
      </c>
      <c r="AB1741" s="37">
        <v>1.7646714987721861</v>
      </c>
      <c r="AC1741" s="37">
        <v>2.7752492904816903</v>
      </c>
      <c r="AD1741" s="37">
        <v>3.4946004879542123</v>
      </c>
    </row>
    <row r="1742" spans="27:30" x14ac:dyDescent="0.3">
      <c r="AA1742" s="37">
        <v>1722</v>
      </c>
      <c r="AB1742" s="37">
        <v>1.8030183654504177</v>
      </c>
      <c r="AC1742" s="37">
        <v>2.9608256563661373</v>
      </c>
      <c r="AD1742" s="37">
        <v>3.1884333418674107</v>
      </c>
    </row>
    <row r="1743" spans="27:30" x14ac:dyDescent="0.3">
      <c r="AA1743" s="37">
        <v>1723</v>
      </c>
      <c r="AB1743" s="37">
        <v>1.751866960999608</v>
      </c>
      <c r="AC1743" s="37">
        <v>3.049234507185556</v>
      </c>
      <c r="AD1743" s="37">
        <v>3.4407141687191127</v>
      </c>
    </row>
    <row r="1744" spans="27:30" x14ac:dyDescent="0.3">
      <c r="AA1744" s="37">
        <v>1724</v>
      </c>
      <c r="AB1744" s="37">
        <v>1.7270484581465082</v>
      </c>
      <c r="AC1744" s="37">
        <v>2.8867434688031763</v>
      </c>
      <c r="AD1744" s="37">
        <v>3.5211849659293253</v>
      </c>
    </row>
    <row r="1745" spans="27:30" x14ac:dyDescent="0.3">
      <c r="AA1745" s="37">
        <v>1725</v>
      </c>
      <c r="AB1745" s="37">
        <v>1.7506035272292606</v>
      </c>
      <c r="AC1745" s="37">
        <v>2.7690758858561106</v>
      </c>
      <c r="AD1745" s="37">
        <v>3.6066894660063062</v>
      </c>
    </row>
    <row r="1746" spans="27:30" x14ac:dyDescent="0.3">
      <c r="AA1746" s="37">
        <v>1726</v>
      </c>
      <c r="AB1746" s="37">
        <v>1.7624041809838134</v>
      </c>
      <c r="AC1746" s="37">
        <v>2.9224344862679472</v>
      </c>
      <c r="AD1746" s="37">
        <v>3.1655245563793679</v>
      </c>
    </row>
    <row r="1747" spans="27:30" x14ac:dyDescent="0.3">
      <c r="AA1747" s="37">
        <v>1727</v>
      </c>
      <c r="AB1747" s="37">
        <v>1.6979006936528256</v>
      </c>
      <c r="AC1747" s="37">
        <v>2.9604525085029563</v>
      </c>
      <c r="AD1747" s="37">
        <v>3.288406021005863</v>
      </c>
    </row>
    <row r="1748" spans="27:30" x14ac:dyDescent="0.3">
      <c r="AA1748" s="37">
        <v>1728</v>
      </c>
      <c r="AB1748" s="37">
        <v>1.7920668089370635</v>
      </c>
      <c r="AC1748" s="37">
        <v>2.909978399112048</v>
      </c>
      <c r="AD1748" s="37">
        <v>3.2245151208850586</v>
      </c>
    </row>
    <row r="1749" spans="27:30" x14ac:dyDescent="0.3">
      <c r="AA1749" s="37">
        <v>1729</v>
      </c>
      <c r="AB1749" s="37">
        <v>1.8873863184347157</v>
      </c>
      <c r="AC1749" s="37">
        <v>2.9027714170658849</v>
      </c>
      <c r="AD1749" s="37">
        <v>3.0689557429485763</v>
      </c>
    </row>
    <row r="1750" spans="27:30" x14ac:dyDescent="0.3">
      <c r="AA1750" s="37">
        <v>1730</v>
      </c>
      <c r="AB1750" s="37">
        <v>1.685633906153851</v>
      </c>
      <c r="AC1750" s="37">
        <v>2.8831679017460949</v>
      </c>
      <c r="AD1750" s="37">
        <v>3.2184399244078583</v>
      </c>
    </row>
    <row r="1751" spans="27:30" x14ac:dyDescent="0.3">
      <c r="AA1751" s="37">
        <v>1731</v>
      </c>
      <c r="AB1751" s="37">
        <v>1.8959480558991864</v>
      </c>
      <c r="AC1751" s="37">
        <v>2.9684949537157337</v>
      </c>
      <c r="AD1751" s="37">
        <v>3.1932790101465196</v>
      </c>
    </row>
    <row r="1752" spans="27:30" x14ac:dyDescent="0.3">
      <c r="AA1752" s="37">
        <v>1732</v>
      </c>
      <c r="AB1752" s="37">
        <v>1.6896777800460807</v>
      </c>
      <c r="AC1752" s="37">
        <v>2.7723317461829611</v>
      </c>
      <c r="AD1752" s="37">
        <v>3.4064412434983073</v>
      </c>
    </row>
    <row r="1753" spans="27:30" x14ac:dyDescent="0.3">
      <c r="AA1753" s="37">
        <v>1733</v>
      </c>
      <c r="AB1753" s="37">
        <v>1.7823357654952288</v>
      </c>
      <c r="AC1753" s="37">
        <v>2.7303458082442305</v>
      </c>
      <c r="AD1753" s="37">
        <v>3.5715289802037828</v>
      </c>
    </row>
    <row r="1754" spans="27:30" x14ac:dyDescent="0.3">
      <c r="AA1754" s="37">
        <v>1734</v>
      </c>
      <c r="AB1754" s="37">
        <v>1.718526088006002</v>
      </c>
      <c r="AC1754" s="37">
        <v>2.7644441333273861</v>
      </c>
      <c r="AD1754" s="37">
        <v>3.3393591197751866</v>
      </c>
    </row>
    <row r="1755" spans="27:30" x14ac:dyDescent="0.3">
      <c r="AA1755" s="37">
        <v>1735</v>
      </c>
      <c r="AB1755" s="37">
        <v>1.7806735413125521</v>
      </c>
      <c r="AC1755" s="37">
        <v>2.9030582509105813</v>
      </c>
      <c r="AD1755" s="37">
        <v>3.3935121549058436</v>
      </c>
    </row>
    <row r="1756" spans="27:30" x14ac:dyDescent="0.3">
      <c r="AA1756" s="37">
        <v>1736</v>
      </c>
      <c r="AB1756" s="37">
        <v>1.7341411116628997</v>
      </c>
      <c r="AC1756" s="37">
        <v>3.1030018657087268</v>
      </c>
      <c r="AD1756" s="37">
        <v>3.3398536894099125</v>
      </c>
    </row>
    <row r="1757" spans="27:30" x14ac:dyDescent="0.3">
      <c r="AA1757" s="37">
        <v>1737</v>
      </c>
      <c r="AB1757" s="37">
        <v>1.8706141360321344</v>
      </c>
      <c r="AC1757" s="37">
        <v>2.8438165445187926</v>
      </c>
      <c r="AD1757" s="37">
        <v>3.1887423657260801</v>
      </c>
    </row>
    <row r="1758" spans="27:30" x14ac:dyDescent="0.3">
      <c r="AA1758" s="37">
        <v>1738</v>
      </c>
      <c r="AB1758" s="37">
        <v>1.6418541799255943</v>
      </c>
      <c r="AC1758" s="37">
        <v>2.8629876276793493</v>
      </c>
      <c r="AD1758" s="37">
        <v>3.412690263283396</v>
      </c>
    </row>
    <row r="1759" spans="27:30" x14ac:dyDescent="0.3">
      <c r="AA1759" s="37">
        <v>1739</v>
      </c>
      <c r="AB1759" s="37">
        <v>1.7554001069378211</v>
      </c>
      <c r="AC1759" s="37">
        <v>2.6152813845875769</v>
      </c>
      <c r="AD1759" s="37">
        <v>3.2920197861241083</v>
      </c>
    </row>
    <row r="1760" spans="27:30" x14ac:dyDescent="0.3">
      <c r="AA1760" s="37">
        <v>1740</v>
      </c>
      <c r="AB1760" s="37">
        <v>1.8344549023252288</v>
      </c>
      <c r="AC1760" s="37">
        <v>2.7859788114322468</v>
      </c>
      <c r="AD1760" s="37">
        <v>3.2685886339315626</v>
      </c>
    </row>
    <row r="1761" spans="27:30" x14ac:dyDescent="0.3">
      <c r="AA1761" s="37">
        <v>1741</v>
      </c>
      <c r="AB1761" s="37">
        <v>1.7282725419409477</v>
      </c>
      <c r="AC1761" s="37">
        <v>2.903300124815801</v>
      </c>
      <c r="AD1761" s="37">
        <v>3.3738287901921238</v>
      </c>
    </row>
    <row r="1762" spans="27:30" x14ac:dyDescent="0.3">
      <c r="AA1762" s="37">
        <v>1742</v>
      </c>
      <c r="AB1762" s="37">
        <v>1.756058079287351</v>
      </c>
      <c r="AC1762" s="37">
        <v>2.8256650677540129</v>
      </c>
      <c r="AD1762" s="37">
        <v>3.4505215017265449</v>
      </c>
    </row>
    <row r="1763" spans="27:30" x14ac:dyDescent="0.3">
      <c r="AA1763" s="37">
        <v>1743</v>
      </c>
      <c r="AB1763" s="37">
        <v>1.8877697409750414</v>
      </c>
      <c r="AC1763" s="37">
        <v>2.870229424721634</v>
      </c>
      <c r="AD1763" s="37">
        <v>3.5911449530947919</v>
      </c>
    </row>
    <row r="1764" spans="27:30" x14ac:dyDescent="0.3">
      <c r="AA1764" s="37">
        <v>1744</v>
      </c>
      <c r="AB1764" s="37">
        <v>1.7752336055249858</v>
      </c>
      <c r="AC1764" s="37">
        <v>2.8872368960202608</v>
      </c>
      <c r="AD1764" s="37">
        <v>3.2064271266061537</v>
      </c>
    </row>
    <row r="1765" spans="27:30" x14ac:dyDescent="0.3">
      <c r="AA1765" s="37">
        <v>1745</v>
      </c>
      <c r="AB1765" s="37">
        <v>1.767720177389565</v>
      </c>
      <c r="AC1765" s="37">
        <v>2.7051431645293147</v>
      </c>
      <c r="AD1765" s="37">
        <v>3.3573430939791775</v>
      </c>
    </row>
    <row r="1766" spans="27:30" x14ac:dyDescent="0.3">
      <c r="AA1766" s="37">
        <v>1746</v>
      </c>
      <c r="AB1766" s="37">
        <v>1.7895704183956138</v>
      </c>
      <c r="AC1766" s="37">
        <v>2.8926187368575396</v>
      </c>
      <c r="AD1766" s="37">
        <v>3.5018782407661462</v>
      </c>
    </row>
    <row r="1767" spans="27:30" x14ac:dyDescent="0.3">
      <c r="AA1767" s="37">
        <v>1747</v>
      </c>
      <c r="AB1767" s="37">
        <v>1.8664055205309538</v>
      </c>
      <c r="AC1767" s="37">
        <v>2.7555368387370081</v>
      </c>
      <c r="AD1767" s="37">
        <v>3.4766223746679135</v>
      </c>
    </row>
    <row r="1768" spans="27:30" x14ac:dyDescent="0.3">
      <c r="AA1768" s="37">
        <v>1748</v>
      </c>
      <c r="AB1768" s="37">
        <v>1.8214320428331556</v>
      </c>
      <c r="AC1768" s="37">
        <v>2.833786829608449</v>
      </c>
      <c r="AD1768" s="37">
        <v>3.5152031852776715</v>
      </c>
    </row>
    <row r="1769" spans="27:30" x14ac:dyDescent="0.3">
      <c r="AA1769" s="37">
        <v>1749</v>
      </c>
      <c r="AB1769" s="37">
        <v>1.8534632895314136</v>
      </c>
      <c r="AC1769" s="37">
        <v>2.902152231710653</v>
      </c>
      <c r="AD1769" s="37">
        <v>3.2781594381005728</v>
      </c>
    </row>
    <row r="1770" spans="27:30" x14ac:dyDescent="0.3">
      <c r="AA1770" s="37">
        <v>1750</v>
      </c>
      <c r="AB1770" s="37">
        <v>1.6744352116550707</v>
      </c>
      <c r="AC1770" s="37">
        <v>2.897767461027247</v>
      </c>
      <c r="AD1770" s="37">
        <v>3.5630892682755051</v>
      </c>
    </row>
    <row r="1771" spans="27:30" x14ac:dyDescent="0.3">
      <c r="AA1771" s="37">
        <v>1751</v>
      </c>
      <c r="AB1771" s="37">
        <v>1.7357096494893842</v>
      </c>
      <c r="AC1771" s="37">
        <v>2.8784563396690754</v>
      </c>
      <c r="AD1771" s="37">
        <v>3.477437534026421</v>
      </c>
    </row>
    <row r="1772" spans="27:30" x14ac:dyDescent="0.3">
      <c r="AA1772" s="37">
        <v>1752</v>
      </c>
      <c r="AB1772" s="37">
        <v>1.8314024969103138</v>
      </c>
      <c r="AC1772" s="37">
        <v>2.8051941893548382</v>
      </c>
      <c r="AD1772" s="37">
        <v>3.3122576642718053</v>
      </c>
    </row>
    <row r="1773" spans="27:30" x14ac:dyDescent="0.3">
      <c r="AA1773" s="37">
        <v>1753</v>
      </c>
      <c r="AB1773" s="37">
        <v>1.7915651653095315</v>
      </c>
      <c r="AC1773" s="37">
        <v>2.8094209742873</v>
      </c>
      <c r="AD1773" s="37">
        <v>3.248814409930342</v>
      </c>
    </row>
    <row r="1774" spans="27:30" x14ac:dyDescent="0.3">
      <c r="AA1774" s="37">
        <v>1754</v>
      </c>
      <c r="AB1774" s="37">
        <v>1.7413809291305025</v>
      </c>
      <c r="AC1774" s="37">
        <v>2.7230471235897826</v>
      </c>
      <c r="AD1774" s="37">
        <v>3.3589127132095311</v>
      </c>
    </row>
    <row r="1775" spans="27:30" x14ac:dyDescent="0.3">
      <c r="AA1775" s="37">
        <v>1755</v>
      </c>
      <c r="AB1775" s="37">
        <v>1.8801393001139293</v>
      </c>
      <c r="AC1775" s="37">
        <v>2.8098418017377842</v>
      </c>
      <c r="AD1775" s="37">
        <v>3.0668450716751368</v>
      </c>
    </row>
    <row r="1776" spans="27:30" x14ac:dyDescent="0.3">
      <c r="AA1776" s="37">
        <v>1756</v>
      </c>
      <c r="AB1776" s="37">
        <v>1.8091688941601567</v>
      </c>
      <c r="AC1776" s="37">
        <v>2.8195092966532598</v>
      </c>
      <c r="AD1776" s="37">
        <v>3.5598921835130324</v>
      </c>
    </row>
    <row r="1777" spans="27:30" x14ac:dyDescent="0.3">
      <c r="AA1777" s="37">
        <v>1757</v>
      </c>
      <c r="AB1777" s="37">
        <v>1.7642736122913971</v>
      </c>
      <c r="AC1777" s="37">
        <v>2.5862494825462474</v>
      </c>
      <c r="AD1777" s="37">
        <v>3.266928039241344</v>
      </c>
    </row>
    <row r="1778" spans="27:30" x14ac:dyDescent="0.3">
      <c r="AA1778" s="37">
        <v>1758</v>
      </c>
      <c r="AB1778" s="37">
        <v>1.872792667467281</v>
      </c>
      <c r="AC1778" s="37">
        <v>2.933111862210823</v>
      </c>
      <c r="AD1778" s="37">
        <v>3.2008520834766951</v>
      </c>
    </row>
    <row r="1779" spans="27:30" x14ac:dyDescent="0.3">
      <c r="AA1779" s="37">
        <v>1759</v>
      </c>
      <c r="AB1779" s="37">
        <v>1.7679129443029873</v>
      </c>
      <c r="AC1779" s="37">
        <v>2.7687727376304743</v>
      </c>
      <c r="AD1779" s="37">
        <v>3.2451115380548305</v>
      </c>
    </row>
    <row r="1780" spans="27:30" x14ac:dyDescent="0.3">
      <c r="AA1780" s="37">
        <v>1760</v>
      </c>
      <c r="AB1780" s="37">
        <v>1.7027789104173388</v>
      </c>
      <c r="AC1780" s="37">
        <v>2.8783511068997734</v>
      </c>
      <c r="AD1780" s="37">
        <v>3.2440304405634026</v>
      </c>
    </row>
    <row r="1781" spans="27:30" x14ac:dyDescent="0.3">
      <c r="AA1781" s="37">
        <v>1761</v>
      </c>
      <c r="AB1781" s="37">
        <v>1.7885878690730597</v>
      </c>
      <c r="AC1781" s="37">
        <v>2.7568551196227946</v>
      </c>
      <c r="AD1781" s="37">
        <v>3.436842733371325</v>
      </c>
    </row>
    <row r="1782" spans="27:30" x14ac:dyDescent="0.3">
      <c r="AA1782" s="37">
        <v>1762</v>
      </c>
      <c r="AB1782" s="37">
        <v>1.8154042724808979</v>
      </c>
      <c r="AC1782" s="37">
        <v>2.8990445266309659</v>
      </c>
      <c r="AD1782" s="37">
        <v>3.4753752348394777</v>
      </c>
    </row>
    <row r="1783" spans="27:30" x14ac:dyDescent="0.3">
      <c r="AA1783" s="37">
        <v>1763</v>
      </c>
      <c r="AB1783" s="37">
        <v>1.8817125950480043</v>
      </c>
      <c r="AC1783" s="37">
        <v>2.811542719328032</v>
      </c>
      <c r="AD1783" s="37">
        <v>3.2945304613707824</v>
      </c>
    </row>
    <row r="1784" spans="27:30" x14ac:dyDescent="0.3">
      <c r="AA1784" s="37">
        <v>1764</v>
      </c>
      <c r="AB1784" s="37">
        <v>1.7422983626184758</v>
      </c>
      <c r="AC1784" s="37">
        <v>2.9723480198355428</v>
      </c>
      <c r="AD1784" s="37">
        <v>3.54807554493512</v>
      </c>
    </row>
    <row r="1785" spans="27:30" x14ac:dyDescent="0.3">
      <c r="AA1785" s="37">
        <v>1765</v>
      </c>
      <c r="AB1785" s="37">
        <v>1.8653328160746381</v>
      </c>
      <c r="AC1785" s="37">
        <v>2.7966146789162005</v>
      </c>
      <c r="AD1785" s="37">
        <v>3.5219300061271821</v>
      </c>
    </row>
    <row r="1786" spans="27:30" x14ac:dyDescent="0.3">
      <c r="AA1786" s="37">
        <v>1766</v>
      </c>
      <c r="AB1786" s="37">
        <v>1.7710787804764256</v>
      </c>
      <c r="AC1786" s="37">
        <v>2.9527067141275407</v>
      </c>
      <c r="AD1786" s="37">
        <v>3.3276480205255647</v>
      </c>
    </row>
    <row r="1787" spans="27:30" x14ac:dyDescent="0.3">
      <c r="AA1787" s="37">
        <v>1767</v>
      </c>
      <c r="AB1787" s="37">
        <v>1.7800064242816993</v>
      </c>
      <c r="AC1787" s="37">
        <v>2.7517140312822845</v>
      </c>
      <c r="AD1787" s="37">
        <v>3.4207424291694317</v>
      </c>
    </row>
    <row r="1788" spans="27:30" x14ac:dyDescent="0.3">
      <c r="AA1788" s="37">
        <v>1768</v>
      </c>
      <c r="AB1788" s="37">
        <v>1.8370795048877553</v>
      </c>
      <c r="AC1788" s="37">
        <v>2.9020888070980497</v>
      </c>
      <c r="AD1788" s="37">
        <v>3.3834468119216403</v>
      </c>
    </row>
    <row r="1789" spans="27:30" x14ac:dyDescent="0.3">
      <c r="AA1789" s="37">
        <v>1769</v>
      </c>
      <c r="AB1789" s="37">
        <v>1.6649066743515999</v>
      </c>
      <c r="AC1789" s="37">
        <v>2.7869009619193319</v>
      </c>
      <c r="AD1789" s="37">
        <v>3.0360375612996289</v>
      </c>
    </row>
    <row r="1790" spans="27:30" x14ac:dyDescent="0.3">
      <c r="AA1790" s="37">
        <v>1770</v>
      </c>
      <c r="AB1790" s="37">
        <v>1.7883464745231699</v>
      </c>
      <c r="AC1790" s="37">
        <v>2.8572220802243598</v>
      </c>
      <c r="AD1790" s="37">
        <v>3.5319090083119202</v>
      </c>
    </row>
    <row r="1791" spans="27:30" x14ac:dyDescent="0.3">
      <c r="AA1791" s="37">
        <v>1771</v>
      </c>
      <c r="AB1791" s="37">
        <v>1.8581455368521085</v>
      </c>
      <c r="AC1791" s="37">
        <v>2.7783672782472966</v>
      </c>
      <c r="AD1791" s="37">
        <v>3.4161980293872189</v>
      </c>
    </row>
    <row r="1792" spans="27:30" x14ac:dyDescent="0.3">
      <c r="AA1792" s="37">
        <v>1772</v>
      </c>
      <c r="AB1792" s="37">
        <v>1.9758611759493163</v>
      </c>
      <c r="AC1792" s="37">
        <v>2.9983100989130915</v>
      </c>
      <c r="AD1792" s="37">
        <v>3.3901917209526848</v>
      </c>
    </row>
    <row r="1793" spans="27:30" x14ac:dyDescent="0.3">
      <c r="AA1793" s="37">
        <v>1773</v>
      </c>
      <c r="AB1793" s="37">
        <v>1.7659052460387934</v>
      </c>
      <c r="AC1793" s="37">
        <v>2.6814126836549943</v>
      </c>
      <c r="AD1793" s="37">
        <v>3.598656133950433</v>
      </c>
    </row>
    <row r="1794" spans="27:30" x14ac:dyDescent="0.3">
      <c r="AA1794" s="37">
        <v>1774</v>
      </c>
      <c r="AB1794" s="37">
        <v>1.7312677948428024</v>
      </c>
      <c r="AC1794" s="37">
        <v>2.9233139802620949</v>
      </c>
      <c r="AD1794" s="37">
        <v>3.4293236786622918</v>
      </c>
    </row>
    <row r="1795" spans="27:30" x14ac:dyDescent="0.3">
      <c r="AA1795" s="37">
        <v>1775</v>
      </c>
      <c r="AB1795" s="37">
        <v>1.8734352822132962</v>
      </c>
      <c r="AC1795" s="37">
        <v>2.9281437201723648</v>
      </c>
      <c r="AD1795" s="37">
        <v>3.2708396903932013</v>
      </c>
    </row>
    <row r="1796" spans="27:30" x14ac:dyDescent="0.3">
      <c r="AA1796" s="37">
        <v>1776</v>
      </c>
      <c r="AB1796" s="37">
        <v>1.8505145745341736</v>
      </c>
      <c r="AC1796" s="37">
        <v>2.8808696541618768</v>
      </c>
      <c r="AD1796" s="37">
        <v>3.5491043235302775</v>
      </c>
    </row>
    <row r="1797" spans="27:30" x14ac:dyDescent="0.3">
      <c r="AA1797" s="37">
        <v>1777</v>
      </c>
      <c r="AB1797" s="37">
        <v>1.7213071785815932</v>
      </c>
      <c r="AC1797" s="37">
        <v>2.8951722335734651</v>
      </c>
      <c r="AD1797" s="37">
        <v>3.2897078113258322</v>
      </c>
    </row>
    <row r="1798" spans="27:30" x14ac:dyDescent="0.3">
      <c r="AA1798" s="37">
        <v>1778</v>
      </c>
      <c r="AB1798" s="37">
        <v>1.7771043442840313</v>
      </c>
      <c r="AC1798" s="37">
        <v>2.6805346768318556</v>
      </c>
      <c r="AD1798" s="37">
        <v>3.3267732079543157</v>
      </c>
    </row>
    <row r="1799" spans="27:30" x14ac:dyDescent="0.3">
      <c r="AA1799" s="37">
        <v>1779</v>
      </c>
      <c r="AB1799" s="37">
        <v>1.7076649304468805</v>
      </c>
      <c r="AC1799" s="37">
        <v>2.8633992045661181</v>
      </c>
      <c r="AD1799" s="37">
        <v>3.5352327116074425</v>
      </c>
    </row>
    <row r="1800" spans="27:30" x14ac:dyDescent="0.3">
      <c r="AA1800" s="37">
        <v>1780</v>
      </c>
      <c r="AB1800" s="37">
        <v>1.9120141500291268</v>
      </c>
      <c r="AC1800" s="37">
        <v>2.5055483599176749</v>
      </c>
      <c r="AD1800" s="37">
        <v>3.3104618244219859</v>
      </c>
    </row>
    <row r="1801" spans="27:30" x14ac:dyDescent="0.3">
      <c r="AA1801" s="37">
        <v>1781</v>
      </c>
      <c r="AB1801" s="37">
        <v>1.699383312760951</v>
      </c>
      <c r="AC1801" s="37">
        <v>2.8807378755464033</v>
      </c>
      <c r="AD1801" s="37">
        <v>3.226017703516181</v>
      </c>
    </row>
    <row r="1802" spans="27:30" x14ac:dyDescent="0.3">
      <c r="AA1802" s="37">
        <v>1782</v>
      </c>
      <c r="AB1802" s="37">
        <v>1.7298436413930016</v>
      </c>
      <c r="AC1802" s="37">
        <v>2.8633991101770442</v>
      </c>
      <c r="AD1802" s="37">
        <v>3.2907966104879476</v>
      </c>
    </row>
    <row r="1803" spans="27:30" x14ac:dyDescent="0.3">
      <c r="AA1803" s="37">
        <v>1783</v>
      </c>
      <c r="AB1803" s="37">
        <v>1.7177235811150529</v>
      </c>
      <c r="AC1803" s="37">
        <v>2.7498107459310281</v>
      </c>
      <c r="AD1803" s="37">
        <v>3.6211911141072748</v>
      </c>
    </row>
    <row r="1804" spans="27:30" x14ac:dyDescent="0.3">
      <c r="AA1804" s="37">
        <v>1784</v>
      </c>
      <c r="AB1804" s="37">
        <v>1.805521607561656</v>
      </c>
      <c r="AC1804" s="37">
        <v>2.5954026157215435</v>
      </c>
      <c r="AD1804" s="37">
        <v>3.4769996170239068</v>
      </c>
    </row>
    <row r="1805" spans="27:30" x14ac:dyDescent="0.3">
      <c r="AA1805" s="37">
        <v>1785</v>
      </c>
      <c r="AB1805" s="37">
        <v>1.7968479279153453</v>
      </c>
      <c r="AC1805" s="37">
        <v>2.8944706749129487</v>
      </c>
      <c r="AD1805" s="37">
        <v>3.3899843108941958</v>
      </c>
    </row>
    <row r="1806" spans="27:30" x14ac:dyDescent="0.3">
      <c r="AA1806" s="37">
        <v>1786</v>
      </c>
      <c r="AB1806" s="37">
        <v>1.7959704106869423</v>
      </c>
      <c r="AC1806" s="37">
        <v>2.8199214291770667</v>
      </c>
      <c r="AD1806" s="37">
        <v>3.3002788369568115</v>
      </c>
    </row>
    <row r="1807" spans="27:30" x14ac:dyDescent="0.3">
      <c r="AA1807" s="37">
        <v>1787</v>
      </c>
      <c r="AB1807" s="37">
        <v>1.7308215933537772</v>
      </c>
      <c r="AC1807" s="37">
        <v>2.9940108009492916</v>
      </c>
      <c r="AD1807" s="37">
        <v>3.329566874675971</v>
      </c>
    </row>
    <row r="1808" spans="27:30" x14ac:dyDescent="0.3">
      <c r="AA1808" s="37">
        <v>1788</v>
      </c>
      <c r="AB1808" s="37">
        <v>1.8189985559949449</v>
      </c>
      <c r="AC1808" s="37">
        <v>2.884392843095251</v>
      </c>
      <c r="AD1808" s="37">
        <v>3.3773278750847062</v>
      </c>
    </row>
    <row r="1809" spans="27:30" x14ac:dyDescent="0.3">
      <c r="AA1809" s="37">
        <v>1789</v>
      </c>
      <c r="AB1809" s="37">
        <v>1.8080231744403485</v>
      </c>
      <c r="AC1809" s="37">
        <v>2.7273559125826408</v>
      </c>
      <c r="AD1809" s="37">
        <v>3.267186304902526</v>
      </c>
    </row>
    <row r="1810" spans="27:30" x14ac:dyDescent="0.3">
      <c r="AA1810" s="37">
        <v>1790</v>
      </c>
      <c r="AB1810" s="37">
        <v>1.6373005712502133</v>
      </c>
      <c r="AC1810" s="37">
        <v>2.930773507420775</v>
      </c>
      <c r="AD1810" s="37">
        <v>3.459264889550306</v>
      </c>
    </row>
    <row r="1811" spans="27:30" x14ac:dyDescent="0.3">
      <c r="AA1811" s="37">
        <v>1791</v>
      </c>
      <c r="AB1811" s="37">
        <v>1.7797254041191131</v>
      </c>
      <c r="AC1811" s="37">
        <v>2.6907859645349173</v>
      </c>
      <c r="AD1811" s="37">
        <v>3.3758966284202891</v>
      </c>
    </row>
    <row r="1812" spans="27:30" x14ac:dyDescent="0.3">
      <c r="AA1812" s="37">
        <v>1792</v>
      </c>
      <c r="AB1812" s="37">
        <v>1.7307854943309959</v>
      </c>
      <c r="AC1812" s="37">
        <v>2.883947114134997</v>
      </c>
      <c r="AD1812" s="37">
        <v>3.0111897398111096</v>
      </c>
    </row>
    <row r="1813" spans="27:30" x14ac:dyDescent="0.3">
      <c r="AA1813" s="37">
        <v>1793</v>
      </c>
      <c r="AB1813" s="37">
        <v>1.7198542832260073</v>
      </c>
      <c r="AC1813" s="37">
        <v>2.8470288352610877</v>
      </c>
      <c r="AD1813" s="37">
        <v>3.5466824243296875</v>
      </c>
    </row>
    <row r="1814" spans="27:30" x14ac:dyDescent="0.3">
      <c r="AA1814" s="37">
        <v>1794</v>
      </c>
      <c r="AB1814" s="37">
        <v>1.7783900408742226</v>
      </c>
      <c r="AC1814" s="37">
        <v>2.8169649921905515</v>
      </c>
      <c r="AD1814" s="37">
        <v>3.2614408684505256</v>
      </c>
    </row>
    <row r="1815" spans="27:30" x14ac:dyDescent="0.3">
      <c r="AA1815" s="37">
        <v>1795</v>
      </c>
      <c r="AB1815" s="37">
        <v>1.8466958344147462</v>
      </c>
      <c r="AC1815" s="37">
        <v>2.9500379210655714</v>
      </c>
      <c r="AD1815" s="37">
        <v>3.4133112238817804</v>
      </c>
    </row>
    <row r="1816" spans="27:30" x14ac:dyDescent="0.3">
      <c r="AA1816" s="37">
        <v>1796</v>
      </c>
      <c r="AB1816" s="37">
        <v>1.8294327783433924</v>
      </c>
      <c r="AC1816" s="37">
        <v>2.8358608419878437</v>
      </c>
      <c r="AD1816" s="37">
        <v>3.2475113482808782</v>
      </c>
    </row>
    <row r="1817" spans="27:30" x14ac:dyDescent="0.3">
      <c r="AA1817" s="37">
        <v>1797</v>
      </c>
      <c r="AB1817" s="37">
        <v>1.7189474135639355</v>
      </c>
      <c r="AC1817" s="37">
        <v>2.9185084160345243</v>
      </c>
      <c r="AD1817" s="37">
        <v>3.4303869503991025</v>
      </c>
    </row>
    <row r="1818" spans="27:30" x14ac:dyDescent="0.3">
      <c r="AA1818" s="37">
        <v>1798</v>
      </c>
      <c r="AB1818" s="37">
        <v>1.844306915808646</v>
      </c>
      <c r="AC1818" s="37">
        <v>2.6741571113009455</v>
      </c>
      <c r="AD1818" s="37">
        <v>3.5142558591423216</v>
      </c>
    </row>
    <row r="1819" spans="27:30" x14ac:dyDescent="0.3">
      <c r="AA1819" s="37">
        <v>1799</v>
      </c>
      <c r="AB1819" s="37">
        <v>1.7253737815169405</v>
      </c>
      <c r="AC1819" s="37">
        <v>2.7610713603212287</v>
      </c>
      <c r="AD1819" s="37">
        <v>3.2786956326477488</v>
      </c>
    </row>
    <row r="1820" spans="27:30" x14ac:dyDescent="0.3">
      <c r="AA1820" s="37">
        <v>1800</v>
      </c>
      <c r="AB1820" s="37">
        <v>1.7175816055942192</v>
      </c>
      <c r="AC1820" s="37">
        <v>2.7074563419388151</v>
      </c>
      <c r="AD1820" s="37">
        <v>3.5144318749145183</v>
      </c>
    </row>
    <row r="1821" spans="27:30" x14ac:dyDescent="0.3">
      <c r="AA1821" s="37">
        <v>1801</v>
      </c>
      <c r="AB1821" s="37">
        <v>1.7812485879324345</v>
      </c>
      <c r="AC1821" s="37">
        <v>3.0239026591547851</v>
      </c>
      <c r="AD1821" s="37">
        <v>3.1969029294357889</v>
      </c>
    </row>
    <row r="1822" spans="27:30" x14ac:dyDescent="0.3">
      <c r="AA1822" s="37">
        <v>1802</v>
      </c>
      <c r="AB1822" s="37">
        <v>1.8014781332368268</v>
      </c>
      <c r="AC1822" s="37">
        <v>2.7599957985397587</v>
      </c>
      <c r="AD1822" s="37">
        <v>3.3242639057550476</v>
      </c>
    </row>
    <row r="1823" spans="27:30" x14ac:dyDescent="0.3">
      <c r="AA1823" s="37">
        <v>1803</v>
      </c>
      <c r="AB1823" s="37">
        <v>1.8488293907124767</v>
      </c>
      <c r="AC1823" s="37">
        <v>2.9357207875076847</v>
      </c>
      <c r="AD1823" s="37">
        <v>3.0416964151637962</v>
      </c>
    </row>
    <row r="1824" spans="27:30" x14ac:dyDescent="0.3">
      <c r="AA1824" s="37">
        <v>1804</v>
      </c>
      <c r="AB1824" s="37">
        <v>1.7623915234841927</v>
      </c>
      <c r="AC1824" s="37">
        <v>2.7725583379897318</v>
      </c>
      <c r="AD1824" s="37">
        <v>3.358289942948081</v>
      </c>
    </row>
    <row r="1825" spans="27:30" x14ac:dyDescent="0.3">
      <c r="AA1825" s="37">
        <v>1805</v>
      </c>
      <c r="AB1825" s="37">
        <v>1.8252619098731704</v>
      </c>
      <c r="AC1825" s="37">
        <v>3.0435217135083485</v>
      </c>
      <c r="AD1825" s="37">
        <v>3.1783570826178416</v>
      </c>
    </row>
    <row r="1826" spans="27:30" x14ac:dyDescent="0.3">
      <c r="AA1826" s="37">
        <v>1806</v>
      </c>
      <c r="AB1826" s="37">
        <v>1.7769207022572699</v>
      </c>
      <c r="AC1826" s="37">
        <v>2.896239549724172</v>
      </c>
      <c r="AD1826" s="37">
        <v>3.3160874939524971</v>
      </c>
    </row>
    <row r="1827" spans="27:30" x14ac:dyDescent="0.3">
      <c r="AA1827" s="37">
        <v>1807</v>
      </c>
      <c r="AB1827" s="37">
        <v>1.810691784413661</v>
      </c>
      <c r="AC1827" s="37">
        <v>2.516338761334421</v>
      </c>
      <c r="AD1827" s="37">
        <v>3.5651488711252233</v>
      </c>
    </row>
    <row r="1828" spans="27:30" x14ac:dyDescent="0.3">
      <c r="AA1828" s="37">
        <v>1808</v>
      </c>
      <c r="AB1828" s="37">
        <v>1.7792184051477253</v>
      </c>
      <c r="AC1828" s="37">
        <v>3.0602829788050911</v>
      </c>
      <c r="AD1828" s="37">
        <v>3.3102562108787792</v>
      </c>
    </row>
    <row r="1829" spans="27:30" x14ac:dyDescent="0.3">
      <c r="AA1829" s="37">
        <v>1809</v>
      </c>
      <c r="AB1829" s="37">
        <v>1.8471779482158304</v>
      </c>
      <c r="AC1829" s="37">
        <v>2.6974779953107584</v>
      </c>
      <c r="AD1829" s="37">
        <v>3.2433636387528098</v>
      </c>
    </row>
    <row r="1830" spans="27:30" x14ac:dyDescent="0.3">
      <c r="AA1830" s="37">
        <v>1810</v>
      </c>
      <c r="AB1830" s="37">
        <v>1.8540077480126611</v>
      </c>
      <c r="AC1830" s="37">
        <v>2.7601162843340568</v>
      </c>
      <c r="AD1830" s="37">
        <v>3.3230095434365419</v>
      </c>
    </row>
    <row r="1831" spans="27:30" x14ac:dyDescent="0.3">
      <c r="AA1831" s="37">
        <v>1811</v>
      </c>
      <c r="AB1831" s="37">
        <v>1.8381487297360322</v>
      </c>
      <c r="AC1831" s="37">
        <v>2.6845508603751838</v>
      </c>
      <c r="AD1831" s="37">
        <v>3.1077237995777116</v>
      </c>
    </row>
    <row r="1832" spans="27:30" x14ac:dyDescent="0.3">
      <c r="AA1832" s="37">
        <v>1812</v>
      </c>
      <c r="AB1832" s="37">
        <v>1.7280570919686524</v>
      </c>
      <c r="AC1832" s="37">
        <v>3.0017912018730954</v>
      </c>
      <c r="AD1832" s="37">
        <v>3.3299623318291842</v>
      </c>
    </row>
    <row r="1833" spans="27:30" x14ac:dyDescent="0.3">
      <c r="AA1833" s="37">
        <v>1813</v>
      </c>
      <c r="AB1833" s="37">
        <v>1.7748683296769432</v>
      </c>
      <c r="AC1833" s="37">
        <v>2.7202805162986206</v>
      </c>
      <c r="AD1833" s="37">
        <v>3.1797895774301477</v>
      </c>
    </row>
    <row r="1834" spans="27:30" x14ac:dyDescent="0.3">
      <c r="AA1834" s="37">
        <v>1814</v>
      </c>
      <c r="AB1834" s="37">
        <v>1.8390239055112589</v>
      </c>
      <c r="AC1834" s="37">
        <v>2.9069957495292469</v>
      </c>
      <c r="AD1834" s="37">
        <v>3.2376533891574097</v>
      </c>
    </row>
    <row r="1835" spans="27:30" x14ac:dyDescent="0.3">
      <c r="AA1835" s="37">
        <v>1815</v>
      </c>
      <c r="AB1835" s="37">
        <v>1.8248357730004627</v>
      </c>
      <c r="AC1835" s="37">
        <v>2.707180885454771</v>
      </c>
      <c r="AD1835" s="37">
        <v>3.2906948881713709</v>
      </c>
    </row>
    <row r="1836" spans="27:30" x14ac:dyDescent="0.3">
      <c r="AA1836" s="37">
        <v>1816</v>
      </c>
      <c r="AB1836" s="37">
        <v>1.7648058326517513</v>
      </c>
      <c r="AC1836" s="37">
        <v>2.9163735949894014</v>
      </c>
      <c r="AD1836" s="37">
        <v>3.5940895028025204</v>
      </c>
    </row>
    <row r="1837" spans="27:30" x14ac:dyDescent="0.3">
      <c r="AA1837" s="37">
        <v>1817</v>
      </c>
      <c r="AB1837" s="37">
        <v>1.8392246162343004</v>
      </c>
      <c r="AC1837" s="37">
        <v>2.9188194167500581</v>
      </c>
      <c r="AD1837" s="37">
        <v>3.353602153497405</v>
      </c>
    </row>
    <row r="1838" spans="27:30" x14ac:dyDescent="0.3">
      <c r="AA1838" s="37">
        <v>1818</v>
      </c>
      <c r="AB1838" s="37">
        <v>1.7337447124733378</v>
      </c>
      <c r="AC1838" s="37">
        <v>2.8384665039026808</v>
      </c>
      <c r="AD1838" s="37">
        <v>3.3560914314861567</v>
      </c>
    </row>
    <row r="1839" spans="27:30" x14ac:dyDescent="0.3">
      <c r="AA1839" s="37">
        <v>1819</v>
      </c>
      <c r="AB1839" s="37">
        <v>1.7445559116395393</v>
      </c>
      <c r="AC1839" s="37">
        <v>2.7228549778711146</v>
      </c>
      <c r="AD1839" s="37">
        <v>3.2757019825436022</v>
      </c>
    </row>
    <row r="1840" spans="27:30" x14ac:dyDescent="0.3">
      <c r="AA1840" s="37">
        <v>1820</v>
      </c>
      <c r="AB1840" s="37">
        <v>1.7556793743089185</v>
      </c>
      <c r="AC1840" s="37">
        <v>2.8842372967654497</v>
      </c>
      <c r="AD1840" s="37">
        <v>3.2752607234387492</v>
      </c>
    </row>
    <row r="1841" spans="27:30" x14ac:dyDescent="0.3">
      <c r="AA1841" s="37">
        <v>1821</v>
      </c>
      <c r="AB1841" s="37">
        <v>1.7173731995952246</v>
      </c>
      <c r="AC1841" s="37">
        <v>3.1421894683956317</v>
      </c>
      <c r="AD1841" s="37">
        <v>3.1606548752111299</v>
      </c>
    </row>
    <row r="1842" spans="27:30" x14ac:dyDescent="0.3">
      <c r="AA1842" s="37">
        <v>1822</v>
      </c>
      <c r="AB1842" s="37">
        <v>1.7797797673762012</v>
      </c>
      <c r="AC1842" s="37">
        <v>2.9948067816151736</v>
      </c>
      <c r="AD1842" s="37">
        <v>3.4126948146154725</v>
      </c>
    </row>
    <row r="1843" spans="27:30" x14ac:dyDescent="0.3">
      <c r="AA1843" s="37">
        <v>1823</v>
      </c>
      <c r="AB1843" s="37">
        <v>1.8075845381517883</v>
      </c>
      <c r="AC1843" s="37">
        <v>2.8090041839611311</v>
      </c>
      <c r="AD1843" s="37">
        <v>3.3572408018385724</v>
      </c>
    </row>
    <row r="1844" spans="27:30" x14ac:dyDescent="0.3">
      <c r="AA1844" s="37">
        <v>1824</v>
      </c>
      <c r="AB1844" s="37">
        <v>1.6703215184158686</v>
      </c>
      <c r="AC1844" s="37">
        <v>3.1019543421034315</v>
      </c>
      <c r="AD1844" s="37">
        <v>3.2323759024852823</v>
      </c>
    </row>
    <row r="1845" spans="27:30" x14ac:dyDescent="0.3">
      <c r="AA1845" s="37">
        <v>1825</v>
      </c>
      <c r="AB1845" s="37">
        <v>1.8192835479116405</v>
      </c>
      <c r="AC1845" s="37">
        <v>2.7887787152884904</v>
      </c>
      <c r="AD1845" s="37">
        <v>3.2810814056070954</v>
      </c>
    </row>
    <row r="1846" spans="27:30" x14ac:dyDescent="0.3">
      <c r="AA1846" s="37">
        <v>1826</v>
      </c>
      <c r="AB1846" s="37">
        <v>1.6938141427451447</v>
      </c>
      <c r="AC1846" s="37">
        <v>2.8409399523151744</v>
      </c>
      <c r="AD1846" s="37">
        <v>3.6246844650423546</v>
      </c>
    </row>
    <row r="1847" spans="27:30" x14ac:dyDescent="0.3">
      <c r="AA1847" s="37">
        <v>1827</v>
      </c>
      <c r="AB1847" s="37">
        <v>1.7464968530032843</v>
      </c>
      <c r="AC1847" s="37">
        <v>2.8894459970733561</v>
      </c>
      <c r="AD1847" s="37">
        <v>3.6391397302976083</v>
      </c>
    </row>
    <row r="1848" spans="27:30" x14ac:dyDescent="0.3">
      <c r="AA1848" s="37">
        <v>1828</v>
      </c>
      <c r="AB1848" s="37">
        <v>1.8228646139662248</v>
      </c>
      <c r="AC1848" s="37">
        <v>2.8685112556774381</v>
      </c>
      <c r="AD1848" s="37">
        <v>3.1481884310895771</v>
      </c>
    </row>
    <row r="1849" spans="27:30" x14ac:dyDescent="0.3">
      <c r="AA1849" s="37">
        <v>1829</v>
      </c>
      <c r="AB1849" s="37">
        <v>1.8077351682048159</v>
      </c>
      <c r="AC1849" s="37">
        <v>2.9101191609738106</v>
      </c>
      <c r="AD1849" s="37">
        <v>3.3391733515455413</v>
      </c>
    </row>
    <row r="1850" spans="27:30" x14ac:dyDescent="0.3">
      <c r="AA1850" s="37">
        <v>1830</v>
      </c>
      <c r="AB1850" s="37">
        <v>1.7804078324796044</v>
      </c>
      <c r="AC1850" s="37">
        <v>3.039349158989562</v>
      </c>
      <c r="AD1850" s="37">
        <v>3.2073342804552234</v>
      </c>
    </row>
    <row r="1851" spans="27:30" x14ac:dyDescent="0.3">
      <c r="AA1851" s="37">
        <v>1831</v>
      </c>
      <c r="AB1851" s="37">
        <v>1.7913528485575221</v>
      </c>
      <c r="AC1851" s="37">
        <v>2.8711487568983705</v>
      </c>
      <c r="AD1851" s="37">
        <v>3.2584182950171403</v>
      </c>
    </row>
    <row r="1852" spans="27:30" x14ac:dyDescent="0.3">
      <c r="AA1852" s="37">
        <v>1832</v>
      </c>
      <c r="AB1852" s="37">
        <v>1.8184631267687958</v>
      </c>
      <c r="AC1852" s="37">
        <v>2.9202855594344679</v>
      </c>
      <c r="AD1852" s="37">
        <v>3.2905444056810103</v>
      </c>
    </row>
    <row r="1853" spans="27:30" x14ac:dyDescent="0.3">
      <c r="AA1853" s="37">
        <v>1833</v>
      </c>
      <c r="AB1853" s="37">
        <v>1.8637276888721204</v>
      </c>
      <c r="AC1853" s="37">
        <v>2.6569121053178333</v>
      </c>
      <c r="AD1853" s="37">
        <v>3.5391440389701478</v>
      </c>
    </row>
    <row r="1854" spans="27:30" x14ac:dyDescent="0.3">
      <c r="AA1854" s="37">
        <v>1834</v>
      </c>
      <c r="AB1854" s="37">
        <v>1.8313918559211311</v>
      </c>
      <c r="AC1854" s="37">
        <v>2.9927408779243549</v>
      </c>
      <c r="AD1854" s="37">
        <v>3.3899042033301665</v>
      </c>
    </row>
    <row r="1855" spans="27:30" x14ac:dyDescent="0.3">
      <c r="AA1855" s="37">
        <v>1835</v>
      </c>
      <c r="AB1855" s="37">
        <v>1.8139773071515164</v>
      </c>
      <c r="AC1855" s="37">
        <v>2.6564711698344521</v>
      </c>
      <c r="AD1855" s="37">
        <v>3.2373955869376214</v>
      </c>
    </row>
    <row r="1856" spans="27:30" x14ac:dyDescent="0.3">
      <c r="AA1856" s="37">
        <v>1836</v>
      </c>
      <c r="AB1856" s="37">
        <v>1.7994925716333785</v>
      </c>
      <c r="AC1856" s="37">
        <v>2.6712493412812872</v>
      </c>
      <c r="AD1856" s="37">
        <v>3.3638343679845137</v>
      </c>
    </row>
    <row r="1857" spans="27:30" x14ac:dyDescent="0.3">
      <c r="AA1857" s="37">
        <v>1837</v>
      </c>
      <c r="AB1857" s="37">
        <v>1.7273606296451105</v>
      </c>
      <c r="AC1857" s="37">
        <v>2.9406566113631367</v>
      </c>
      <c r="AD1857" s="37">
        <v>3.438402345872325</v>
      </c>
    </row>
    <row r="1858" spans="27:30" x14ac:dyDescent="0.3">
      <c r="AA1858" s="37">
        <v>1838</v>
      </c>
      <c r="AB1858" s="37">
        <v>1.8830443231471861</v>
      </c>
      <c r="AC1858" s="37">
        <v>2.9058853527245101</v>
      </c>
      <c r="AD1858" s="37">
        <v>3.1390937701079951</v>
      </c>
    </row>
    <row r="1859" spans="27:30" x14ac:dyDescent="0.3">
      <c r="AA1859" s="37">
        <v>1839</v>
      </c>
      <c r="AB1859" s="37">
        <v>1.864137908762671</v>
      </c>
      <c r="AC1859" s="37">
        <v>2.7804599714466747</v>
      </c>
      <c r="AD1859" s="37">
        <v>3.2171863136254988</v>
      </c>
    </row>
    <row r="1860" spans="27:30" x14ac:dyDescent="0.3">
      <c r="AA1860" s="37">
        <v>1840</v>
      </c>
      <c r="AB1860" s="37">
        <v>1.7822829775561511</v>
      </c>
      <c r="AC1860" s="37">
        <v>2.89547479271187</v>
      </c>
      <c r="AD1860" s="37">
        <v>3.309247757135438</v>
      </c>
    </row>
    <row r="1861" spans="27:30" x14ac:dyDescent="0.3">
      <c r="AA1861" s="37">
        <v>1841</v>
      </c>
      <c r="AB1861" s="37">
        <v>1.7930306450110225</v>
      </c>
      <c r="AC1861" s="37">
        <v>3.0164268089625561</v>
      </c>
      <c r="AD1861" s="37">
        <v>3.3120456428584815</v>
      </c>
    </row>
    <row r="1862" spans="27:30" x14ac:dyDescent="0.3">
      <c r="AA1862" s="37">
        <v>1842</v>
      </c>
      <c r="AB1862" s="37">
        <v>1.705369559183971</v>
      </c>
      <c r="AC1862" s="37">
        <v>3.1253488343909726</v>
      </c>
      <c r="AD1862" s="37">
        <v>3.4231299018187475</v>
      </c>
    </row>
    <row r="1863" spans="27:30" x14ac:dyDescent="0.3">
      <c r="AA1863" s="37">
        <v>1843</v>
      </c>
      <c r="AB1863" s="37">
        <v>1.6941387917543909</v>
      </c>
      <c r="AC1863" s="37">
        <v>2.92064268493947</v>
      </c>
      <c r="AD1863" s="37">
        <v>3.1486463900344557</v>
      </c>
    </row>
    <row r="1864" spans="27:30" x14ac:dyDescent="0.3">
      <c r="AA1864" s="37">
        <v>1844</v>
      </c>
      <c r="AB1864" s="37">
        <v>1.711897794658688</v>
      </c>
      <c r="AC1864" s="37">
        <v>2.8136802133162964</v>
      </c>
      <c r="AD1864" s="37">
        <v>3.4564814833380635</v>
      </c>
    </row>
    <row r="1865" spans="27:30" x14ac:dyDescent="0.3">
      <c r="AA1865" s="37">
        <v>1845</v>
      </c>
      <c r="AB1865" s="37">
        <v>1.8783007793229394</v>
      </c>
      <c r="AC1865" s="37">
        <v>2.8609001611821108</v>
      </c>
      <c r="AD1865" s="37">
        <v>3.235668345964406</v>
      </c>
    </row>
    <row r="1866" spans="27:30" x14ac:dyDescent="0.3">
      <c r="AA1866" s="37">
        <v>1846</v>
      </c>
      <c r="AB1866" s="37">
        <v>1.7332210600375775</v>
      </c>
      <c r="AC1866" s="37">
        <v>3.1156960112870871</v>
      </c>
      <c r="AD1866" s="37">
        <v>3.2363802630993384</v>
      </c>
    </row>
    <row r="1867" spans="27:30" x14ac:dyDescent="0.3">
      <c r="AA1867" s="37">
        <v>1847</v>
      </c>
      <c r="AB1867" s="37">
        <v>1.7021478015230187</v>
      </c>
      <c r="AC1867" s="37">
        <v>2.5310345630684905</v>
      </c>
      <c r="AD1867" s="37">
        <v>3.3534678416971482</v>
      </c>
    </row>
    <row r="1868" spans="27:30" x14ac:dyDescent="0.3">
      <c r="AA1868" s="37">
        <v>1848</v>
      </c>
      <c r="AB1868" s="37">
        <v>1.736604043438803</v>
      </c>
      <c r="AC1868" s="37">
        <v>2.6848898827866834</v>
      </c>
      <c r="AD1868" s="37">
        <v>3.1890748962341688</v>
      </c>
    </row>
    <row r="1869" spans="27:30" x14ac:dyDescent="0.3">
      <c r="AA1869" s="37">
        <v>1849</v>
      </c>
      <c r="AB1869" s="37">
        <v>1.84571448840781</v>
      </c>
      <c r="AC1869" s="37">
        <v>2.929472945444354</v>
      </c>
      <c r="AD1869" s="37">
        <v>3.5223524619694566</v>
      </c>
    </row>
    <row r="1870" spans="27:30" x14ac:dyDescent="0.3">
      <c r="AA1870" s="37">
        <v>1850</v>
      </c>
      <c r="AB1870" s="37">
        <v>1.7992693176492134</v>
      </c>
      <c r="AC1870" s="37">
        <v>2.9096288166920301</v>
      </c>
      <c r="AD1870" s="37">
        <v>3.393967921600292</v>
      </c>
    </row>
    <row r="1871" spans="27:30" x14ac:dyDescent="0.3">
      <c r="AA1871" s="37">
        <v>1851</v>
      </c>
      <c r="AB1871" s="37">
        <v>1.737433478191081</v>
      </c>
      <c r="AC1871" s="37">
        <v>2.9772622679142842</v>
      </c>
      <c r="AD1871" s="37">
        <v>3.2519294448107594</v>
      </c>
    </row>
    <row r="1872" spans="27:30" x14ac:dyDescent="0.3">
      <c r="AA1872" s="37">
        <v>1852</v>
      </c>
      <c r="AB1872" s="37">
        <v>1.7888576425286991</v>
      </c>
      <c r="AC1872" s="37">
        <v>2.944579215202451</v>
      </c>
      <c r="AD1872" s="37">
        <v>3.3680502226286375</v>
      </c>
    </row>
    <row r="1873" spans="27:30" x14ac:dyDescent="0.3">
      <c r="AA1873" s="37">
        <v>1853</v>
      </c>
      <c r="AB1873" s="37">
        <v>1.8063150504926349</v>
      </c>
      <c r="AC1873" s="37">
        <v>2.7979071129581681</v>
      </c>
      <c r="AD1873" s="37">
        <v>3.2210889333089372</v>
      </c>
    </row>
    <row r="1874" spans="27:30" x14ac:dyDescent="0.3">
      <c r="AA1874" s="37">
        <v>1854</v>
      </c>
      <c r="AB1874" s="37">
        <v>1.7484100340388549</v>
      </c>
      <c r="AC1874" s="37">
        <v>2.7639133872282109</v>
      </c>
      <c r="AD1874" s="37">
        <v>3.4007815459046116</v>
      </c>
    </row>
    <row r="1875" spans="27:30" x14ac:dyDescent="0.3">
      <c r="AA1875" s="37">
        <v>1855</v>
      </c>
      <c r="AB1875" s="37">
        <v>1.7978278193359327</v>
      </c>
      <c r="AC1875" s="37">
        <v>2.7965418744091961</v>
      </c>
      <c r="AD1875" s="37">
        <v>3.3535975282254609</v>
      </c>
    </row>
    <row r="1876" spans="27:30" x14ac:dyDescent="0.3">
      <c r="AA1876" s="37">
        <v>1856</v>
      </c>
      <c r="AB1876" s="37">
        <v>1.7625573997258019</v>
      </c>
      <c r="AC1876" s="37">
        <v>2.8180918842707219</v>
      </c>
      <c r="AD1876" s="37">
        <v>3.4018300484443089</v>
      </c>
    </row>
    <row r="1877" spans="27:30" x14ac:dyDescent="0.3">
      <c r="AA1877" s="37">
        <v>1857</v>
      </c>
      <c r="AB1877" s="37">
        <v>1.825063753485338</v>
      </c>
      <c r="AC1877" s="37">
        <v>2.8671596319460377</v>
      </c>
      <c r="AD1877" s="37">
        <v>3.3527031539130423</v>
      </c>
    </row>
    <row r="1878" spans="27:30" x14ac:dyDescent="0.3">
      <c r="AA1878" s="37">
        <v>1858</v>
      </c>
      <c r="AB1878" s="37">
        <v>1.7656684641775986</v>
      </c>
      <c r="AC1878" s="37">
        <v>3.0099640695821357</v>
      </c>
      <c r="AD1878" s="37">
        <v>3.4221047761809245</v>
      </c>
    </row>
    <row r="1879" spans="27:30" x14ac:dyDescent="0.3">
      <c r="AA1879" s="37">
        <v>1859</v>
      </c>
      <c r="AB1879" s="37">
        <v>1.7491561595370113</v>
      </c>
      <c r="AC1879" s="37">
        <v>2.7455123234083909</v>
      </c>
      <c r="AD1879" s="37">
        <v>3.2606219067581268</v>
      </c>
    </row>
    <row r="1880" spans="27:30" x14ac:dyDescent="0.3">
      <c r="AA1880" s="37">
        <v>1860</v>
      </c>
      <c r="AB1880" s="37">
        <v>1.7583886628176941</v>
      </c>
      <c r="AC1880" s="37">
        <v>3.1151686306895554</v>
      </c>
      <c r="AD1880" s="37">
        <v>3.358115977833334</v>
      </c>
    </row>
    <row r="1881" spans="27:30" x14ac:dyDescent="0.3">
      <c r="AA1881" s="37">
        <v>1861</v>
      </c>
      <c r="AB1881" s="37">
        <v>1.7508969762999858</v>
      </c>
      <c r="AC1881" s="37">
        <v>2.7667406372564756</v>
      </c>
      <c r="AD1881" s="37">
        <v>3.3879555252211362</v>
      </c>
    </row>
    <row r="1882" spans="27:30" x14ac:dyDescent="0.3">
      <c r="AA1882" s="37">
        <v>1862</v>
      </c>
      <c r="AB1882" s="37">
        <v>1.7884424605832518</v>
      </c>
      <c r="AC1882" s="37">
        <v>2.8932797415904177</v>
      </c>
      <c r="AD1882" s="37">
        <v>3.2486565299949981</v>
      </c>
    </row>
    <row r="1883" spans="27:30" x14ac:dyDescent="0.3">
      <c r="AA1883" s="37">
        <v>1863</v>
      </c>
      <c r="AB1883" s="37">
        <v>1.7618515172644225</v>
      </c>
      <c r="AC1883" s="37">
        <v>2.985441670733445</v>
      </c>
      <c r="AD1883" s="37">
        <v>3.2009972090401986</v>
      </c>
    </row>
    <row r="1884" spans="27:30" x14ac:dyDescent="0.3">
      <c r="AA1884" s="37">
        <v>1864</v>
      </c>
      <c r="AB1884" s="37">
        <v>1.7756520329968184</v>
      </c>
      <c r="AC1884" s="37">
        <v>2.9846686597978676</v>
      </c>
      <c r="AD1884" s="37">
        <v>3.3208127554586047</v>
      </c>
    </row>
    <row r="1885" spans="27:30" x14ac:dyDescent="0.3">
      <c r="AA1885" s="37">
        <v>1865</v>
      </c>
      <c r="AB1885" s="37">
        <v>1.835940440664612</v>
      </c>
      <c r="AC1885" s="37">
        <v>2.7448936634570336</v>
      </c>
      <c r="AD1885" s="37">
        <v>3.3044126273407799</v>
      </c>
    </row>
    <row r="1886" spans="27:30" x14ac:dyDescent="0.3">
      <c r="AA1886" s="37">
        <v>1866</v>
      </c>
      <c r="AB1886" s="37">
        <v>1.8321249678521614</v>
      </c>
      <c r="AC1886" s="37">
        <v>2.7745414883549793</v>
      </c>
      <c r="AD1886" s="37">
        <v>3.3986549332520068</v>
      </c>
    </row>
    <row r="1887" spans="27:30" x14ac:dyDescent="0.3">
      <c r="AA1887" s="37">
        <v>1867</v>
      </c>
      <c r="AB1887" s="37">
        <v>1.7326356274767505</v>
      </c>
      <c r="AC1887" s="37">
        <v>2.79253114294497</v>
      </c>
      <c r="AD1887" s="37">
        <v>3.2609008263635504</v>
      </c>
    </row>
    <row r="1888" spans="27:30" x14ac:dyDescent="0.3">
      <c r="AA1888" s="37">
        <v>1868</v>
      </c>
      <c r="AB1888" s="37">
        <v>1.8001663736685085</v>
      </c>
      <c r="AC1888" s="37">
        <v>2.9027754634643785</v>
      </c>
      <c r="AD1888" s="37">
        <v>3.5915230291338491</v>
      </c>
    </row>
    <row r="1889" spans="27:30" x14ac:dyDescent="0.3">
      <c r="AA1889" s="37">
        <v>1869</v>
      </c>
      <c r="AB1889" s="37">
        <v>1.9416547024888209</v>
      </c>
      <c r="AC1889" s="37">
        <v>2.9533908110967073</v>
      </c>
      <c r="AD1889" s="37">
        <v>3.1082508989212521</v>
      </c>
    </row>
    <row r="1890" spans="27:30" x14ac:dyDescent="0.3">
      <c r="AA1890" s="37">
        <v>1870</v>
      </c>
      <c r="AB1890" s="37">
        <v>1.8262173989101405</v>
      </c>
      <c r="AC1890" s="37">
        <v>2.8099459281723282</v>
      </c>
      <c r="AD1890" s="37">
        <v>3.5055590366716634</v>
      </c>
    </row>
    <row r="1891" spans="27:30" x14ac:dyDescent="0.3">
      <c r="AA1891" s="37">
        <v>1871</v>
      </c>
      <c r="AB1891" s="37">
        <v>1.7205876770192539</v>
      </c>
      <c r="AC1891" s="37">
        <v>2.7699000454983747</v>
      </c>
      <c r="AD1891" s="37">
        <v>3.4224459071160149</v>
      </c>
    </row>
    <row r="1892" spans="27:30" x14ac:dyDescent="0.3">
      <c r="AA1892" s="37">
        <v>1872</v>
      </c>
      <c r="AB1892" s="37">
        <v>1.6941375731208914</v>
      </c>
      <c r="AC1892" s="37">
        <v>2.937496704375719</v>
      </c>
      <c r="AD1892" s="37">
        <v>3.0692639255079901</v>
      </c>
    </row>
    <row r="1893" spans="27:30" x14ac:dyDescent="0.3">
      <c r="AA1893" s="37">
        <v>1873</v>
      </c>
      <c r="AB1893" s="37">
        <v>1.9102566925597975</v>
      </c>
      <c r="AC1893" s="37">
        <v>2.8618445352308388</v>
      </c>
      <c r="AD1893" s="37">
        <v>3.4632870300258523</v>
      </c>
    </row>
    <row r="1894" spans="27:30" x14ac:dyDescent="0.3">
      <c r="AA1894" s="37">
        <v>1874</v>
      </c>
      <c r="AB1894" s="37">
        <v>1.6890440648595628</v>
      </c>
      <c r="AC1894" s="37">
        <v>2.9859471756552565</v>
      </c>
      <c r="AD1894" s="37">
        <v>3.2439302596325446</v>
      </c>
    </row>
    <row r="1895" spans="27:30" x14ac:dyDescent="0.3">
      <c r="AA1895" s="37">
        <v>1875</v>
      </c>
      <c r="AB1895" s="37">
        <v>1.8134481121824431</v>
      </c>
      <c r="AC1895" s="37">
        <v>3.0349421137787282</v>
      </c>
      <c r="AD1895" s="37">
        <v>3.4404940345445567</v>
      </c>
    </row>
    <row r="1896" spans="27:30" x14ac:dyDescent="0.3">
      <c r="AA1896" s="37">
        <v>1876</v>
      </c>
      <c r="AB1896" s="37">
        <v>1.8819660347183091</v>
      </c>
      <c r="AC1896" s="37">
        <v>2.8401992038389139</v>
      </c>
      <c r="AD1896" s="37">
        <v>3.6440057340952379</v>
      </c>
    </row>
    <row r="1897" spans="27:30" x14ac:dyDescent="0.3">
      <c r="AA1897" s="37">
        <v>1877</v>
      </c>
      <c r="AB1897" s="37">
        <v>1.7404333010678386</v>
      </c>
      <c r="AC1897" s="37">
        <v>2.8720059093115671</v>
      </c>
      <c r="AD1897" s="37">
        <v>3.6602518555163552</v>
      </c>
    </row>
    <row r="1898" spans="27:30" x14ac:dyDescent="0.3">
      <c r="AA1898" s="37">
        <v>1878</v>
      </c>
      <c r="AB1898" s="37">
        <v>1.8035512742114965</v>
      </c>
      <c r="AC1898" s="37">
        <v>2.8070907724038685</v>
      </c>
      <c r="AD1898" s="37">
        <v>3.5721226395917842</v>
      </c>
    </row>
    <row r="1899" spans="27:30" x14ac:dyDescent="0.3">
      <c r="AA1899" s="37">
        <v>1879</v>
      </c>
      <c r="AB1899" s="37">
        <v>1.7367990264584847</v>
      </c>
      <c r="AC1899" s="37">
        <v>2.9226346038597355</v>
      </c>
      <c r="AD1899" s="37">
        <v>3.3580995373443057</v>
      </c>
    </row>
    <row r="1900" spans="27:30" x14ac:dyDescent="0.3">
      <c r="AA1900" s="37">
        <v>1880</v>
      </c>
      <c r="AB1900" s="37">
        <v>1.776402526689101</v>
      </c>
      <c r="AC1900" s="37">
        <v>2.7437914837146158</v>
      </c>
      <c r="AD1900" s="37">
        <v>3.4466161251189917</v>
      </c>
    </row>
    <row r="1901" spans="27:30" x14ac:dyDescent="0.3">
      <c r="AA1901" s="37">
        <v>1881</v>
      </c>
      <c r="AB1901" s="37">
        <v>1.8031339234190886</v>
      </c>
      <c r="AC1901" s="37">
        <v>2.9426686375219173</v>
      </c>
      <c r="AD1901" s="37">
        <v>3.5211361339928136</v>
      </c>
    </row>
    <row r="1902" spans="27:30" x14ac:dyDescent="0.3">
      <c r="AA1902" s="37">
        <v>1882</v>
      </c>
      <c r="AB1902" s="37">
        <v>1.7686652519319002</v>
      </c>
      <c r="AC1902" s="37">
        <v>2.8774662818317491</v>
      </c>
      <c r="AD1902" s="37">
        <v>3.4210512909372572</v>
      </c>
    </row>
    <row r="1903" spans="27:30" x14ac:dyDescent="0.3">
      <c r="AA1903" s="37">
        <v>1883</v>
      </c>
      <c r="AB1903" s="37">
        <v>1.8676621799394766</v>
      </c>
      <c r="AC1903" s="37">
        <v>3.0735582283254765</v>
      </c>
      <c r="AD1903" s="37">
        <v>3.2493556760097544</v>
      </c>
    </row>
    <row r="1904" spans="27:30" x14ac:dyDescent="0.3">
      <c r="AA1904" s="37">
        <v>1884</v>
      </c>
      <c r="AB1904" s="37">
        <v>1.8956677194992479</v>
      </c>
      <c r="AC1904" s="37">
        <v>2.7984993566886769</v>
      </c>
      <c r="AD1904" s="37">
        <v>3.3578227647762651</v>
      </c>
    </row>
    <row r="1905" spans="27:30" x14ac:dyDescent="0.3">
      <c r="AA1905" s="37">
        <v>1885</v>
      </c>
      <c r="AB1905" s="37">
        <v>1.7234903632629197</v>
      </c>
      <c r="AC1905" s="37">
        <v>2.943052142635763</v>
      </c>
      <c r="AD1905" s="37">
        <v>3.1843643467266043</v>
      </c>
    </row>
    <row r="1906" spans="27:30" x14ac:dyDescent="0.3">
      <c r="AA1906" s="37">
        <v>1886</v>
      </c>
      <c r="AB1906" s="37">
        <v>1.8500724407290638</v>
      </c>
      <c r="AC1906" s="37">
        <v>2.8574952337221298</v>
      </c>
      <c r="AD1906" s="37">
        <v>3.3194116226144597</v>
      </c>
    </row>
    <row r="1907" spans="27:30" x14ac:dyDescent="0.3">
      <c r="AA1907" s="37">
        <v>1887</v>
      </c>
      <c r="AB1907" s="37">
        <v>1.8290612120092571</v>
      </c>
      <c r="AC1907" s="37">
        <v>2.9083118213341872</v>
      </c>
      <c r="AD1907" s="37">
        <v>3.1408662183896139</v>
      </c>
    </row>
    <row r="1908" spans="27:30" x14ac:dyDescent="0.3">
      <c r="AA1908" s="37">
        <v>1888</v>
      </c>
      <c r="AB1908" s="37">
        <v>1.7903943304803842</v>
      </c>
      <c r="AC1908" s="37">
        <v>2.773719734213246</v>
      </c>
      <c r="AD1908" s="37">
        <v>3.2852931419665827</v>
      </c>
    </row>
    <row r="1909" spans="27:30" x14ac:dyDescent="0.3">
      <c r="AA1909" s="37">
        <v>1889</v>
      </c>
      <c r="AB1909" s="37">
        <v>1.8767062007131288</v>
      </c>
      <c r="AC1909" s="37">
        <v>2.9544769766126473</v>
      </c>
      <c r="AD1909" s="37">
        <v>3.4255296935678476</v>
      </c>
    </row>
    <row r="1910" spans="27:30" x14ac:dyDescent="0.3">
      <c r="AA1910" s="37">
        <v>1890</v>
      </c>
      <c r="AB1910" s="37">
        <v>1.8852517396630186</v>
      </c>
      <c r="AC1910" s="37">
        <v>2.9787423800761679</v>
      </c>
      <c r="AD1910" s="37">
        <v>3.2807357187834674</v>
      </c>
    </row>
    <row r="1911" spans="27:30" x14ac:dyDescent="0.3">
      <c r="AA1911" s="37">
        <v>1891</v>
      </c>
      <c r="AB1911" s="37">
        <v>1.7255985927534756</v>
      </c>
      <c r="AC1911" s="37">
        <v>2.8621024284285084</v>
      </c>
      <c r="AD1911" s="37">
        <v>3.5372615723803844</v>
      </c>
    </row>
    <row r="1912" spans="27:30" x14ac:dyDescent="0.3">
      <c r="AA1912" s="37">
        <v>1892</v>
      </c>
      <c r="AB1912" s="37">
        <v>1.7606011031853241</v>
      </c>
      <c r="AC1912" s="37">
        <v>2.753650521726267</v>
      </c>
      <c r="AD1912" s="37">
        <v>3.4264755790196064</v>
      </c>
    </row>
    <row r="1913" spans="27:30" x14ac:dyDescent="0.3">
      <c r="AA1913" s="37">
        <v>1893</v>
      </c>
      <c r="AB1913" s="37">
        <v>1.70899568778711</v>
      </c>
      <c r="AC1913" s="37">
        <v>3.1130326809155422</v>
      </c>
      <c r="AD1913" s="37">
        <v>3.4548884040072654</v>
      </c>
    </row>
    <row r="1914" spans="27:30" x14ac:dyDescent="0.3">
      <c r="AA1914" s="37">
        <v>1894</v>
      </c>
      <c r="AB1914" s="37">
        <v>1.8460356239696336</v>
      </c>
      <c r="AC1914" s="37">
        <v>2.7693599276193961</v>
      </c>
      <c r="AD1914" s="37">
        <v>3.3254657382166468</v>
      </c>
    </row>
    <row r="1915" spans="27:30" x14ac:dyDescent="0.3">
      <c r="AA1915" s="37">
        <v>1895</v>
      </c>
      <c r="AB1915" s="37">
        <v>1.8708279062379949</v>
      </c>
      <c r="AC1915" s="37">
        <v>2.9300999926522078</v>
      </c>
      <c r="AD1915" s="37">
        <v>3.3703785026220752</v>
      </c>
    </row>
    <row r="1916" spans="27:30" x14ac:dyDescent="0.3">
      <c r="AA1916" s="37">
        <v>1896</v>
      </c>
      <c r="AB1916" s="37">
        <v>1.8629921279930275</v>
      </c>
      <c r="AC1916" s="37">
        <v>2.9799997049672604</v>
      </c>
      <c r="AD1916" s="37">
        <v>3.3922153664850287</v>
      </c>
    </row>
    <row r="1917" spans="27:30" x14ac:dyDescent="0.3">
      <c r="AA1917" s="37">
        <v>1897</v>
      </c>
      <c r="AB1917" s="37">
        <v>1.8155417290282183</v>
      </c>
      <c r="AC1917" s="37">
        <v>2.7768514282860006</v>
      </c>
      <c r="AD1917" s="37">
        <v>3.3762128526548589</v>
      </c>
    </row>
    <row r="1918" spans="27:30" x14ac:dyDescent="0.3">
      <c r="AA1918" s="37">
        <v>1898</v>
      </c>
      <c r="AB1918" s="37">
        <v>1.8719808734157131</v>
      </c>
      <c r="AC1918" s="37">
        <v>2.9768699839566217</v>
      </c>
      <c r="AD1918" s="37">
        <v>3.2531180358691847</v>
      </c>
    </row>
    <row r="1919" spans="27:30" x14ac:dyDescent="0.3">
      <c r="AA1919" s="37">
        <v>1899</v>
      </c>
      <c r="AB1919" s="37">
        <v>1.7938731096877483</v>
      </c>
      <c r="AC1919" s="37">
        <v>2.7198279601558681</v>
      </c>
      <c r="AD1919" s="37">
        <v>3.4537746964613136</v>
      </c>
    </row>
    <row r="1920" spans="27:30" x14ac:dyDescent="0.3">
      <c r="AA1920" s="37">
        <v>1900</v>
      </c>
      <c r="AB1920" s="37">
        <v>1.8502884957221188</v>
      </c>
      <c r="AC1920" s="37">
        <v>2.6528478605779382</v>
      </c>
      <c r="AD1920" s="37">
        <v>3.4606279265717865</v>
      </c>
    </row>
    <row r="1921" spans="27:30" x14ac:dyDescent="0.3">
      <c r="AA1921" s="37">
        <v>1901</v>
      </c>
      <c r="AB1921" s="37">
        <v>1.8201182167890775</v>
      </c>
      <c r="AC1921" s="37">
        <v>2.8412850602815634</v>
      </c>
      <c r="AD1921" s="37">
        <v>3.2685649876981833</v>
      </c>
    </row>
    <row r="1922" spans="27:30" x14ac:dyDescent="0.3">
      <c r="AA1922" s="37">
        <v>1902</v>
      </c>
      <c r="AB1922" s="37">
        <v>1.8501572252249103</v>
      </c>
      <c r="AC1922" s="37">
        <v>2.7657842918198736</v>
      </c>
      <c r="AD1922" s="37">
        <v>3.3299679236121595</v>
      </c>
    </row>
    <row r="1923" spans="27:30" x14ac:dyDescent="0.3">
      <c r="AA1923" s="37">
        <v>1903</v>
      </c>
      <c r="AB1923" s="37">
        <v>1.7356660287536825</v>
      </c>
      <c r="AC1923" s="37">
        <v>2.7043004992351407</v>
      </c>
      <c r="AD1923" s="37">
        <v>3.2969245785554833</v>
      </c>
    </row>
    <row r="1924" spans="27:30" x14ac:dyDescent="0.3">
      <c r="AA1924" s="37">
        <v>1904</v>
      </c>
      <c r="AB1924" s="37">
        <v>1.7558313155576228</v>
      </c>
      <c r="AC1924" s="37">
        <v>2.9083961623714161</v>
      </c>
      <c r="AD1924" s="37">
        <v>3.2125690398519797</v>
      </c>
    </row>
    <row r="1925" spans="27:30" x14ac:dyDescent="0.3">
      <c r="AA1925" s="37">
        <v>1905</v>
      </c>
      <c r="AB1925" s="37">
        <v>1.8155183754057593</v>
      </c>
      <c r="AC1925" s="37">
        <v>2.9235855944677196</v>
      </c>
      <c r="AD1925" s="37">
        <v>3.3572914366191555</v>
      </c>
    </row>
    <row r="1926" spans="27:30" x14ac:dyDescent="0.3">
      <c r="AA1926" s="37">
        <v>1906</v>
      </c>
      <c r="AB1926" s="37">
        <v>1.7890264857842793</v>
      </c>
      <c r="AC1926" s="37">
        <v>2.8409382202402225</v>
      </c>
      <c r="AD1926" s="37">
        <v>3.3618937995026501</v>
      </c>
    </row>
    <row r="1927" spans="27:30" x14ac:dyDescent="0.3">
      <c r="AA1927" s="37">
        <v>1907</v>
      </c>
      <c r="AB1927" s="37">
        <v>1.9550533817797848</v>
      </c>
      <c r="AC1927" s="37">
        <v>3.0197772556728322</v>
      </c>
      <c r="AD1927" s="37">
        <v>3.3780635743662257</v>
      </c>
    </row>
    <row r="1928" spans="27:30" x14ac:dyDescent="0.3">
      <c r="AA1928" s="37">
        <v>1908</v>
      </c>
      <c r="AB1928" s="37">
        <v>1.8437920669378671</v>
      </c>
      <c r="AC1928" s="37">
        <v>2.8257920860532484</v>
      </c>
      <c r="AD1928" s="37">
        <v>3.4955929360823816</v>
      </c>
    </row>
    <row r="1929" spans="27:30" x14ac:dyDescent="0.3">
      <c r="AA1929" s="37">
        <v>1909</v>
      </c>
      <c r="AB1929" s="37">
        <v>1.7733768888275656</v>
      </c>
      <c r="AC1929" s="37">
        <v>2.7242458238562497</v>
      </c>
      <c r="AD1929" s="37">
        <v>3.4374618116589652</v>
      </c>
    </row>
    <row r="1930" spans="27:30" x14ac:dyDescent="0.3">
      <c r="AA1930" s="37">
        <v>1910</v>
      </c>
      <c r="AB1930" s="37">
        <v>1.8652316738733818</v>
      </c>
      <c r="AC1930" s="37">
        <v>2.764606218108276</v>
      </c>
      <c r="AD1930" s="37">
        <v>3.3869727237534213</v>
      </c>
    </row>
    <row r="1931" spans="27:30" x14ac:dyDescent="0.3">
      <c r="AA1931" s="37">
        <v>1911</v>
      </c>
      <c r="AB1931" s="37">
        <v>1.8488271235490195</v>
      </c>
      <c r="AC1931" s="37">
        <v>3.0398697619750639</v>
      </c>
      <c r="AD1931" s="37">
        <v>3.4180181951684743</v>
      </c>
    </row>
    <row r="1932" spans="27:30" x14ac:dyDescent="0.3">
      <c r="AA1932" s="37">
        <v>1912</v>
      </c>
      <c r="AB1932" s="37">
        <v>1.8074589803721355</v>
      </c>
      <c r="AC1932" s="37">
        <v>2.7600705701241166</v>
      </c>
      <c r="AD1932" s="37">
        <v>3.1957582459647593</v>
      </c>
    </row>
    <row r="1933" spans="27:30" x14ac:dyDescent="0.3">
      <c r="AA1933" s="37">
        <v>1913</v>
      </c>
      <c r="AB1933" s="37">
        <v>1.7580058960678657</v>
      </c>
      <c r="AC1933" s="37">
        <v>2.8782079985891751</v>
      </c>
      <c r="AD1933" s="37">
        <v>3.2336475897899248</v>
      </c>
    </row>
    <row r="1934" spans="27:30" x14ac:dyDescent="0.3">
      <c r="AA1934" s="37">
        <v>1914</v>
      </c>
      <c r="AB1934" s="37">
        <v>1.7236788461281258</v>
      </c>
      <c r="AC1934" s="37">
        <v>2.8851926291711361</v>
      </c>
      <c r="AD1934" s="37">
        <v>3.3244895561308687</v>
      </c>
    </row>
    <row r="1935" spans="27:30" x14ac:dyDescent="0.3">
      <c r="AA1935" s="37">
        <v>1915</v>
      </c>
      <c r="AB1935" s="37">
        <v>1.8088489435762958</v>
      </c>
      <c r="AC1935" s="37">
        <v>3.1452136909369197</v>
      </c>
      <c r="AD1935" s="37">
        <v>3.2951273806274597</v>
      </c>
    </row>
    <row r="1936" spans="27:30" x14ac:dyDescent="0.3">
      <c r="AA1936" s="37">
        <v>1916</v>
      </c>
      <c r="AB1936" s="37">
        <v>1.9158013613374354</v>
      </c>
      <c r="AC1936" s="37">
        <v>2.9506615464482193</v>
      </c>
      <c r="AD1936" s="37">
        <v>3.3877776060395384</v>
      </c>
    </row>
    <row r="1937" spans="27:30" x14ac:dyDescent="0.3">
      <c r="AA1937" s="37">
        <v>1917</v>
      </c>
      <c r="AB1937" s="37">
        <v>1.6557880270519749</v>
      </c>
      <c r="AC1937" s="37">
        <v>2.8647912640965001</v>
      </c>
      <c r="AD1937" s="37">
        <v>3.3839999667794376</v>
      </c>
    </row>
    <row r="1938" spans="27:30" x14ac:dyDescent="0.3">
      <c r="AA1938" s="37">
        <v>1918</v>
      </c>
      <c r="AB1938" s="37">
        <v>1.7668384060635591</v>
      </c>
      <c r="AC1938" s="37">
        <v>2.9680020511693028</v>
      </c>
      <c r="AD1938" s="37">
        <v>3.3251916732538471</v>
      </c>
    </row>
    <row r="1939" spans="27:30" x14ac:dyDescent="0.3">
      <c r="AA1939" s="37">
        <v>1919</v>
      </c>
      <c r="AB1939" s="37">
        <v>1.8425567830645013</v>
      </c>
      <c r="AC1939" s="37">
        <v>2.8961123684590233</v>
      </c>
      <c r="AD1939" s="37">
        <v>3.395489173281141</v>
      </c>
    </row>
    <row r="1940" spans="27:30" x14ac:dyDescent="0.3">
      <c r="AA1940" s="37">
        <v>1920</v>
      </c>
      <c r="AB1940" s="37">
        <v>1.7872754522211491</v>
      </c>
      <c r="AC1940" s="37">
        <v>2.8561530066172898</v>
      </c>
      <c r="AD1940" s="37">
        <v>3.3336736277876806</v>
      </c>
    </row>
    <row r="1941" spans="27:30" x14ac:dyDescent="0.3">
      <c r="AA1941" s="37">
        <v>1921</v>
      </c>
      <c r="AB1941" s="37">
        <v>1.6878030917373466</v>
      </c>
      <c r="AC1941" s="37">
        <v>2.8941224574283164</v>
      </c>
      <c r="AD1941" s="37">
        <v>3.2546224813903688</v>
      </c>
    </row>
    <row r="1942" spans="27:30" x14ac:dyDescent="0.3">
      <c r="AA1942" s="37">
        <v>1922</v>
      </c>
      <c r="AB1942" s="37">
        <v>1.8439118257469282</v>
      </c>
      <c r="AC1942" s="37">
        <v>2.9957827189145156</v>
      </c>
      <c r="AD1942" s="37">
        <v>3.3781782032618595</v>
      </c>
    </row>
    <row r="1943" spans="27:30" x14ac:dyDescent="0.3">
      <c r="AA1943" s="37">
        <v>1923</v>
      </c>
      <c r="AB1943" s="37">
        <v>1.7943207249561388</v>
      </c>
      <c r="AC1943" s="37">
        <v>2.9703492086650241</v>
      </c>
      <c r="AD1943" s="37">
        <v>3.1914057763646015</v>
      </c>
    </row>
    <row r="1944" spans="27:30" x14ac:dyDescent="0.3">
      <c r="AA1944" s="37">
        <v>1924</v>
      </c>
      <c r="AB1944" s="37">
        <v>1.8421121960037803</v>
      </c>
      <c r="AC1944" s="37">
        <v>3.1133857636448572</v>
      </c>
      <c r="AD1944" s="37">
        <v>3.2372676866722756</v>
      </c>
    </row>
    <row r="1945" spans="27:30" x14ac:dyDescent="0.3">
      <c r="AA1945" s="37">
        <v>1925</v>
      </c>
      <c r="AB1945" s="37">
        <v>1.8209333328015065</v>
      </c>
      <c r="AC1945" s="37">
        <v>2.580870090478506</v>
      </c>
      <c r="AD1945" s="37">
        <v>3.3533950155983017</v>
      </c>
    </row>
    <row r="1946" spans="27:30" x14ac:dyDescent="0.3">
      <c r="AA1946" s="37">
        <v>1926</v>
      </c>
      <c r="AB1946" s="37">
        <v>1.808027659410478</v>
      </c>
      <c r="AC1946" s="37">
        <v>3.0349129100704189</v>
      </c>
      <c r="AD1946" s="37">
        <v>3.4553616562091505</v>
      </c>
    </row>
    <row r="1947" spans="27:30" x14ac:dyDescent="0.3">
      <c r="AA1947" s="37">
        <v>1927</v>
      </c>
      <c r="AB1947" s="37">
        <v>1.7890042494098302</v>
      </c>
      <c r="AC1947" s="37">
        <v>2.8760111754409832</v>
      </c>
      <c r="AD1947" s="37">
        <v>3.5011026397021667</v>
      </c>
    </row>
    <row r="1948" spans="27:30" x14ac:dyDescent="0.3">
      <c r="AA1948" s="37">
        <v>1928</v>
      </c>
      <c r="AB1948" s="37">
        <v>1.8216182035436239</v>
      </c>
      <c r="AC1948" s="37">
        <v>2.9594789749183277</v>
      </c>
      <c r="AD1948" s="37">
        <v>3.2550475427767718</v>
      </c>
    </row>
    <row r="1949" spans="27:30" x14ac:dyDescent="0.3">
      <c r="AA1949" s="37">
        <v>1929</v>
      </c>
      <c r="AB1949" s="37">
        <v>1.7611627053708765</v>
      </c>
      <c r="AC1949" s="37">
        <v>2.8403712757722244</v>
      </c>
      <c r="AD1949" s="37">
        <v>3.3457081058073412</v>
      </c>
    </row>
    <row r="1950" spans="27:30" x14ac:dyDescent="0.3">
      <c r="AA1950" s="37">
        <v>1930</v>
      </c>
      <c r="AB1950" s="37">
        <v>1.8679917436330264</v>
      </c>
      <c r="AC1950" s="37">
        <v>2.7245809001797436</v>
      </c>
      <c r="AD1950" s="37">
        <v>3.3662204566212965</v>
      </c>
    </row>
    <row r="1951" spans="27:30" x14ac:dyDescent="0.3">
      <c r="AA1951" s="37">
        <v>1931</v>
      </c>
      <c r="AB1951" s="37">
        <v>1.7279533362891049</v>
      </c>
      <c r="AC1951" s="37">
        <v>2.8909265199211442</v>
      </c>
      <c r="AD1951" s="37">
        <v>3.1560370343473458</v>
      </c>
    </row>
    <row r="1952" spans="27:30" x14ac:dyDescent="0.3">
      <c r="AA1952" s="37">
        <v>1932</v>
      </c>
      <c r="AB1952" s="37">
        <v>1.8901990193102249</v>
      </c>
      <c r="AC1952" s="37">
        <v>2.8698985532720442</v>
      </c>
      <c r="AD1952" s="37">
        <v>3.3003268734402331</v>
      </c>
    </row>
    <row r="1953" spans="27:30" x14ac:dyDescent="0.3">
      <c r="AA1953" s="37">
        <v>1933</v>
      </c>
      <c r="AB1953" s="37">
        <v>1.8057390339252342</v>
      </c>
      <c r="AC1953" s="37">
        <v>2.9004287955713699</v>
      </c>
      <c r="AD1953" s="37">
        <v>3.176460689264248</v>
      </c>
    </row>
    <row r="1954" spans="27:30" x14ac:dyDescent="0.3">
      <c r="AA1954" s="37">
        <v>1934</v>
      </c>
      <c r="AB1954" s="37">
        <v>1.788162669259846</v>
      </c>
      <c r="AC1954" s="37">
        <v>2.8874372961899448</v>
      </c>
      <c r="AD1954" s="37">
        <v>3.2473069414385569</v>
      </c>
    </row>
    <row r="1955" spans="27:30" x14ac:dyDescent="0.3">
      <c r="AA1955" s="37">
        <v>1935</v>
      </c>
      <c r="AB1955" s="37">
        <v>1.7164759114793373</v>
      </c>
      <c r="AC1955" s="37">
        <v>2.9563730585805268</v>
      </c>
      <c r="AD1955" s="37">
        <v>3.4795744343414907</v>
      </c>
    </row>
    <row r="1956" spans="27:30" x14ac:dyDescent="0.3">
      <c r="AA1956" s="37">
        <v>1936</v>
      </c>
      <c r="AB1956" s="37">
        <v>1.7452734207586302</v>
      </c>
      <c r="AC1956" s="37">
        <v>2.8525058757101815</v>
      </c>
      <c r="AD1956" s="37">
        <v>3.4640823680668569</v>
      </c>
    </row>
    <row r="1957" spans="27:30" x14ac:dyDescent="0.3">
      <c r="AA1957" s="37">
        <v>1937</v>
      </c>
      <c r="AB1957" s="37">
        <v>1.7828277651219757</v>
      </c>
      <c r="AC1957" s="37">
        <v>3.0438717756246603</v>
      </c>
      <c r="AD1957" s="37">
        <v>3.3578550891957302</v>
      </c>
    </row>
    <row r="1958" spans="27:30" x14ac:dyDescent="0.3">
      <c r="AA1958" s="37">
        <v>1938</v>
      </c>
      <c r="AB1958" s="37">
        <v>1.7534671572284211</v>
      </c>
      <c r="AC1958" s="37">
        <v>2.8833158701504278</v>
      </c>
      <c r="AD1958" s="37">
        <v>3.5580680041605017</v>
      </c>
    </row>
    <row r="1959" spans="27:30" x14ac:dyDescent="0.3">
      <c r="AA1959" s="37">
        <v>1939</v>
      </c>
      <c r="AB1959" s="37">
        <v>1.6251527123892398</v>
      </c>
      <c r="AC1959" s="37">
        <v>2.8540353124257067</v>
      </c>
      <c r="AD1959" s="37">
        <v>3.5732490592553288</v>
      </c>
    </row>
    <row r="1960" spans="27:30" x14ac:dyDescent="0.3">
      <c r="AA1960" s="37">
        <v>1940</v>
      </c>
      <c r="AB1960" s="37">
        <v>1.8414836248956461</v>
      </c>
      <c r="AC1960" s="37">
        <v>2.7074604237442412</v>
      </c>
      <c r="AD1960" s="37">
        <v>3.2344865774832336</v>
      </c>
    </row>
    <row r="1961" spans="27:30" x14ac:dyDescent="0.3">
      <c r="AA1961" s="37">
        <v>1941</v>
      </c>
      <c r="AB1961" s="37">
        <v>1.8181126663028933</v>
      </c>
      <c r="AC1961" s="37">
        <v>2.8565079959660085</v>
      </c>
      <c r="AD1961" s="37">
        <v>3.3411071801967061</v>
      </c>
    </row>
    <row r="1962" spans="27:30" x14ac:dyDescent="0.3">
      <c r="AA1962" s="37">
        <v>1942</v>
      </c>
      <c r="AB1962" s="37">
        <v>1.7421184878588631</v>
      </c>
      <c r="AC1962" s="37">
        <v>2.7796313704928974</v>
      </c>
      <c r="AD1962" s="37">
        <v>3.2312395635453228</v>
      </c>
    </row>
    <row r="1963" spans="27:30" x14ac:dyDescent="0.3">
      <c r="AA1963" s="37">
        <v>1943</v>
      </c>
      <c r="AB1963" s="37">
        <v>1.8067671511352548</v>
      </c>
      <c r="AC1963" s="37">
        <v>2.870021620555208</v>
      </c>
      <c r="AD1963" s="37">
        <v>3.306587453058754</v>
      </c>
    </row>
    <row r="1964" spans="27:30" x14ac:dyDescent="0.3">
      <c r="AA1964" s="37">
        <v>1944</v>
      </c>
      <c r="AB1964" s="37">
        <v>1.8050780225935446</v>
      </c>
      <c r="AC1964" s="37">
        <v>2.6642060365163545</v>
      </c>
      <c r="AD1964" s="37">
        <v>3.3532914545736028</v>
      </c>
    </row>
    <row r="1965" spans="27:30" x14ac:dyDescent="0.3">
      <c r="AA1965" s="37">
        <v>1945</v>
      </c>
      <c r="AB1965" s="37">
        <v>1.7125585532574361</v>
      </c>
      <c r="AC1965" s="37">
        <v>2.8577929437946632</v>
      </c>
      <c r="AD1965" s="37">
        <v>3.4383881507163805</v>
      </c>
    </row>
    <row r="1966" spans="27:30" x14ac:dyDescent="0.3">
      <c r="AA1966" s="37">
        <v>1946</v>
      </c>
      <c r="AB1966" s="37">
        <v>1.8392969918834079</v>
      </c>
      <c r="AC1966" s="37">
        <v>2.9561151033212565</v>
      </c>
      <c r="AD1966" s="37">
        <v>3.3212613483914519</v>
      </c>
    </row>
    <row r="1967" spans="27:30" x14ac:dyDescent="0.3">
      <c r="AA1967" s="37">
        <v>1947</v>
      </c>
      <c r="AB1967" s="37">
        <v>1.8628724694813925</v>
      </c>
      <c r="AC1967" s="37">
        <v>2.8732692447920867</v>
      </c>
      <c r="AD1967" s="37">
        <v>3.2472360005817889</v>
      </c>
    </row>
    <row r="1968" spans="27:30" x14ac:dyDescent="0.3">
      <c r="AA1968" s="37">
        <v>1948</v>
      </c>
      <c r="AB1968" s="37">
        <v>1.696013490607625</v>
      </c>
      <c r="AC1968" s="37">
        <v>2.9063716064582632</v>
      </c>
      <c r="AD1968" s="37">
        <v>3.291095485209226</v>
      </c>
    </row>
    <row r="1969" spans="27:30" x14ac:dyDescent="0.3">
      <c r="AA1969" s="37">
        <v>1949</v>
      </c>
      <c r="AB1969" s="37">
        <v>1.964475483844752</v>
      </c>
      <c r="AC1969" s="37">
        <v>2.6755341392895828</v>
      </c>
      <c r="AD1969" s="37">
        <v>3.335176761559826</v>
      </c>
    </row>
    <row r="1970" spans="27:30" x14ac:dyDescent="0.3">
      <c r="AA1970" s="37">
        <v>1950</v>
      </c>
      <c r="AB1970" s="37">
        <v>1.7997514879421543</v>
      </c>
      <c r="AC1970" s="37">
        <v>2.7590746870942686</v>
      </c>
      <c r="AD1970" s="37">
        <v>3.6231801379538227</v>
      </c>
    </row>
    <row r="1971" spans="27:30" x14ac:dyDescent="0.3">
      <c r="AA1971" s="37">
        <v>1951</v>
      </c>
      <c r="AB1971" s="37">
        <v>1.8090975646020471</v>
      </c>
      <c r="AC1971" s="37">
        <v>2.8138911341890163</v>
      </c>
      <c r="AD1971" s="37">
        <v>3.3840918257200236</v>
      </c>
    </row>
    <row r="1972" spans="27:30" x14ac:dyDescent="0.3">
      <c r="AA1972" s="37">
        <v>1952</v>
      </c>
      <c r="AB1972" s="37">
        <v>1.8187929141324919</v>
      </c>
      <c r="AC1972" s="37">
        <v>2.6425370740125769</v>
      </c>
      <c r="AD1972" s="37">
        <v>3.5645206548438213</v>
      </c>
    </row>
    <row r="1973" spans="27:30" x14ac:dyDescent="0.3">
      <c r="AA1973" s="37">
        <v>1953</v>
      </c>
      <c r="AB1973" s="37">
        <v>1.8515515534222231</v>
      </c>
      <c r="AC1973" s="37">
        <v>2.8898944137387668</v>
      </c>
      <c r="AD1973" s="37">
        <v>3.3740786831254499</v>
      </c>
    </row>
    <row r="1974" spans="27:30" x14ac:dyDescent="0.3">
      <c r="AA1974" s="37">
        <v>1954</v>
      </c>
      <c r="AB1974" s="37">
        <v>1.6710254925216212</v>
      </c>
      <c r="AC1974" s="37">
        <v>2.71070499648344</v>
      </c>
      <c r="AD1974" s="37">
        <v>3.4377880303421158</v>
      </c>
    </row>
    <row r="1975" spans="27:30" x14ac:dyDescent="0.3">
      <c r="AA1975" s="37">
        <v>1955</v>
      </c>
      <c r="AB1975" s="37">
        <v>1.6556449727227422</v>
      </c>
      <c r="AC1975" s="37">
        <v>3.0286336670219973</v>
      </c>
      <c r="AD1975" s="37">
        <v>3.507614394962232</v>
      </c>
    </row>
    <row r="1976" spans="27:30" x14ac:dyDescent="0.3">
      <c r="AA1976" s="37">
        <v>1956</v>
      </c>
      <c r="AB1976" s="37">
        <v>1.7838000750837006</v>
      </c>
      <c r="AC1976" s="37">
        <v>2.9027175955480544</v>
      </c>
      <c r="AD1976" s="37">
        <v>3.3280972166885303</v>
      </c>
    </row>
    <row r="1977" spans="27:30" x14ac:dyDescent="0.3">
      <c r="AA1977" s="37">
        <v>1957</v>
      </c>
      <c r="AB1977" s="37">
        <v>1.7260444854077901</v>
      </c>
      <c r="AC1977" s="37">
        <v>2.7248518280180289</v>
      </c>
      <c r="AD1977" s="37">
        <v>3.388122104050451</v>
      </c>
    </row>
    <row r="1978" spans="27:30" x14ac:dyDescent="0.3">
      <c r="AA1978" s="37">
        <v>1958</v>
      </c>
      <c r="AB1978" s="37">
        <v>1.6626031237641552</v>
      </c>
      <c r="AC1978" s="37">
        <v>2.9296491640447142</v>
      </c>
      <c r="AD1978" s="37">
        <v>3.3161997430122225</v>
      </c>
    </row>
    <row r="1979" spans="27:30" x14ac:dyDescent="0.3">
      <c r="AA1979" s="37">
        <v>1959</v>
      </c>
      <c r="AB1979" s="37">
        <v>1.824555295216578</v>
      </c>
      <c r="AC1979" s="37">
        <v>3.0602449640734264</v>
      </c>
      <c r="AD1979" s="37">
        <v>3.2860726591283758</v>
      </c>
    </row>
    <row r="1980" spans="27:30" x14ac:dyDescent="0.3">
      <c r="AA1980" s="37">
        <v>1960</v>
      </c>
      <c r="AB1980" s="37">
        <v>1.6503539164461443</v>
      </c>
      <c r="AC1980" s="37">
        <v>2.9415369498546284</v>
      </c>
      <c r="AD1980" s="37">
        <v>3.1700479238196806</v>
      </c>
    </row>
    <row r="1981" spans="27:30" x14ac:dyDescent="0.3">
      <c r="AA1981" s="37">
        <v>1961</v>
      </c>
      <c r="AB1981" s="37">
        <v>1.7886820414979749</v>
      </c>
      <c r="AC1981" s="37">
        <v>2.9449590653548148</v>
      </c>
      <c r="AD1981" s="37">
        <v>3.6138806460462076</v>
      </c>
    </row>
    <row r="1982" spans="27:30" x14ac:dyDescent="0.3">
      <c r="AA1982" s="37">
        <v>1962</v>
      </c>
      <c r="AB1982" s="37">
        <v>1.6897282821116413</v>
      </c>
      <c r="AC1982" s="37">
        <v>2.9081118697281942</v>
      </c>
      <c r="AD1982" s="37">
        <v>3.4024927404964016</v>
      </c>
    </row>
    <row r="1983" spans="27:30" x14ac:dyDescent="0.3">
      <c r="AA1983" s="37">
        <v>1963</v>
      </c>
      <c r="AB1983" s="37">
        <v>1.8398625914802982</v>
      </c>
      <c r="AC1983" s="37">
        <v>2.6473769002136591</v>
      </c>
      <c r="AD1983" s="37">
        <v>3.2568549537232521</v>
      </c>
    </row>
    <row r="1984" spans="27:30" x14ac:dyDescent="0.3">
      <c r="AA1984" s="37">
        <v>1964</v>
      </c>
      <c r="AB1984" s="37">
        <v>1.8126127615095093</v>
      </c>
      <c r="AC1984" s="37">
        <v>2.8841015907756593</v>
      </c>
      <c r="AD1984" s="37">
        <v>3.3627377596312358</v>
      </c>
    </row>
    <row r="1985" spans="27:30" x14ac:dyDescent="0.3">
      <c r="AA1985" s="37">
        <v>1965</v>
      </c>
      <c r="AB1985" s="37">
        <v>1.7929508421096507</v>
      </c>
      <c r="AC1985" s="37">
        <v>2.9104614568080733</v>
      </c>
      <c r="AD1985" s="37">
        <v>3.0713296891776989</v>
      </c>
    </row>
    <row r="1986" spans="27:30" x14ac:dyDescent="0.3">
      <c r="AA1986" s="37">
        <v>1966</v>
      </c>
      <c r="AB1986" s="37">
        <v>1.8105810318946813</v>
      </c>
      <c r="AC1986" s="37">
        <v>2.8498278671106205</v>
      </c>
      <c r="AD1986" s="37">
        <v>3.2888705922279104</v>
      </c>
    </row>
    <row r="1987" spans="27:30" x14ac:dyDescent="0.3">
      <c r="AA1987" s="37">
        <v>1967</v>
      </c>
      <c r="AB1987" s="37">
        <v>1.8553088969999689</v>
      </c>
      <c r="AC1987" s="37">
        <v>2.9160652564607457</v>
      </c>
      <c r="AD1987" s="37">
        <v>3.3740430880769066</v>
      </c>
    </row>
    <row r="1988" spans="27:30" x14ac:dyDescent="0.3">
      <c r="AA1988" s="37">
        <v>1968</v>
      </c>
      <c r="AB1988" s="37">
        <v>1.6731631037779326</v>
      </c>
      <c r="AC1988" s="37">
        <v>2.9635761412238719</v>
      </c>
      <c r="AD1988" s="37">
        <v>3.4456242106124861</v>
      </c>
    </row>
    <row r="1989" spans="27:30" x14ac:dyDescent="0.3">
      <c r="AA1989" s="37">
        <v>1969</v>
      </c>
      <c r="AB1989" s="37">
        <v>1.8442257359416037</v>
      </c>
      <c r="AC1989" s="37">
        <v>2.7444433081576869</v>
      </c>
      <c r="AD1989" s="37">
        <v>3.4911888809069018</v>
      </c>
    </row>
    <row r="1990" spans="27:30" x14ac:dyDescent="0.3">
      <c r="AA1990" s="37">
        <v>1970</v>
      </c>
      <c r="AB1990" s="37">
        <v>1.7169815596728439</v>
      </c>
      <c r="AC1990" s="37">
        <v>2.8659480120666356</v>
      </c>
      <c r="AD1990" s="37">
        <v>3.4099630542715103</v>
      </c>
    </row>
    <row r="1991" spans="27:30" x14ac:dyDescent="0.3">
      <c r="AA1991" s="37">
        <v>1971</v>
      </c>
      <c r="AB1991" s="37">
        <v>1.9355647214021436</v>
      </c>
      <c r="AC1991" s="37">
        <v>2.7948369084426545</v>
      </c>
      <c r="AD1991" s="37">
        <v>3.3962479734173678</v>
      </c>
    </row>
    <row r="1992" spans="27:30" x14ac:dyDescent="0.3">
      <c r="AA1992" s="37">
        <v>1972</v>
      </c>
      <c r="AB1992" s="37">
        <v>1.7729293566817999</v>
      </c>
      <c r="AC1992" s="37">
        <v>2.9863781194233048</v>
      </c>
      <c r="AD1992" s="37">
        <v>3.3132762394171023</v>
      </c>
    </row>
    <row r="1993" spans="27:30" x14ac:dyDescent="0.3">
      <c r="AA1993" s="37">
        <v>1973</v>
      </c>
      <c r="AB1993" s="37">
        <v>1.8993627532301254</v>
      </c>
      <c r="AC1993" s="37">
        <v>2.8331956127825633</v>
      </c>
      <c r="AD1993" s="37">
        <v>3.4171320455619809</v>
      </c>
    </row>
    <row r="1994" spans="27:30" x14ac:dyDescent="0.3">
      <c r="AA1994" s="37">
        <v>1974</v>
      </c>
      <c r="AB1994" s="37">
        <v>1.988986479333279</v>
      </c>
      <c r="AC1994" s="37">
        <v>2.8035016887786237</v>
      </c>
      <c r="AD1994" s="37">
        <v>3.2708684429428305</v>
      </c>
    </row>
    <row r="1995" spans="27:30" x14ac:dyDescent="0.3">
      <c r="AA1995" s="37">
        <v>1975</v>
      </c>
      <c r="AB1995" s="37">
        <v>1.7640588712716749</v>
      </c>
      <c r="AC1995" s="37">
        <v>2.8869192785095872</v>
      </c>
      <c r="AD1995" s="37">
        <v>3.36860027002795</v>
      </c>
    </row>
    <row r="1996" spans="27:30" x14ac:dyDescent="0.3">
      <c r="AA1996" s="37">
        <v>1976</v>
      </c>
      <c r="AB1996" s="37">
        <v>1.740134090418382</v>
      </c>
      <c r="AC1996" s="37">
        <v>3.08645891318382</v>
      </c>
      <c r="AD1996" s="37">
        <v>3.3139926515699649</v>
      </c>
    </row>
    <row r="1997" spans="27:30" x14ac:dyDescent="0.3">
      <c r="AA1997" s="37">
        <v>1977</v>
      </c>
      <c r="AB1997" s="37">
        <v>1.782618911345031</v>
      </c>
      <c r="AC1997" s="37">
        <v>2.7844226953317199</v>
      </c>
      <c r="AD1997" s="37">
        <v>3.4041883990548731</v>
      </c>
    </row>
    <row r="1998" spans="27:30" x14ac:dyDescent="0.3">
      <c r="AA1998" s="37">
        <v>1978</v>
      </c>
      <c r="AB1998" s="37">
        <v>1.8069699965479507</v>
      </c>
      <c r="AC1998" s="37">
        <v>2.8848980936293027</v>
      </c>
      <c r="AD1998" s="37">
        <v>3.376050609310536</v>
      </c>
    </row>
    <row r="1999" spans="27:30" x14ac:dyDescent="0.3">
      <c r="AA1999" s="37">
        <v>1979</v>
      </c>
      <c r="AB1999" s="37">
        <v>1.8808840045955977</v>
      </c>
      <c r="AC1999" s="37">
        <v>2.8940683429513947</v>
      </c>
      <c r="AD1999" s="37">
        <v>3.3273783225834137</v>
      </c>
    </row>
    <row r="2000" spans="27:30" x14ac:dyDescent="0.3">
      <c r="AA2000" s="37">
        <v>1980</v>
      </c>
      <c r="AB2000" s="37">
        <v>1.6533148981294177</v>
      </c>
      <c r="AC2000" s="37">
        <v>2.9539224376388611</v>
      </c>
      <c r="AD2000" s="37">
        <v>3.1436375193090837</v>
      </c>
    </row>
    <row r="2001" spans="27:30" x14ac:dyDescent="0.3">
      <c r="AA2001" s="37">
        <v>1981</v>
      </c>
      <c r="AB2001" s="37">
        <v>1.7326497201348054</v>
      </c>
      <c r="AC2001" s="37">
        <v>2.9704420050242919</v>
      </c>
      <c r="AD2001" s="37">
        <v>3.3020480407451029</v>
      </c>
    </row>
    <row r="2002" spans="27:30" x14ac:dyDescent="0.3">
      <c r="AA2002" s="37">
        <v>1982</v>
      </c>
      <c r="AB2002" s="37">
        <v>1.8113059440798307</v>
      </c>
      <c r="AC2002" s="37">
        <v>2.8559545255068439</v>
      </c>
      <c r="AD2002" s="37">
        <v>3.5476089628277352</v>
      </c>
    </row>
    <row r="2003" spans="27:30" x14ac:dyDescent="0.3">
      <c r="AA2003" s="37">
        <v>1983</v>
      </c>
      <c r="AB2003" s="37">
        <v>1.7230513117430462</v>
      </c>
      <c r="AC2003" s="37">
        <v>2.9030625329034949</v>
      </c>
      <c r="AD2003" s="37">
        <v>3.4046158431242035</v>
      </c>
    </row>
    <row r="2004" spans="27:30" x14ac:dyDescent="0.3">
      <c r="AA2004" s="37">
        <v>1984</v>
      </c>
      <c r="AB2004" s="37">
        <v>1.8895184070173514</v>
      </c>
      <c r="AC2004" s="37">
        <v>2.8280947195551458</v>
      </c>
      <c r="AD2004" s="37">
        <v>3.4986462327054966</v>
      </c>
    </row>
    <row r="2005" spans="27:30" x14ac:dyDescent="0.3">
      <c r="AA2005" s="37">
        <v>1985</v>
      </c>
      <c r="AB2005" s="37">
        <v>1.9477803195448473</v>
      </c>
      <c r="AC2005" s="37">
        <v>2.6949141652216695</v>
      </c>
      <c r="AD2005" s="37">
        <v>3.1970502480738308</v>
      </c>
    </row>
    <row r="2006" spans="27:30" x14ac:dyDescent="0.3">
      <c r="AA2006" s="37">
        <v>1986</v>
      </c>
      <c r="AB2006" s="37">
        <v>1.8573486232710501</v>
      </c>
      <c r="AC2006" s="37">
        <v>2.910505805709954</v>
      </c>
      <c r="AD2006" s="37">
        <v>3.4169160087422044</v>
      </c>
    </row>
    <row r="2007" spans="27:30" x14ac:dyDescent="0.3">
      <c r="AA2007" s="37">
        <v>1987</v>
      </c>
      <c r="AB2007" s="37">
        <v>1.769107978909499</v>
      </c>
      <c r="AC2007" s="37">
        <v>2.8285619710356946</v>
      </c>
      <c r="AD2007" s="37">
        <v>3.1587794481202742</v>
      </c>
    </row>
    <row r="2008" spans="27:30" x14ac:dyDescent="0.3">
      <c r="AA2008" s="37">
        <v>1988</v>
      </c>
      <c r="AB2008" s="37">
        <v>1.8008014489656368</v>
      </c>
      <c r="AC2008" s="37">
        <v>3.0675837508821457</v>
      </c>
      <c r="AD2008" s="37">
        <v>3.4218186671632895</v>
      </c>
    </row>
    <row r="2009" spans="27:30" x14ac:dyDescent="0.3">
      <c r="AA2009" s="37">
        <v>1989</v>
      </c>
      <c r="AB2009" s="37">
        <v>1.7817405786620588</v>
      </c>
      <c r="AC2009" s="37">
        <v>2.9547743859507447</v>
      </c>
      <c r="AD2009" s="37">
        <v>3.2047766062175675</v>
      </c>
    </row>
    <row r="2010" spans="27:30" x14ac:dyDescent="0.3">
      <c r="AA2010" s="37">
        <v>1990</v>
      </c>
      <c r="AB2010" s="37">
        <v>1.8815645906868621</v>
      </c>
      <c r="AC2010" s="37">
        <v>2.9218867626349838</v>
      </c>
      <c r="AD2010" s="37">
        <v>3.3628346039829609</v>
      </c>
    </row>
    <row r="2011" spans="27:30" x14ac:dyDescent="0.3">
      <c r="AA2011" s="37">
        <v>1991</v>
      </c>
      <c r="AB2011" s="37">
        <v>1.9356839406315316</v>
      </c>
      <c r="AC2011" s="37">
        <v>2.8900851720945133</v>
      </c>
      <c r="AD2011" s="37">
        <v>3.1897199336603492</v>
      </c>
    </row>
    <row r="2012" spans="27:30" x14ac:dyDescent="0.3">
      <c r="AA2012" s="37">
        <v>1992</v>
      </c>
      <c r="AB2012" s="37">
        <v>1.7290007733704165</v>
      </c>
      <c r="AC2012" s="37">
        <v>2.9253245253757352</v>
      </c>
      <c r="AD2012" s="37">
        <v>3.4818279708429127</v>
      </c>
    </row>
    <row r="2013" spans="27:30" x14ac:dyDescent="0.3">
      <c r="AA2013" s="37">
        <v>1993</v>
      </c>
      <c r="AB2013" s="37">
        <v>1.885875448480947</v>
      </c>
      <c r="AC2013" s="37">
        <v>2.8902560650089364</v>
      </c>
      <c r="AD2013" s="37">
        <v>3.3588531826547543</v>
      </c>
    </row>
    <row r="2014" spans="27:30" x14ac:dyDescent="0.3">
      <c r="AA2014" s="37">
        <v>1994</v>
      </c>
      <c r="AB2014" s="37">
        <v>1.725640583600045</v>
      </c>
      <c r="AC2014" s="37">
        <v>2.8320925111049045</v>
      </c>
      <c r="AD2014" s="37">
        <v>3.1938112267485317</v>
      </c>
    </row>
    <row r="2015" spans="27:30" x14ac:dyDescent="0.3">
      <c r="AA2015" s="37">
        <v>1995</v>
      </c>
      <c r="AB2015" s="37">
        <v>1.7206385159350468</v>
      </c>
      <c r="AC2015" s="37">
        <v>2.8695118503098751</v>
      </c>
      <c r="AD2015" s="37">
        <v>3.4583424228206967</v>
      </c>
    </row>
    <row r="2016" spans="27:30" x14ac:dyDescent="0.3">
      <c r="AA2016" s="37">
        <v>1996</v>
      </c>
      <c r="AB2016" s="37">
        <v>1.7673049630102413</v>
      </c>
      <c r="AC2016" s="37">
        <v>2.8366651615061187</v>
      </c>
      <c r="AD2016" s="37">
        <v>3.2627373263573545</v>
      </c>
    </row>
    <row r="2017" spans="27:30" x14ac:dyDescent="0.3">
      <c r="AA2017" s="37">
        <v>1997</v>
      </c>
      <c r="AB2017" s="37">
        <v>1.813082432805186</v>
      </c>
      <c r="AC2017" s="37">
        <v>2.810743175504451</v>
      </c>
      <c r="AD2017" s="37">
        <v>3.3880610982138886</v>
      </c>
    </row>
    <row r="2018" spans="27:30" x14ac:dyDescent="0.3">
      <c r="AA2018" s="37">
        <v>1998</v>
      </c>
      <c r="AB2018" s="37">
        <v>1.8154227620804291</v>
      </c>
      <c r="AC2018" s="37">
        <v>2.9972352307842738</v>
      </c>
      <c r="AD2018" s="37">
        <v>3.4585976292379734</v>
      </c>
    </row>
    <row r="2019" spans="27:30" x14ac:dyDescent="0.3">
      <c r="AA2019" s="37">
        <v>1999</v>
      </c>
      <c r="AB2019" s="37">
        <v>1.808130309492515</v>
      </c>
      <c r="AC2019" s="37">
        <v>2.7813998212620232</v>
      </c>
      <c r="AD2019" s="37">
        <v>3.388296430550866</v>
      </c>
    </row>
    <row r="2020" spans="27:30" x14ac:dyDescent="0.3">
      <c r="AA2020" s="37">
        <v>2000</v>
      </c>
      <c r="AB2020" s="37">
        <v>1.6547538246317228</v>
      </c>
      <c r="AC2020" s="37">
        <v>2.7053239861794629</v>
      </c>
      <c r="AD2020" s="37">
        <v>3.3045813426534747</v>
      </c>
    </row>
    <row r="2021" spans="27:30" x14ac:dyDescent="0.3">
      <c r="AA2021" s="37">
        <v>2001</v>
      </c>
      <c r="AB2021" s="37">
        <v>1.907597901968862</v>
      </c>
      <c r="AC2021" s="37">
        <v>2.6676681680098309</v>
      </c>
      <c r="AD2021" s="37">
        <v>3.3484971158073562</v>
      </c>
    </row>
    <row r="2022" spans="27:30" x14ac:dyDescent="0.3">
      <c r="AA2022" s="37">
        <v>2002</v>
      </c>
      <c r="AB2022" s="37">
        <v>1.8357052676237351</v>
      </c>
      <c r="AC2022" s="37">
        <v>2.7679231332511374</v>
      </c>
      <c r="AD2022" s="37">
        <v>3.2237934755761635</v>
      </c>
    </row>
    <row r="2023" spans="27:30" x14ac:dyDescent="0.3">
      <c r="AA2023" s="37">
        <v>2003</v>
      </c>
      <c r="AB2023" s="37">
        <v>1.94236315054344</v>
      </c>
      <c r="AC2023" s="37">
        <v>2.8390653864046573</v>
      </c>
      <c r="AD2023" s="37">
        <v>3.3079576341526695</v>
      </c>
    </row>
    <row r="2024" spans="27:30" x14ac:dyDescent="0.3">
      <c r="AA2024" s="37">
        <v>2004</v>
      </c>
      <c r="AB2024" s="37">
        <v>1.9060507299572826</v>
      </c>
      <c r="AC2024" s="37">
        <v>2.9424479599720281</v>
      </c>
      <c r="AD2024" s="37">
        <v>3.1806000068386524</v>
      </c>
    </row>
    <row r="2025" spans="27:30" x14ac:dyDescent="0.3">
      <c r="AA2025" s="37">
        <v>2005</v>
      </c>
      <c r="AB2025" s="37">
        <v>1.8337833384123903</v>
      </c>
      <c r="AC2025" s="37">
        <v>2.997483072619981</v>
      </c>
      <c r="AD2025" s="37">
        <v>3.5359482513789664</v>
      </c>
    </row>
    <row r="2026" spans="27:30" x14ac:dyDescent="0.3">
      <c r="AA2026" s="37">
        <v>2006</v>
      </c>
      <c r="AB2026" s="37">
        <v>1.8180332255356788</v>
      </c>
      <c r="AC2026" s="37">
        <v>2.9711667803776449</v>
      </c>
      <c r="AD2026" s="37">
        <v>3.2689028169507401</v>
      </c>
    </row>
    <row r="2027" spans="27:30" x14ac:dyDescent="0.3">
      <c r="AA2027" s="37">
        <v>2007</v>
      </c>
      <c r="AB2027" s="37">
        <v>1.6594845965366165</v>
      </c>
      <c r="AC2027" s="37">
        <v>2.8298446062072991</v>
      </c>
      <c r="AD2027" s="37">
        <v>3.3893410231234826</v>
      </c>
    </row>
    <row r="2028" spans="27:30" x14ac:dyDescent="0.3">
      <c r="AA2028" s="37">
        <v>2008</v>
      </c>
      <c r="AB2028" s="37">
        <v>1.8399219939762939</v>
      </c>
      <c r="AC2028" s="37">
        <v>2.729340941160634</v>
      </c>
      <c r="AD2028" s="37">
        <v>3.2245672046505645</v>
      </c>
    </row>
    <row r="2029" spans="27:30" x14ac:dyDescent="0.3">
      <c r="AA2029" s="37">
        <v>2009</v>
      </c>
      <c r="AB2029" s="37">
        <v>1.7662400283123791</v>
      </c>
      <c r="AC2029" s="37">
        <v>2.9143395210872556</v>
      </c>
      <c r="AD2029" s="37">
        <v>3.3353140366121066</v>
      </c>
    </row>
    <row r="2030" spans="27:30" x14ac:dyDescent="0.3">
      <c r="AA2030" s="37">
        <v>2010</v>
      </c>
      <c r="AB2030" s="37">
        <v>1.6997351035281076</v>
      </c>
      <c r="AC2030" s="37">
        <v>2.902378734667677</v>
      </c>
      <c r="AD2030" s="37">
        <v>3.4618591492533493</v>
      </c>
    </row>
    <row r="2031" spans="27:30" x14ac:dyDescent="0.3">
      <c r="AA2031" s="37">
        <v>2011</v>
      </c>
      <c r="AB2031" s="37">
        <v>1.7143885297740804</v>
      </c>
      <c r="AC2031" s="37">
        <v>2.7717718204341648</v>
      </c>
      <c r="AD2031" s="37">
        <v>3.4287364609525861</v>
      </c>
    </row>
    <row r="2032" spans="27:30" x14ac:dyDescent="0.3">
      <c r="AA2032" s="37">
        <v>2012</v>
      </c>
      <c r="AB2032" s="37">
        <v>1.7366250642309848</v>
      </c>
      <c r="AC2032" s="37">
        <v>2.9471143082740099</v>
      </c>
      <c r="AD2032" s="37">
        <v>3.3958496184045757</v>
      </c>
    </row>
    <row r="2033" spans="27:30" x14ac:dyDescent="0.3">
      <c r="AA2033" s="37">
        <v>2013</v>
      </c>
      <c r="AB2033" s="37">
        <v>1.8703311926115624</v>
      </c>
      <c r="AC2033" s="37">
        <v>2.7933420319096016</v>
      </c>
      <c r="AD2033" s="37">
        <v>3.5424417468068565</v>
      </c>
    </row>
    <row r="2034" spans="27:30" x14ac:dyDescent="0.3">
      <c r="AA2034" s="37">
        <v>2014</v>
      </c>
      <c r="AB2034" s="37">
        <v>1.6938049905420585</v>
      </c>
      <c r="AC2034" s="37">
        <v>2.8271111825531223</v>
      </c>
      <c r="AD2034" s="37">
        <v>3.3443836199848591</v>
      </c>
    </row>
    <row r="2035" spans="27:30" x14ac:dyDescent="0.3">
      <c r="AA2035" s="37">
        <v>2015</v>
      </c>
      <c r="AB2035" s="37">
        <v>1.7571629927366927</v>
      </c>
      <c r="AC2035" s="37">
        <v>2.9183344291747937</v>
      </c>
      <c r="AD2035" s="37">
        <v>3.0774021008589871</v>
      </c>
    </row>
    <row r="2036" spans="27:30" x14ac:dyDescent="0.3">
      <c r="AA2036" s="37">
        <v>2016</v>
      </c>
      <c r="AB2036" s="37">
        <v>1.7530148127868705</v>
      </c>
      <c r="AC2036" s="37">
        <v>2.7148135051105164</v>
      </c>
      <c r="AD2036" s="37">
        <v>3.313517171894377</v>
      </c>
    </row>
    <row r="2037" spans="27:30" x14ac:dyDescent="0.3">
      <c r="AA2037" s="37">
        <v>2017</v>
      </c>
      <c r="AB2037" s="37">
        <v>1.8986264775784449</v>
      </c>
      <c r="AC2037" s="37">
        <v>2.8279953210236481</v>
      </c>
      <c r="AD2037" s="37">
        <v>3.1760735481167148</v>
      </c>
    </row>
    <row r="2038" spans="27:30" x14ac:dyDescent="0.3">
      <c r="AA2038" s="37">
        <v>2018</v>
      </c>
      <c r="AB2038" s="37">
        <v>1.9057991363344526</v>
      </c>
      <c r="AC2038" s="37">
        <v>3.0208228065881193</v>
      </c>
      <c r="AD2038" s="37">
        <v>3.2842903299753523</v>
      </c>
    </row>
    <row r="2039" spans="27:30" x14ac:dyDescent="0.3">
      <c r="AA2039" s="37">
        <v>2019</v>
      </c>
      <c r="AB2039" s="37">
        <v>1.8307347858242355</v>
      </c>
      <c r="AC2039" s="37">
        <v>2.7986455930312899</v>
      </c>
      <c r="AD2039" s="37">
        <v>3.22710826379772</v>
      </c>
    </row>
    <row r="2040" spans="27:30" x14ac:dyDescent="0.3">
      <c r="AA2040" s="37">
        <v>2020</v>
      </c>
      <c r="AB2040" s="37">
        <v>1.7812530629008456</v>
      </c>
      <c r="AC2040" s="37">
        <v>2.8067017691560761</v>
      </c>
      <c r="AD2040" s="37">
        <v>3.2627035799431265</v>
      </c>
    </row>
    <row r="2041" spans="27:30" x14ac:dyDescent="0.3">
      <c r="AA2041" s="37">
        <v>2021</v>
      </c>
      <c r="AB2041" s="37">
        <v>1.7491481050452529</v>
      </c>
      <c r="AC2041" s="37">
        <v>2.9560914080333456</v>
      </c>
      <c r="AD2041" s="37">
        <v>3.5200615677772205</v>
      </c>
    </row>
    <row r="2042" spans="27:30" x14ac:dyDescent="0.3">
      <c r="AA2042" s="37">
        <v>2022</v>
      </c>
      <c r="AB2042" s="37">
        <v>1.7982279270140118</v>
      </c>
      <c r="AC2042" s="37">
        <v>2.9586368547435855</v>
      </c>
      <c r="AD2042" s="37">
        <v>3.2993283245882083</v>
      </c>
    </row>
    <row r="2043" spans="27:30" x14ac:dyDescent="0.3">
      <c r="AA2043" s="37">
        <v>2023</v>
      </c>
      <c r="AB2043" s="37">
        <v>1.8828654280897426</v>
      </c>
      <c r="AC2043" s="37">
        <v>2.7857191941677368</v>
      </c>
      <c r="AD2043" s="37">
        <v>3.3189270447417525</v>
      </c>
    </row>
    <row r="2044" spans="27:30" x14ac:dyDescent="0.3">
      <c r="AA2044" s="37">
        <v>2024</v>
      </c>
      <c r="AB2044" s="37">
        <v>1.765902001029116</v>
      </c>
      <c r="AC2044" s="37">
        <v>2.9510244485066046</v>
      </c>
      <c r="AD2044" s="37">
        <v>3.19328349266749</v>
      </c>
    </row>
    <row r="2045" spans="27:30" x14ac:dyDescent="0.3">
      <c r="AA2045" s="37">
        <v>2025</v>
      </c>
      <c r="AB2045" s="37">
        <v>1.7077795516041605</v>
      </c>
      <c r="AC2045" s="37">
        <v>2.8354432837323795</v>
      </c>
      <c r="AD2045" s="37">
        <v>3.33816523771829</v>
      </c>
    </row>
    <row r="2046" spans="27:30" x14ac:dyDescent="0.3">
      <c r="AA2046" s="37">
        <v>2026</v>
      </c>
      <c r="AB2046" s="37">
        <v>1.8206150967990367</v>
      </c>
      <c r="AC2046" s="37">
        <v>2.697339821751128</v>
      </c>
      <c r="AD2046" s="37">
        <v>3.6278453601581302</v>
      </c>
    </row>
    <row r="2047" spans="27:30" x14ac:dyDescent="0.3">
      <c r="AA2047" s="37">
        <v>2027</v>
      </c>
      <c r="AB2047" s="37">
        <v>1.8045012229580693</v>
      </c>
      <c r="AC2047" s="37">
        <v>2.8259809527077477</v>
      </c>
      <c r="AD2047" s="37">
        <v>3.2265026128795595</v>
      </c>
    </row>
    <row r="2048" spans="27:30" x14ac:dyDescent="0.3">
      <c r="AA2048" s="37">
        <v>2028</v>
      </c>
      <c r="AB2048" s="37">
        <v>1.858626047745338</v>
      </c>
      <c r="AC2048" s="37">
        <v>2.8466944256196083</v>
      </c>
      <c r="AD2048" s="37">
        <v>3.3028343111062211</v>
      </c>
    </row>
    <row r="2049" spans="27:30" x14ac:dyDescent="0.3">
      <c r="AA2049" s="37">
        <v>2029</v>
      </c>
      <c r="AB2049" s="37">
        <v>1.8475770981311526</v>
      </c>
      <c r="AC2049" s="37">
        <v>2.7757468422419076</v>
      </c>
      <c r="AD2049" s="37">
        <v>3.4716176770203182</v>
      </c>
    </row>
    <row r="2050" spans="27:30" x14ac:dyDescent="0.3">
      <c r="AA2050" s="37">
        <v>2030</v>
      </c>
      <c r="AB2050" s="37">
        <v>1.6392198724638916</v>
      </c>
      <c r="AC2050" s="37">
        <v>2.769383140897999</v>
      </c>
      <c r="AD2050" s="37">
        <v>3.2366163796707443</v>
      </c>
    </row>
    <row r="2051" spans="27:30" x14ac:dyDescent="0.3">
      <c r="AA2051" s="37">
        <v>2031</v>
      </c>
      <c r="AB2051" s="37">
        <v>1.7731308333203442</v>
      </c>
      <c r="AC2051" s="37">
        <v>2.9212428358341116</v>
      </c>
      <c r="AD2051" s="37">
        <v>3.1633736831728969</v>
      </c>
    </row>
    <row r="2052" spans="27:30" x14ac:dyDescent="0.3">
      <c r="AA2052" s="37">
        <v>2032</v>
      </c>
      <c r="AB2052" s="37">
        <v>1.6911302535777286</v>
      </c>
      <c r="AC2052" s="37">
        <v>2.7876386805833788</v>
      </c>
      <c r="AD2052" s="37">
        <v>3.3661379013133375</v>
      </c>
    </row>
    <row r="2053" spans="27:30" x14ac:dyDescent="0.3">
      <c r="AA2053" s="37">
        <v>2033</v>
      </c>
      <c r="AB2053" s="37">
        <v>1.9075993364165205</v>
      </c>
      <c r="AC2053" s="37">
        <v>2.873487487823088</v>
      </c>
      <c r="AD2053" s="37">
        <v>3.4532013727542541</v>
      </c>
    </row>
    <row r="2054" spans="27:30" x14ac:dyDescent="0.3">
      <c r="AA2054" s="37">
        <v>2034</v>
      </c>
      <c r="AB2054" s="37">
        <v>1.7298965669983979</v>
      </c>
      <c r="AC2054" s="37">
        <v>2.8064485954276734</v>
      </c>
      <c r="AD2054" s="37">
        <v>3.4057542603394726</v>
      </c>
    </row>
    <row r="2055" spans="27:30" x14ac:dyDescent="0.3">
      <c r="AA2055" s="37">
        <v>2035</v>
      </c>
      <c r="AB2055" s="37">
        <v>1.8144577501645485</v>
      </c>
      <c r="AC2055" s="37">
        <v>2.7884597598014644</v>
      </c>
      <c r="AD2055" s="37">
        <v>3.5771505819052667</v>
      </c>
    </row>
    <row r="2056" spans="27:30" x14ac:dyDescent="0.3">
      <c r="AA2056" s="37">
        <v>2036</v>
      </c>
      <c r="AB2056" s="37">
        <v>1.8197917957364815</v>
      </c>
      <c r="AC2056" s="37">
        <v>2.7039486969437929</v>
      </c>
      <c r="AD2056" s="37">
        <v>3.5622270338818458</v>
      </c>
    </row>
    <row r="2057" spans="27:30" x14ac:dyDescent="0.3">
      <c r="AA2057" s="37">
        <v>2037</v>
      </c>
      <c r="AB2057" s="37">
        <v>1.6384785666107147</v>
      </c>
      <c r="AC2057" s="37">
        <v>2.7791469413791474</v>
      </c>
      <c r="AD2057" s="37">
        <v>3.216669335420077</v>
      </c>
    </row>
    <row r="2058" spans="27:30" x14ac:dyDescent="0.3">
      <c r="AA2058" s="37">
        <v>2038</v>
      </c>
      <c r="AB2058" s="37">
        <v>1.7375502777486678</v>
      </c>
      <c r="AC2058" s="37">
        <v>2.9554586854261657</v>
      </c>
      <c r="AD2058" s="37">
        <v>3.2387995152964382</v>
      </c>
    </row>
    <row r="2059" spans="27:30" x14ac:dyDescent="0.3">
      <c r="AA2059" s="37">
        <v>2039</v>
      </c>
      <c r="AB2059" s="37">
        <v>1.6895265405322339</v>
      </c>
      <c r="AC2059" s="37">
        <v>3.0001627622946612</v>
      </c>
      <c r="AD2059" s="37">
        <v>3.3059797492274363</v>
      </c>
    </row>
    <row r="2060" spans="27:30" x14ac:dyDescent="0.3">
      <c r="AA2060" s="37">
        <v>2040</v>
      </c>
      <c r="AB2060" s="37">
        <v>1.7692779469529289</v>
      </c>
      <c r="AC2060" s="37">
        <v>2.8667287636659644</v>
      </c>
      <c r="AD2060" s="37">
        <v>3.4389526873597904</v>
      </c>
    </row>
    <row r="2061" spans="27:30" x14ac:dyDescent="0.3">
      <c r="AA2061" s="37">
        <v>2041</v>
      </c>
      <c r="AB2061" s="37">
        <v>1.7832629636940933</v>
      </c>
      <c r="AC2061" s="37">
        <v>2.8861048663486324</v>
      </c>
      <c r="AD2061" s="37">
        <v>3.3606384991567628</v>
      </c>
    </row>
    <row r="2062" spans="27:30" x14ac:dyDescent="0.3">
      <c r="AA2062" s="37">
        <v>2042</v>
      </c>
      <c r="AB2062" s="37">
        <v>1.8495182932217031</v>
      </c>
      <c r="AC2062" s="37">
        <v>2.8906965787659282</v>
      </c>
      <c r="AD2062" s="37">
        <v>3.2252922453979775</v>
      </c>
    </row>
    <row r="2063" spans="27:30" x14ac:dyDescent="0.3">
      <c r="AA2063" s="37">
        <v>2043</v>
      </c>
      <c r="AB2063" s="37">
        <v>1.8374841660288228</v>
      </c>
      <c r="AC2063" s="37">
        <v>2.796580104951353</v>
      </c>
      <c r="AD2063" s="37">
        <v>3.326870999641232</v>
      </c>
    </row>
    <row r="2064" spans="27:30" x14ac:dyDescent="0.3">
      <c r="AA2064" s="37">
        <v>2044</v>
      </c>
      <c r="AB2064" s="37">
        <v>1.7841329899568441</v>
      </c>
      <c r="AC2064" s="37">
        <v>2.8889042181042228</v>
      </c>
      <c r="AD2064" s="37">
        <v>3.4157140869475335</v>
      </c>
    </row>
    <row r="2065" spans="27:30" x14ac:dyDescent="0.3">
      <c r="AA2065" s="37">
        <v>2045</v>
      </c>
      <c r="AB2065" s="37">
        <v>1.8786841420607647</v>
      </c>
      <c r="AC2065" s="37">
        <v>2.6282871488156232</v>
      </c>
      <c r="AD2065" s="37">
        <v>3.0635323162252175</v>
      </c>
    </row>
    <row r="2066" spans="27:30" x14ac:dyDescent="0.3">
      <c r="AA2066" s="37">
        <v>2046</v>
      </c>
      <c r="AB2066" s="37">
        <v>1.7397547887654168</v>
      </c>
      <c r="AC2066" s="37">
        <v>2.8044791615347275</v>
      </c>
      <c r="AD2066" s="37">
        <v>3.4907140254803544</v>
      </c>
    </row>
    <row r="2067" spans="27:30" x14ac:dyDescent="0.3">
      <c r="AA2067" s="37">
        <v>2047</v>
      </c>
      <c r="AB2067" s="37">
        <v>1.7981117427500681</v>
      </c>
      <c r="AC2067" s="37">
        <v>2.8381418565412893</v>
      </c>
      <c r="AD2067" s="37">
        <v>3.3059616879952842</v>
      </c>
    </row>
    <row r="2068" spans="27:30" x14ac:dyDescent="0.3">
      <c r="AA2068" s="37">
        <v>2048</v>
      </c>
      <c r="AB2068" s="37">
        <v>1.8073860178926715</v>
      </c>
      <c r="AC2068" s="37">
        <v>2.7645555140412839</v>
      </c>
      <c r="AD2068" s="37">
        <v>3.3331321085898171</v>
      </c>
    </row>
    <row r="2069" spans="27:30" x14ac:dyDescent="0.3">
      <c r="AA2069" s="37">
        <v>2049</v>
      </c>
      <c r="AB2069" s="37">
        <v>1.8056369798690604</v>
      </c>
      <c r="AC2069" s="37">
        <v>2.8597915640408811</v>
      </c>
      <c r="AD2069" s="37">
        <v>3.146039041195388</v>
      </c>
    </row>
    <row r="2070" spans="27:30" x14ac:dyDescent="0.3">
      <c r="AA2070" s="37">
        <v>2050</v>
      </c>
      <c r="AB2070" s="37">
        <v>1.7816483075300673</v>
      </c>
      <c r="AC2070" s="37">
        <v>2.849938178249408</v>
      </c>
      <c r="AD2070" s="37">
        <v>3.5918932860852282</v>
      </c>
    </row>
    <row r="2071" spans="27:30" x14ac:dyDescent="0.3">
      <c r="AA2071" s="37">
        <v>2051</v>
      </c>
      <c r="AB2071" s="37">
        <v>1.7378700530336944</v>
      </c>
      <c r="AC2071" s="37">
        <v>2.7257294511956358</v>
      </c>
      <c r="AD2071" s="37">
        <v>3.4939785530364125</v>
      </c>
    </row>
    <row r="2072" spans="27:30" x14ac:dyDescent="0.3">
      <c r="AA2072" s="37">
        <v>2052</v>
      </c>
      <c r="AB2072" s="37">
        <v>1.9121140739106548</v>
      </c>
      <c r="AC2072" s="37">
        <v>2.7001352530543516</v>
      </c>
      <c r="AD2072" s="37">
        <v>3.2910139141096599</v>
      </c>
    </row>
    <row r="2073" spans="27:30" x14ac:dyDescent="0.3">
      <c r="AA2073" s="37">
        <v>2053</v>
      </c>
      <c r="AB2073" s="37">
        <v>1.7898121555623199</v>
      </c>
      <c r="AC2073" s="37">
        <v>2.6503277440065052</v>
      </c>
      <c r="AD2073" s="37">
        <v>3.3784437352888927</v>
      </c>
    </row>
    <row r="2074" spans="27:30" x14ac:dyDescent="0.3">
      <c r="AA2074" s="37">
        <v>2054</v>
      </c>
      <c r="AB2074" s="37">
        <v>1.8003018785838567</v>
      </c>
      <c r="AC2074" s="37">
        <v>2.791863267659505</v>
      </c>
      <c r="AD2074" s="37">
        <v>3.2587048561485474</v>
      </c>
    </row>
    <row r="2075" spans="27:30" x14ac:dyDescent="0.3">
      <c r="AA2075" s="37">
        <v>2055</v>
      </c>
      <c r="AB2075" s="37">
        <v>1.833144955439503</v>
      </c>
      <c r="AC2075" s="37">
        <v>2.8774034152754062</v>
      </c>
      <c r="AD2075" s="37">
        <v>3.1483498214345405</v>
      </c>
    </row>
    <row r="2076" spans="27:30" x14ac:dyDescent="0.3">
      <c r="AA2076" s="37">
        <v>2056</v>
      </c>
      <c r="AB2076" s="37">
        <v>1.7386947568089459</v>
      </c>
      <c r="AC2076" s="37">
        <v>2.8854403914690021</v>
      </c>
      <c r="AD2076" s="37">
        <v>3.5633665150490801</v>
      </c>
    </row>
    <row r="2077" spans="27:30" x14ac:dyDescent="0.3">
      <c r="AA2077" s="37">
        <v>2057</v>
      </c>
      <c r="AB2077" s="37">
        <v>1.7885991753488375</v>
      </c>
      <c r="AC2077" s="37">
        <v>3.0789455293385197</v>
      </c>
      <c r="AD2077" s="37">
        <v>3.1261454112484097</v>
      </c>
    </row>
    <row r="2078" spans="27:30" x14ac:dyDescent="0.3">
      <c r="AA2078" s="37">
        <v>2058</v>
      </c>
      <c r="AB2078" s="37">
        <v>1.8274475850113494</v>
      </c>
      <c r="AC2078" s="37">
        <v>2.8580815916065716</v>
      </c>
      <c r="AD2078" s="37">
        <v>3.2643456145625223</v>
      </c>
    </row>
    <row r="2079" spans="27:30" x14ac:dyDescent="0.3">
      <c r="AA2079" s="37">
        <v>2059</v>
      </c>
      <c r="AB2079" s="37">
        <v>1.7154950953975237</v>
      </c>
      <c r="AC2079" s="37">
        <v>2.9238399598329381</v>
      </c>
      <c r="AD2079" s="37">
        <v>3.1477903177331923</v>
      </c>
    </row>
    <row r="2080" spans="27:30" x14ac:dyDescent="0.3">
      <c r="AA2080" s="37">
        <v>2060</v>
      </c>
      <c r="AB2080" s="37">
        <v>1.6847826857722059</v>
      </c>
      <c r="AC2080" s="37">
        <v>2.8893967378580823</v>
      </c>
      <c r="AD2080" s="37">
        <v>3.3155148694277501</v>
      </c>
    </row>
    <row r="2081" spans="27:30" x14ac:dyDescent="0.3">
      <c r="AA2081" s="37">
        <v>2061</v>
      </c>
      <c r="AB2081" s="37">
        <v>1.763592746700962</v>
      </c>
      <c r="AC2081" s="37">
        <v>2.8752987750396666</v>
      </c>
      <c r="AD2081" s="37">
        <v>3.1872744143049996</v>
      </c>
    </row>
    <row r="2082" spans="27:30" x14ac:dyDescent="0.3">
      <c r="AA2082" s="37">
        <v>2062</v>
      </c>
      <c r="AB2082" s="37">
        <v>1.9040866331050901</v>
      </c>
      <c r="AC2082" s="37">
        <v>2.7144945938791212</v>
      </c>
      <c r="AD2082" s="37">
        <v>3.4040819457546738</v>
      </c>
    </row>
    <row r="2083" spans="27:30" x14ac:dyDescent="0.3">
      <c r="AA2083" s="37">
        <v>2063</v>
      </c>
      <c r="AB2083" s="37">
        <v>1.6822881804748941</v>
      </c>
      <c r="AC2083" s="37">
        <v>2.8324570655894545</v>
      </c>
      <c r="AD2083" s="37">
        <v>3.4369659819524134</v>
      </c>
    </row>
    <row r="2084" spans="27:30" x14ac:dyDescent="0.3">
      <c r="AA2084" s="37">
        <v>2064</v>
      </c>
      <c r="AB2084" s="37">
        <v>1.7412252125183449</v>
      </c>
      <c r="AC2084" s="37">
        <v>2.9184500730097604</v>
      </c>
      <c r="AD2084" s="37">
        <v>3.3219830096655474</v>
      </c>
    </row>
    <row r="2085" spans="27:30" x14ac:dyDescent="0.3">
      <c r="AA2085" s="37">
        <v>2065</v>
      </c>
      <c r="AB2085" s="37">
        <v>1.7342655363419068</v>
      </c>
      <c r="AC2085" s="37">
        <v>2.8345022451334492</v>
      </c>
      <c r="AD2085" s="37">
        <v>3.3984233848610899</v>
      </c>
    </row>
    <row r="2086" spans="27:30" x14ac:dyDescent="0.3">
      <c r="AA2086" s="37">
        <v>2066</v>
      </c>
      <c r="AB2086" s="37">
        <v>1.812510014944412</v>
      </c>
      <c r="AC2086" s="37">
        <v>2.9844292723962846</v>
      </c>
      <c r="AD2086" s="37">
        <v>3.2969595084805423</v>
      </c>
    </row>
    <row r="2087" spans="27:30" x14ac:dyDescent="0.3">
      <c r="AA2087" s="37">
        <v>2067</v>
      </c>
      <c r="AB2087" s="37">
        <v>1.6723795302597619</v>
      </c>
      <c r="AC2087" s="37">
        <v>2.9652438069832976</v>
      </c>
      <c r="AD2087" s="37">
        <v>3.4894742742466214</v>
      </c>
    </row>
    <row r="2088" spans="27:30" x14ac:dyDescent="0.3">
      <c r="AA2088" s="37">
        <v>2068</v>
      </c>
      <c r="AB2088" s="37">
        <v>1.8178778499608346</v>
      </c>
      <c r="AC2088" s="37">
        <v>2.6482500967276552</v>
      </c>
      <c r="AD2088" s="37">
        <v>3.6015312583202901</v>
      </c>
    </row>
    <row r="2089" spans="27:30" x14ac:dyDescent="0.3">
      <c r="AA2089" s="37">
        <v>2069</v>
      </c>
      <c r="AB2089" s="37">
        <v>1.7528734066342697</v>
      </c>
      <c r="AC2089" s="37">
        <v>2.8743515641829216</v>
      </c>
      <c r="AD2089" s="37">
        <v>3.4706194014266187</v>
      </c>
    </row>
    <row r="2090" spans="27:30" x14ac:dyDescent="0.3">
      <c r="AA2090" s="37">
        <v>2070</v>
      </c>
      <c r="AB2090" s="37">
        <v>1.9107473141571927</v>
      </c>
      <c r="AC2090" s="37">
        <v>2.9756981995052225</v>
      </c>
      <c r="AD2090" s="37">
        <v>3.3569233116066783</v>
      </c>
    </row>
    <row r="2091" spans="27:30" x14ac:dyDescent="0.3">
      <c r="AA2091" s="37">
        <v>2071</v>
      </c>
      <c r="AB2091" s="37">
        <v>1.8915658397536799</v>
      </c>
      <c r="AC2091" s="37">
        <v>2.8379597596089496</v>
      </c>
      <c r="AD2091" s="37">
        <v>3.588161862014946</v>
      </c>
    </row>
    <row r="2092" spans="27:30" x14ac:dyDescent="0.3">
      <c r="AA2092" s="37">
        <v>2072</v>
      </c>
      <c r="AB2092" s="37">
        <v>1.813737211601381</v>
      </c>
      <c r="AC2092" s="37">
        <v>3.0231269596766395</v>
      </c>
      <c r="AD2092" s="37">
        <v>3.4657837769536752</v>
      </c>
    </row>
    <row r="2093" spans="27:30" x14ac:dyDescent="0.3">
      <c r="AA2093" s="37">
        <v>2073</v>
      </c>
      <c r="AB2093" s="37">
        <v>1.9258174473996477</v>
      </c>
      <c r="AC2093" s="37">
        <v>2.8200212774851776</v>
      </c>
      <c r="AD2093" s="37">
        <v>3.5268912281290756</v>
      </c>
    </row>
    <row r="2094" spans="27:30" x14ac:dyDescent="0.3">
      <c r="AA2094" s="37">
        <v>2074</v>
      </c>
      <c r="AB2094" s="37">
        <v>1.8559284448876348</v>
      </c>
      <c r="AC2094" s="37">
        <v>2.9277556146821619</v>
      </c>
      <c r="AD2094" s="37">
        <v>3.2058186205040053</v>
      </c>
    </row>
    <row r="2095" spans="27:30" x14ac:dyDescent="0.3">
      <c r="AA2095" s="37">
        <v>2075</v>
      </c>
      <c r="AB2095" s="37">
        <v>1.9019869196938062</v>
      </c>
      <c r="AC2095" s="37">
        <v>2.9434995941001501</v>
      </c>
      <c r="AD2095" s="37">
        <v>3.2800271135765238</v>
      </c>
    </row>
    <row r="2096" spans="27:30" x14ac:dyDescent="0.3">
      <c r="AA2096" s="37">
        <v>2076</v>
      </c>
      <c r="AB2096" s="37">
        <v>1.8154714276436361</v>
      </c>
      <c r="AC2096" s="37">
        <v>2.9460816004441819</v>
      </c>
      <c r="AD2096" s="37">
        <v>3.1967733013567394</v>
      </c>
    </row>
    <row r="2097" spans="27:30" x14ac:dyDescent="0.3">
      <c r="AA2097" s="37">
        <v>2077</v>
      </c>
      <c r="AB2097" s="37">
        <v>1.8477615481572174</v>
      </c>
      <c r="AC2097" s="37">
        <v>2.7772966703421798</v>
      </c>
      <c r="AD2097" s="37">
        <v>3.3139407244643011</v>
      </c>
    </row>
    <row r="2098" spans="27:30" x14ac:dyDescent="0.3">
      <c r="AA2098" s="37">
        <v>2078</v>
      </c>
      <c r="AB2098" s="37">
        <v>1.7630315695857219</v>
      </c>
      <c r="AC2098" s="37">
        <v>2.8477906003239641</v>
      </c>
      <c r="AD2098" s="37">
        <v>3.482412088840388</v>
      </c>
    </row>
    <row r="2099" spans="27:30" x14ac:dyDescent="0.3">
      <c r="AA2099" s="37">
        <v>2079</v>
      </c>
      <c r="AB2099" s="37">
        <v>1.7163091497668039</v>
      </c>
      <c r="AC2099" s="37">
        <v>2.8572041514057931</v>
      </c>
      <c r="AD2099" s="37">
        <v>3.1638920033533053</v>
      </c>
    </row>
    <row r="2100" spans="27:30" x14ac:dyDescent="0.3">
      <c r="AA2100" s="37">
        <v>2080</v>
      </c>
      <c r="AB2100" s="37">
        <v>1.8454044369588183</v>
      </c>
      <c r="AC2100" s="37">
        <v>2.975371396980889</v>
      </c>
      <c r="AD2100" s="37">
        <v>3.3754402832815207</v>
      </c>
    </row>
    <row r="2101" spans="27:30" x14ac:dyDescent="0.3">
      <c r="AA2101" s="37">
        <v>2081</v>
      </c>
      <c r="AB2101" s="37">
        <v>1.8365669517313747</v>
      </c>
      <c r="AC2101" s="37">
        <v>2.9038760526279033</v>
      </c>
      <c r="AD2101" s="37">
        <v>3.6997440429384754</v>
      </c>
    </row>
    <row r="2102" spans="27:30" x14ac:dyDescent="0.3">
      <c r="AA2102" s="37">
        <v>2082</v>
      </c>
      <c r="AB2102" s="37">
        <v>1.7013815168965059</v>
      </c>
      <c r="AC2102" s="37">
        <v>2.7174788951667992</v>
      </c>
      <c r="AD2102" s="37">
        <v>3.2378507158633134</v>
      </c>
    </row>
    <row r="2103" spans="27:30" x14ac:dyDescent="0.3">
      <c r="AA2103" s="37">
        <v>2083</v>
      </c>
      <c r="AB2103" s="37">
        <v>1.7437779718555151</v>
      </c>
      <c r="AC2103" s="37">
        <v>2.9034190973997887</v>
      </c>
      <c r="AD2103" s="37">
        <v>3.4572498950531902</v>
      </c>
    </row>
    <row r="2104" spans="27:30" x14ac:dyDescent="0.3">
      <c r="AA2104" s="37">
        <v>2084</v>
      </c>
      <c r="AB2104" s="37">
        <v>1.7996940780776596</v>
      </c>
      <c r="AC2104" s="37">
        <v>2.7870807915490472</v>
      </c>
      <c r="AD2104" s="37">
        <v>3.2587221949211691</v>
      </c>
    </row>
    <row r="2105" spans="27:30" x14ac:dyDescent="0.3">
      <c r="AA2105" s="37">
        <v>2085</v>
      </c>
      <c r="AB2105" s="37">
        <v>1.821280291308593</v>
      </c>
      <c r="AC2105" s="37">
        <v>2.8139815737445093</v>
      </c>
      <c r="AD2105" s="37">
        <v>3.2989218862440501</v>
      </c>
    </row>
    <row r="2106" spans="27:30" x14ac:dyDescent="0.3">
      <c r="AA2106" s="37">
        <v>2086</v>
      </c>
      <c r="AB2106" s="37">
        <v>1.8045703252630989</v>
      </c>
      <c r="AC2106" s="37">
        <v>2.7500427210776355</v>
      </c>
      <c r="AD2106" s="37">
        <v>3.3059335540563457</v>
      </c>
    </row>
    <row r="2107" spans="27:30" x14ac:dyDescent="0.3">
      <c r="AA2107" s="37">
        <v>2087</v>
      </c>
      <c r="AB2107" s="37">
        <v>1.8093642471043829</v>
      </c>
      <c r="AC2107" s="37">
        <v>2.9536440165613778</v>
      </c>
      <c r="AD2107" s="37">
        <v>3.3996833824229542</v>
      </c>
    </row>
    <row r="2108" spans="27:30" x14ac:dyDescent="0.3">
      <c r="AA2108" s="37">
        <v>2088</v>
      </c>
      <c r="AB2108" s="37">
        <v>1.7927256103436646</v>
      </c>
      <c r="AC2108" s="37">
        <v>2.7760830771760152</v>
      </c>
      <c r="AD2108" s="37">
        <v>3.2021959210505373</v>
      </c>
    </row>
    <row r="2109" spans="27:30" x14ac:dyDescent="0.3">
      <c r="AA2109" s="37">
        <v>2089</v>
      </c>
      <c r="AB2109" s="37">
        <v>1.7495185765544288</v>
      </c>
      <c r="AC2109" s="37">
        <v>2.7030290511564941</v>
      </c>
      <c r="AD2109" s="37">
        <v>3.3217939122035078</v>
      </c>
    </row>
    <row r="2110" spans="27:30" x14ac:dyDescent="0.3">
      <c r="AA2110" s="37">
        <v>2090</v>
      </c>
      <c r="AB2110" s="37">
        <v>1.86229877679988</v>
      </c>
      <c r="AC2110" s="37">
        <v>2.9499486515283477</v>
      </c>
      <c r="AD2110" s="37">
        <v>3.3839122320847119</v>
      </c>
    </row>
    <row r="2111" spans="27:30" x14ac:dyDescent="0.3">
      <c r="AA2111" s="37">
        <v>2091</v>
      </c>
      <c r="AB2111" s="37">
        <v>1.764186339381997</v>
      </c>
      <c r="AC2111" s="37">
        <v>2.9126923524457378</v>
      </c>
      <c r="AD2111" s="37">
        <v>3.2025230705507512</v>
      </c>
    </row>
    <row r="2112" spans="27:30" x14ac:dyDescent="0.3">
      <c r="AA2112" s="37">
        <v>2092</v>
      </c>
      <c r="AB2112" s="37">
        <v>1.8116436203423136</v>
      </c>
      <c r="AC2112" s="37">
        <v>2.6823058745639301</v>
      </c>
      <c r="AD2112" s="37">
        <v>3.1475477647301022</v>
      </c>
    </row>
    <row r="2113" spans="27:30" x14ac:dyDescent="0.3">
      <c r="AA2113" s="37">
        <v>2093</v>
      </c>
      <c r="AB2113" s="37">
        <v>1.7615248256413585</v>
      </c>
      <c r="AC2113" s="37">
        <v>2.921548479629875</v>
      </c>
      <c r="AD2113" s="37">
        <v>3.2660596704752582</v>
      </c>
    </row>
    <row r="2114" spans="27:30" x14ac:dyDescent="0.3">
      <c r="AA2114" s="37">
        <v>2094</v>
      </c>
      <c r="AB2114" s="37">
        <v>1.7540273070710699</v>
      </c>
      <c r="AC2114" s="37">
        <v>2.7764040772545857</v>
      </c>
      <c r="AD2114" s="37">
        <v>3.1949450458387152</v>
      </c>
    </row>
    <row r="2115" spans="27:30" x14ac:dyDescent="0.3">
      <c r="AA2115" s="37">
        <v>2095</v>
      </c>
      <c r="AB2115" s="37">
        <v>1.70693368830072</v>
      </c>
      <c r="AC2115" s="37">
        <v>2.8146506690190418</v>
      </c>
      <c r="AD2115" s="37">
        <v>3.2568292347253998</v>
      </c>
    </row>
    <row r="2116" spans="27:30" x14ac:dyDescent="0.3">
      <c r="AA2116" s="37">
        <v>2096</v>
      </c>
      <c r="AB2116" s="37">
        <v>1.8034292860080914</v>
      </c>
      <c r="AC2116" s="37">
        <v>2.8137063874316044</v>
      </c>
      <c r="AD2116" s="37">
        <v>3.3572958272913405</v>
      </c>
    </row>
    <row r="2117" spans="27:30" x14ac:dyDescent="0.3">
      <c r="AA2117" s="37">
        <v>2097</v>
      </c>
      <c r="AB2117" s="37">
        <v>1.8019366497546543</v>
      </c>
      <c r="AC2117" s="37">
        <v>2.8147051175191864</v>
      </c>
      <c r="AD2117" s="37">
        <v>3.6788233575578495</v>
      </c>
    </row>
    <row r="2118" spans="27:30" x14ac:dyDescent="0.3">
      <c r="AA2118" s="37">
        <v>2098</v>
      </c>
      <c r="AB2118" s="37">
        <v>1.7438523079677823</v>
      </c>
      <c r="AC2118" s="37">
        <v>3.1045176781564332</v>
      </c>
      <c r="AD2118" s="37">
        <v>3.4270619585209832</v>
      </c>
    </row>
    <row r="2119" spans="27:30" x14ac:dyDescent="0.3">
      <c r="AA2119" s="37">
        <v>2099</v>
      </c>
      <c r="AB2119" s="37">
        <v>1.7210790879858484</v>
      </c>
      <c r="AC2119" s="37">
        <v>2.8383366187106569</v>
      </c>
      <c r="AD2119" s="37">
        <v>3.3467715877073219</v>
      </c>
    </row>
    <row r="2120" spans="27:30" x14ac:dyDescent="0.3">
      <c r="AA2120" s="37">
        <v>2100</v>
      </c>
      <c r="AB2120" s="37">
        <v>1.7526938797355391</v>
      </c>
      <c r="AC2120" s="37">
        <v>2.8826032551753324</v>
      </c>
      <c r="AD2120" s="37">
        <v>3.22893782721078</v>
      </c>
    </row>
    <row r="2121" spans="27:30" x14ac:dyDescent="0.3">
      <c r="AA2121" s="37">
        <v>2101</v>
      </c>
      <c r="AB2121" s="37">
        <v>1.8408629907245335</v>
      </c>
      <c r="AC2121" s="37">
        <v>2.8982025591871903</v>
      </c>
      <c r="AD2121" s="37">
        <v>3.2115607880438444</v>
      </c>
    </row>
    <row r="2122" spans="27:30" x14ac:dyDescent="0.3">
      <c r="AA2122" s="37">
        <v>2102</v>
      </c>
      <c r="AB2122" s="37">
        <v>1.7916164113418005</v>
      </c>
      <c r="AC2122" s="37">
        <v>2.8160405254622338</v>
      </c>
      <c r="AD2122" s="37">
        <v>3.4768072015455327</v>
      </c>
    </row>
    <row r="2123" spans="27:30" x14ac:dyDescent="0.3">
      <c r="AA2123" s="37">
        <v>2103</v>
      </c>
      <c r="AB2123" s="37">
        <v>1.8068500018362801</v>
      </c>
      <c r="AC2123" s="37">
        <v>2.8235173394402637</v>
      </c>
      <c r="AD2123" s="37">
        <v>3.2853051676661562</v>
      </c>
    </row>
    <row r="2124" spans="27:30" x14ac:dyDescent="0.3">
      <c r="AA2124" s="37">
        <v>2104</v>
      </c>
      <c r="AB2124" s="37">
        <v>1.7737051739550935</v>
      </c>
      <c r="AC2124" s="37">
        <v>2.8732574492997043</v>
      </c>
      <c r="AD2124" s="37">
        <v>2.96303343190942</v>
      </c>
    </row>
    <row r="2125" spans="27:30" x14ac:dyDescent="0.3">
      <c r="AA2125" s="37">
        <v>2105</v>
      </c>
      <c r="AB2125" s="37">
        <v>1.8396979426499058</v>
      </c>
      <c r="AC2125" s="37">
        <v>2.7728570028766208</v>
      </c>
      <c r="AD2125" s="37">
        <v>3.2749258288281093</v>
      </c>
    </row>
    <row r="2126" spans="27:30" x14ac:dyDescent="0.3">
      <c r="AA2126" s="37">
        <v>2106</v>
      </c>
      <c r="AB2126" s="37">
        <v>1.7643504528440181</v>
      </c>
      <c r="AC2126" s="37">
        <v>2.7840963971830917</v>
      </c>
      <c r="AD2126" s="37">
        <v>3.2540841219143148</v>
      </c>
    </row>
    <row r="2127" spans="27:30" x14ac:dyDescent="0.3">
      <c r="AA2127" s="37">
        <v>2107</v>
      </c>
      <c r="AB2127" s="37">
        <v>1.6763705137318154</v>
      </c>
      <c r="AC2127" s="37">
        <v>2.7974621244494182</v>
      </c>
      <c r="AD2127" s="37">
        <v>3.2995662309772302</v>
      </c>
    </row>
    <row r="2128" spans="27:30" x14ac:dyDescent="0.3">
      <c r="AA2128" s="37">
        <v>2108</v>
      </c>
      <c r="AB2128" s="37">
        <v>1.8245687160747119</v>
      </c>
      <c r="AC2128" s="37">
        <v>3.0397483226793098</v>
      </c>
      <c r="AD2128" s="37">
        <v>3.3794348362295459</v>
      </c>
    </row>
    <row r="2129" spans="27:30" x14ac:dyDescent="0.3">
      <c r="AA2129" s="37">
        <v>2109</v>
      </c>
      <c r="AB2129" s="37">
        <v>1.7287645026142606</v>
      </c>
      <c r="AC2129" s="37">
        <v>2.8931094897125362</v>
      </c>
      <c r="AD2129" s="37">
        <v>3.4250725595916114</v>
      </c>
    </row>
    <row r="2130" spans="27:30" x14ac:dyDescent="0.3">
      <c r="AA2130" s="37">
        <v>2110</v>
      </c>
      <c r="AB2130" s="37">
        <v>1.7987271260711493</v>
      </c>
      <c r="AC2130" s="37">
        <v>2.7233127975022517</v>
      </c>
      <c r="AD2130" s="37">
        <v>3.4319359061501724</v>
      </c>
    </row>
    <row r="2131" spans="27:30" x14ac:dyDescent="0.3">
      <c r="AA2131" s="37">
        <v>2111</v>
      </c>
      <c r="AB2131" s="37">
        <v>1.7392921579819578</v>
      </c>
      <c r="AC2131" s="37">
        <v>2.9431061576892716</v>
      </c>
      <c r="AD2131" s="37">
        <v>3.1945108400508677</v>
      </c>
    </row>
    <row r="2132" spans="27:30" x14ac:dyDescent="0.3">
      <c r="AA2132" s="37">
        <v>2112</v>
      </c>
      <c r="AB2132" s="37">
        <v>1.7586473109169569</v>
      </c>
      <c r="AC2132" s="37">
        <v>2.9164160861307034</v>
      </c>
      <c r="AD2132" s="37">
        <v>3.2386056394758369</v>
      </c>
    </row>
    <row r="2133" spans="27:30" x14ac:dyDescent="0.3">
      <c r="AA2133" s="37">
        <v>2113</v>
      </c>
      <c r="AB2133" s="37">
        <v>1.6601410723745218</v>
      </c>
      <c r="AC2133" s="37">
        <v>2.7757940920560409</v>
      </c>
      <c r="AD2133" s="37">
        <v>3.4441421974255078</v>
      </c>
    </row>
    <row r="2134" spans="27:30" x14ac:dyDescent="0.3">
      <c r="AA2134" s="37">
        <v>2114</v>
      </c>
      <c r="AB2134" s="37">
        <v>1.7154846983200343</v>
      </c>
      <c r="AC2134" s="37">
        <v>2.7470773701944382</v>
      </c>
      <c r="AD2134" s="37">
        <v>3.5126094089343614</v>
      </c>
    </row>
    <row r="2135" spans="27:30" x14ac:dyDescent="0.3">
      <c r="AA2135" s="37">
        <v>2115</v>
      </c>
      <c r="AB2135" s="37">
        <v>1.6697293345087982</v>
      </c>
      <c r="AC2135" s="37">
        <v>2.7762848791412122</v>
      </c>
      <c r="AD2135" s="37">
        <v>3.5536056428811755</v>
      </c>
    </row>
    <row r="2136" spans="27:30" x14ac:dyDescent="0.3">
      <c r="AA2136" s="37">
        <v>2116</v>
      </c>
      <c r="AB2136" s="37">
        <v>1.8135420208047484</v>
      </c>
      <c r="AC2136" s="37">
        <v>2.9326462553797623</v>
      </c>
      <c r="AD2136" s="37">
        <v>3.3165738324507976</v>
      </c>
    </row>
    <row r="2137" spans="27:30" x14ac:dyDescent="0.3">
      <c r="AA2137" s="37">
        <v>2117</v>
      </c>
      <c r="AB2137" s="37">
        <v>1.9311581120223271</v>
      </c>
      <c r="AC2137" s="37">
        <v>2.8206052518185243</v>
      </c>
      <c r="AD2137" s="37">
        <v>3.4600151337306713</v>
      </c>
    </row>
    <row r="2138" spans="27:30" x14ac:dyDescent="0.3">
      <c r="AA2138" s="37">
        <v>2118</v>
      </c>
      <c r="AB2138" s="37">
        <v>1.8774050636242723</v>
      </c>
      <c r="AC2138" s="37">
        <v>2.8086509126903696</v>
      </c>
      <c r="AD2138" s="37">
        <v>3.3475234951337098</v>
      </c>
    </row>
    <row r="2139" spans="27:30" x14ac:dyDescent="0.3">
      <c r="AA2139" s="37">
        <v>2119</v>
      </c>
      <c r="AB2139" s="37">
        <v>1.7366268192831256</v>
      </c>
      <c r="AC2139" s="37">
        <v>2.8947745544480381</v>
      </c>
      <c r="AD2139" s="37">
        <v>3.3959366126923065</v>
      </c>
    </row>
    <row r="2140" spans="27:30" x14ac:dyDescent="0.3">
      <c r="AA2140" s="37">
        <v>2120</v>
      </c>
      <c r="AB2140" s="37">
        <v>1.6358536112586448</v>
      </c>
      <c r="AC2140" s="37">
        <v>2.6623352317860545</v>
      </c>
      <c r="AD2140" s="37">
        <v>3.1417485738900428</v>
      </c>
    </row>
    <row r="2141" spans="27:30" x14ac:dyDescent="0.3">
      <c r="AA2141" s="37">
        <v>2121</v>
      </c>
      <c r="AB2141" s="37">
        <v>1.7539197094908219</v>
      </c>
      <c r="AC2141" s="37">
        <v>3.0202493488540569</v>
      </c>
      <c r="AD2141" s="37">
        <v>3.3648423524809687</v>
      </c>
    </row>
    <row r="2142" spans="27:30" x14ac:dyDescent="0.3">
      <c r="AA2142" s="37">
        <v>2122</v>
      </c>
      <c r="AB2142" s="37">
        <v>1.8273948641339526</v>
      </c>
      <c r="AC2142" s="37">
        <v>2.6599177307406019</v>
      </c>
      <c r="AD2142" s="37">
        <v>3.3285082123935075</v>
      </c>
    </row>
    <row r="2143" spans="27:30" x14ac:dyDescent="0.3">
      <c r="AA2143" s="37">
        <v>2123</v>
      </c>
      <c r="AB2143" s="37">
        <v>1.7990749240394783</v>
      </c>
      <c r="AC2143" s="37">
        <v>2.87439939937626</v>
      </c>
      <c r="AD2143" s="37">
        <v>3.3828245775725905</v>
      </c>
    </row>
    <row r="2144" spans="27:30" x14ac:dyDescent="0.3">
      <c r="AA2144" s="37">
        <v>2124</v>
      </c>
      <c r="AB2144" s="37">
        <v>1.6675248946259904</v>
      </c>
      <c r="AC2144" s="37">
        <v>2.8930654398973012</v>
      </c>
      <c r="AD2144" s="37">
        <v>3.1188868787668578</v>
      </c>
    </row>
    <row r="2145" spans="27:30" x14ac:dyDescent="0.3">
      <c r="AA2145" s="37">
        <v>2125</v>
      </c>
      <c r="AB2145" s="37">
        <v>1.7471448922610189</v>
      </c>
      <c r="AC2145" s="37">
        <v>3.0881010104849231</v>
      </c>
      <c r="AD2145" s="37">
        <v>3.1488101907528745</v>
      </c>
    </row>
    <row r="2146" spans="27:30" x14ac:dyDescent="0.3">
      <c r="AA2146" s="37">
        <v>2126</v>
      </c>
      <c r="AB2146" s="37">
        <v>1.7158015655391659</v>
      </c>
      <c r="AC2146" s="37">
        <v>2.8400045047864673</v>
      </c>
      <c r="AD2146" s="37">
        <v>3.4890518430874335</v>
      </c>
    </row>
    <row r="2147" spans="27:30" x14ac:dyDescent="0.3">
      <c r="AA2147" s="37">
        <v>2127</v>
      </c>
      <c r="AB2147" s="37">
        <v>1.7790396474313572</v>
      </c>
      <c r="AC2147" s="37">
        <v>2.68608919658412</v>
      </c>
      <c r="AD2147" s="37">
        <v>3.1584289736956155</v>
      </c>
    </row>
    <row r="2148" spans="27:30" x14ac:dyDescent="0.3">
      <c r="AA2148" s="37">
        <v>2128</v>
      </c>
      <c r="AB2148" s="37">
        <v>1.7630687884623653</v>
      </c>
      <c r="AC2148" s="37">
        <v>2.6907238145116339</v>
      </c>
      <c r="AD2148" s="37">
        <v>3.397690257452636</v>
      </c>
    </row>
    <row r="2149" spans="27:30" x14ac:dyDescent="0.3">
      <c r="AA2149" s="37">
        <v>2129</v>
      </c>
      <c r="AB2149" s="37">
        <v>1.7117879310658024</v>
      </c>
      <c r="AC2149" s="37">
        <v>2.6922583840099716</v>
      </c>
      <c r="AD2149" s="37">
        <v>3.4929852925234339</v>
      </c>
    </row>
    <row r="2150" spans="27:30" x14ac:dyDescent="0.3">
      <c r="AA2150" s="37">
        <v>2130</v>
      </c>
      <c r="AB2150" s="37">
        <v>1.7830108856725528</v>
      </c>
      <c r="AC2150" s="37">
        <v>2.838255012059872</v>
      </c>
      <c r="AD2150" s="37">
        <v>3.4662749488518667</v>
      </c>
    </row>
    <row r="2151" spans="27:30" x14ac:dyDescent="0.3">
      <c r="AA2151" s="37">
        <v>2131</v>
      </c>
      <c r="AB2151" s="37">
        <v>1.7856099069709761</v>
      </c>
      <c r="AC2151" s="37">
        <v>2.886259892796359</v>
      </c>
      <c r="AD2151" s="37">
        <v>3.5513205378279991</v>
      </c>
    </row>
    <row r="2152" spans="27:30" x14ac:dyDescent="0.3">
      <c r="AA2152" s="37">
        <v>2132</v>
      </c>
      <c r="AB2152" s="37">
        <v>1.7130461099696388</v>
      </c>
      <c r="AC2152" s="37">
        <v>2.6735946824073618</v>
      </c>
      <c r="AD2152" s="37">
        <v>3.3732345019198529</v>
      </c>
    </row>
    <row r="2153" spans="27:30" x14ac:dyDescent="0.3">
      <c r="AA2153" s="37">
        <v>2133</v>
      </c>
      <c r="AB2153" s="37">
        <v>1.8356738102505232</v>
      </c>
      <c r="AC2153" s="37">
        <v>2.8303225925619806</v>
      </c>
      <c r="AD2153" s="37">
        <v>3.5676448528189337</v>
      </c>
    </row>
    <row r="2154" spans="27:30" x14ac:dyDescent="0.3">
      <c r="AA2154" s="37">
        <v>2134</v>
      </c>
      <c r="AB2154" s="37">
        <v>1.799493390448053</v>
      </c>
      <c r="AC2154" s="37">
        <v>3.0393631446153928</v>
      </c>
      <c r="AD2154" s="37">
        <v>3.1773518114270738</v>
      </c>
    </row>
    <row r="2155" spans="27:30" x14ac:dyDescent="0.3">
      <c r="AA2155" s="37">
        <v>2135</v>
      </c>
      <c r="AB2155" s="37">
        <v>1.6912908989677304</v>
      </c>
      <c r="AC2155" s="37">
        <v>2.7345642200573281</v>
      </c>
      <c r="AD2155" s="37">
        <v>3.3375056987724583</v>
      </c>
    </row>
    <row r="2156" spans="27:30" x14ac:dyDescent="0.3">
      <c r="AA2156" s="37">
        <v>2136</v>
      </c>
      <c r="AB2156" s="37">
        <v>1.8023158939935766</v>
      </c>
      <c r="AC2156" s="37">
        <v>3.0466345105102519</v>
      </c>
      <c r="AD2156" s="37">
        <v>3.2923762064636612</v>
      </c>
    </row>
    <row r="2157" spans="27:30" x14ac:dyDescent="0.3">
      <c r="AA2157" s="37">
        <v>2137</v>
      </c>
      <c r="AB2157" s="37">
        <v>1.8635891101363433</v>
      </c>
      <c r="AC2157" s="37">
        <v>2.7786332847535875</v>
      </c>
      <c r="AD2157" s="37">
        <v>3.3833488681284787</v>
      </c>
    </row>
    <row r="2158" spans="27:30" x14ac:dyDescent="0.3">
      <c r="AA2158" s="37">
        <v>2138</v>
      </c>
      <c r="AB2158" s="37">
        <v>1.7694481881918838</v>
      </c>
      <c r="AC2158" s="37">
        <v>2.9244336329043703</v>
      </c>
      <c r="AD2158" s="37">
        <v>3.4831108986924724</v>
      </c>
    </row>
    <row r="2159" spans="27:30" x14ac:dyDescent="0.3">
      <c r="AA2159" s="37">
        <v>2139</v>
      </c>
      <c r="AB2159" s="37">
        <v>1.8292964937671436</v>
      </c>
      <c r="AC2159" s="37">
        <v>2.9439241879547993</v>
      </c>
      <c r="AD2159" s="37">
        <v>3.2801161467138864</v>
      </c>
    </row>
    <row r="2160" spans="27:30" x14ac:dyDescent="0.3">
      <c r="AA2160" s="37">
        <v>2140</v>
      </c>
      <c r="AB2160" s="37">
        <v>1.8445777135757417</v>
      </c>
      <c r="AC2160" s="37">
        <v>2.6454942925282121</v>
      </c>
      <c r="AD2160" s="37">
        <v>3.44745434845498</v>
      </c>
    </row>
    <row r="2161" spans="27:30" x14ac:dyDescent="0.3">
      <c r="AA2161" s="37">
        <v>2141</v>
      </c>
      <c r="AB2161" s="37">
        <v>1.7715389322446091</v>
      </c>
      <c r="AC2161" s="37">
        <v>2.7514774645778997</v>
      </c>
      <c r="AD2161" s="37">
        <v>3.1287737810566267</v>
      </c>
    </row>
    <row r="2162" spans="27:30" x14ac:dyDescent="0.3">
      <c r="AA2162" s="37">
        <v>2142</v>
      </c>
      <c r="AB2162" s="37">
        <v>1.7771718949095463</v>
      </c>
      <c r="AC2162" s="37">
        <v>2.8927009010168714</v>
      </c>
      <c r="AD2162" s="37">
        <v>3.3307413954047527</v>
      </c>
    </row>
    <row r="2163" spans="27:30" x14ac:dyDescent="0.3">
      <c r="AA2163" s="37">
        <v>2143</v>
      </c>
      <c r="AB2163" s="37">
        <v>1.8082628659093183</v>
      </c>
      <c r="AC2163" s="37">
        <v>2.8905621333003095</v>
      </c>
      <c r="AD2163" s="37">
        <v>3.3156802052511041</v>
      </c>
    </row>
    <row r="2164" spans="27:30" x14ac:dyDescent="0.3">
      <c r="AA2164" s="37">
        <v>2144</v>
      </c>
      <c r="AB2164" s="37">
        <v>1.7239643377094827</v>
      </c>
      <c r="AC2164" s="37">
        <v>2.8245367083579707</v>
      </c>
      <c r="AD2164" s="37">
        <v>3.3431781404866041</v>
      </c>
    </row>
    <row r="2165" spans="27:30" x14ac:dyDescent="0.3">
      <c r="AA2165" s="37">
        <v>2145</v>
      </c>
      <c r="AB2165" s="37">
        <v>1.7747761625528198</v>
      </c>
      <c r="AC2165" s="37">
        <v>2.618197694217447</v>
      </c>
      <c r="AD2165" s="37">
        <v>3.2699097954865217</v>
      </c>
    </row>
    <row r="2166" spans="27:30" x14ac:dyDescent="0.3">
      <c r="AA2166" s="37">
        <v>2146</v>
      </c>
      <c r="AB2166" s="37">
        <v>1.7828397158865945</v>
      </c>
      <c r="AC2166" s="37">
        <v>2.7623784801428326</v>
      </c>
      <c r="AD2166" s="37">
        <v>3.6060537355029516</v>
      </c>
    </row>
    <row r="2167" spans="27:30" x14ac:dyDescent="0.3">
      <c r="AA2167" s="37">
        <v>2147</v>
      </c>
      <c r="AB2167" s="37">
        <v>1.7271062513088762</v>
      </c>
      <c r="AC2167" s="37">
        <v>2.8889577198382881</v>
      </c>
      <c r="AD2167" s="37">
        <v>3.2995192456480038</v>
      </c>
    </row>
    <row r="2168" spans="27:30" x14ac:dyDescent="0.3">
      <c r="AA2168" s="37">
        <v>2148</v>
      </c>
      <c r="AB2168" s="37">
        <v>1.8035229054880684</v>
      </c>
      <c r="AC2168" s="37">
        <v>2.7302103329022405</v>
      </c>
      <c r="AD2168" s="37">
        <v>3.4233526745271132</v>
      </c>
    </row>
    <row r="2169" spans="27:30" x14ac:dyDescent="0.3">
      <c r="AA2169" s="37">
        <v>2149</v>
      </c>
      <c r="AB2169" s="37">
        <v>1.75568622947161</v>
      </c>
      <c r="AC2169" s="37">
        <v>2.8395463600447313</v>
      </c>
      <c r="AD2169" s="37">
        <v>3.7023341366682669</v>
      </c>
    </row>
    <row r="2170" spans="27:30" x14ac:dyDescent="0.3">
      <c r="AA2170" s="37">
        <v>2150</v>
      </c>
      <c r="AB2170" s="37">
        <v>1.7814471240505196</v>
      </c>
      <c r="AC2170" s="37">
        <v>2.8005304011466157</v>
      </c>
      <c r="AD2170" s="37">
        <v>3.0885582833286476</v>
      </c>
    </row>
    <row r="2171" spans="27:30" x14ac:dyDescent="0.3">
      <c r="AA2171" s="37">
        <v>2151</v>
      </c>
      <c r="AB2171" s="37">
        <v>1.7877329201857115</v>
      </c>
      <c r="AC2171" s="37">
        <v>2.9764533270112463</v>
      </c>
      <c r="AD2171" s="37">
        <v>3.3327268741426095</v>
      </c>
    </row>
    <row r="2172" spans="27:30" x14ac:dyDescent="0.3">
      <c r="AA2172" s="37">
        <v>2152</v>
      </c>
      <c r="AB2172" s="37">
        <v>1.908975802379079</v>
      </c>
      <c r="AC2172" s="37">
        <v>2.7731818928464413</v>
      </c>
      <c r="AD2172" s="37">
        <v>3.2600984660440839</v>
      </c>
    </row>
    <row r="2173" spans="27:30" x14ac:dyDescent="0.3">
      <c r="AA2173" s="37">
        <v>2153</v>
      </c>
      <c r="AB2173" s="37">
        <v>1.7046510117173685</v>
      </c>
      <c r="AC2173" s="37">
        <v>2.8521627472604689</v>
      </c>
      <c r="AD2173" s="37">
        <v>3.4243708878531769</v>
      </c>
    </row>
    <row r="2174" spans="27:30" x14ac:dyDescent="0.3">
      <c r="AA2174" s="37">
        <v>2154</v>
      </c>
      <c r="AB2174" s="37">
        <v>1.8830905269903204</v>
      </c>
      <c r="AC2174" s="37">
        <v>2.9290861478162826</v>
      </c>
      <c r="AD2174" s="37">
        <v>3.3903049858245051</v>
      </c>
    </row>
    <row r="2175" spans="27:30" x14ac:dyDescent="0.3">
      <c r="AA2175" s="37">
        <v>2155</v>
      </c>
      <c r="AB2175" s="37">
        <v>1.7719497507514701</v>
      </c>
      <c r="AC2175" s="37">
        <v>2.831917107562929</v>
      </c>
      <c r="AD2175" s="37">
        <v>3.3250523234566436</v>
      </c>
    </row>
    <row r="2176" spans="27:30" x14ac:dyDescent="0.3">
      <c r="AA2176" s="37">
        <v>2156</v>
      </c>
      <c r="AB2176" s="37">
        <v>1.7935905010636204</v>
      </c>
      <c r="AC2176" s="37">
        <v>2.8442579528530736</v>
      </c>
      <c r="AD2176" s="37">
        <v>3.4737043480794947</v>
      </c>
    </row>
    <row r="2177" spans="27:30" x14ac:dyDescent="0.3">
      <c r="AA2177" s="37">
        <v>2157</v>
      </c>
      <c r="AB2177" s="37">
        <v>1.854287301678466</v>
      </c>
      <c r="AC2177" s="37">
        <v>2.6150978860565335</v>
      </c>
      <c r="AD2177" s="37">
        <v>3.2881371936119179</v>
      </c>
    </row>
    <row r="2178" spans="27:30" x14ac:dyDescent="0.3">
      <c r="AA2178" s="37">
        <v>2158</v>
      </c>
      <c r="AB2178" s="37">
        <v>1.8257204061310039</v>
      </c>
      <c r="AC2178" s="37">
        <v>3.0328656562228495</v>
      </c>
      <c r="AD2178" s="37">
        <v>3.1665471430358001</v>
      </c>
    </row>
    <row r="2179" spans="27:30" x14ac:dyDescent="0.3">
      <c r="AA2179" s="37">
        <v>2159</v>
      </c>
      <c r="AB2179" s="37">
        <v>1.7643793208081766</v>
      </c>
      <c r="AC2179" s="37">
        <v>2.8426704089125279</v>
      </c>
      <c r="AD2179" s="37">
        <v>3.6076849676988747</v>
      </c>
    </row>
    <row r="2180" spans="27:30" x14ac:dyDescent="0.3">
      <c r="AA2180" s="37">
        <v>2160</v>
      </c>
      <c r="AB2180" s="37">
        <v>1.7184266755434239</v>
      </c>
      <c r="AC2180" s="37">
        <v>2.9899234449751573</v>
      </c>
      <c r="AD2180" s="37">
        <v>3.3239213592196406</v>
      </c>
    </row>
    <row r="2181" spans="27:30" x14ac:dyDescent="0.3">
      <c r="AA2181" s="37">
        <v>2161</v>
      </c>
      <c r="AB2181" s="37">
        <v>1.8145159592613576</v>
      </c>
      <c r="AC2181" s="37">
        <v>2.9026000664295437</v>
      </c>
      <c r="AD2181" s="37">
        <v>3.2684017201975757</v>
      </c>
    </row>
    <row r="2182" spans="27:30" x14ac:dyDescent="0.3">
      <c r="AA2182" s="37">
        <v>2162</v>
      </c>
      <c r="AB2182" s="37">
        <v>1.6956779925152794</v>
      </c>
      <c r="AC2182" s="37">
        <v>2.8129293658148953</v>
      </c>
      <c r="AD2182" s="37">
        <v>3.2714227127916091</v>
      </c>
    </row>
    <row r="2183" spans="27:30" x14ac:dyDescent="0.3">
      <c r="AA2183" s="37">
        <v>2163</v>
      </c>
      <c r="AB2183" s="37">
        <v>1.7972252375964324</v>
      </c>
      <c r="AC2183" s="37">
        <v>2.8756173445488824</v>
      </c>
      <c r="AD2183" s="37">
        <v>3.2294539214672802</v>
      </c>
    </row>
    <row r="2184" spans="27:30" x14ac:dyDescent="0.3">
      <c r="AA2184" s="37">
        <v>2164</v>
      </c>
      <c r="AB2184" s="37">
        <v>1.8400840798263911</v>
      </c>
      <c r="AC2184" s="37">
        <v>2.8736127120727772</v>
      </c>
      <c r="AD2184" s="37">
        <v>3.4859151473189449</v>
      </c>
    </row>
    <row r="2185" spans="27:30" x14ac:dyDescent="0.3">
      <c r="AA2185" s="37">
        <v>2165</v>
      </c>
      <c r="AB2185" s="37">
        <v>1.8210449275248628</v>
      </c>
      <c r="AC2185" s="37">
        <v>2.8061379378669447</v>
      </c>
      <c r="AD2185" s="37">
        <v>3.4690658935681826</v>
      </c>
    </row>
    <row r="2186" spans="27:30" x14ac:dyDescent="0.3">
      <c r="AA2186" s="37">
        <v>2166</v>
      </c>
      <c r="AB2186" s="37">
        <v>1.8241033015454602</v>
      </c>
      <c r="AC2186" s="37">
        <v>2.8929455378288051</v>
      </c>
      <c r="AD2186" s="37">
        <v>3.5195872510567181</v>
      </c>
    </row>
    <row r="2187" spans="27:30" x14ac:dyDescent="0.3">
      <c r="AA2187" s="37">
        <v>2167</v>
      </c>
      <c r="AB2187" s="37">
        <v>1.8365826270023424</v>
      </c>
      <c r="AC2187" s="37">
        <v>2.836357400263303</v>
      </c>
      <c r="AD2187" s="37">
        <v>3.0847727777184031</v>
      </c>
    </row>
    <row r="2188" spans="27:30" x14ac:dyDescent="0.3">
      <c r="AA2188" s="37">
        <v>2168</v>
      </c>
      <c r="AB2188" s="37">
        <v>1.8138358661205787</v>
      </c>
      <c r="AC2188" s="37">
        <v>2.7341158479973044</v>
      </c>
      <c r="AD2188" s="37">
        <v>3.2234527158509163</v>
      </c>
    </row>
    <row r="2189" spans="27:30" x14ac:dyDescent="0.3">
      <c r="AA2189" s="37">
        <v>2169</v>
      </c>
      <c r="AB2189" s="37">
        <v>1.765354706271612</v>
      </c>
      <c r="AC2189" s="37">
        <v>2.9231926400825134</v>
      </c>
      <c r="AD2189" s="37">
        <v>3.4432775222994905</v>
      </c>
    </row>
    <row r="2190" spans="27:30" x14ac:dyDescent="0.3">
      <c r="AA2190" s="37">
        <v>2170</v>
      </c>
      <c r="AB2190" s="37">
        <v>1.8581645135493403</v>
      </c>
      <c r="AC2190" s="37">
        <v>2.9907879885589819</v>
      </c>
      <c r="AD2190" s="37">
        <v>3.3319278057340735</v>
      </c>
    </row>
    <row r="2191" spans="27:30" x14ac:dyDescent="0.3">
      <c r="AA2191" s="37">
        <v>2171</v>
      </c>
      <c r="AB2191" s="37">
        <v>1.7734497929421218</v>
      </c>
      <c r="AC2191" s="37">
        <v>2.9524715032403761</v>
      </c>
      <c r="AD2191" s="37">
        <v>3.4616180712810429</v>
      </c>
    </row>
    <row r="2192" spans="27:30" x14ac:dyDescent="0.3">
      <c r="AA2192" s="37">
        <v>2172</v>
      </c>
      <c r="AB2192" s="37">
        <v>1.8461665478216764</v>
      </c>
      <c r="AC2192" s="37">
        <v>2.6434083820263226</v>
      </c>
      <c r="AD2192" s="37">
        <v>3.3041899599269549</v>
      </c>
    </row>
    <row r="2193" spans="27:30" x14ac:dyDescent="0.3">
      <c r="AA2193" s="37">
        <v>2173</v>
      </c>
      <c r="AB2193" s="37">
        <v>1.8823168337419141</v>
      </c>
      <c r="AC2193" s="37">
        <v>2.8424466956769194</v>
      </c>
      <c r="AD2193" s="37">
        <v>3.2699557676774331</v>
      </c>
    </row>
    <row r="2194" spans="27:30" x14ac:dyDescent="0.3">
      <c r="AA2194" s="37">
        <v>2174</v>
      </c>
      <c r="AB2194" s="37">
        <v>1.810700736451196</v>
      </c>
      <c r="AC2194" s="37">
        <v>2.8599488837580789</v>
      </c>
      <c r="AD2194" s="37">
        <v>3.2968321629964357</v>
      </c>
    </row>
    <row r="2195" spans="27:30" x14ac:dyDescent="0.3">
      <c r="AA2195" s="37">
        <v>2175</v>
      </c>
      <c r="AB2195" s="37">
        <v>1.7242193921075848</v>
      </c>
      <c r="AC2195" s="37">
        <v>2.6947481628493706</v>
      </c>
      <c r="AD2195" s="37">
        <v>3.4712594700066806</v>
      </c>
    </row>
    <row r="2196" spans="27:30" x14ac:dyDescent="0.3">
      <c r="AA2196" s="37">
        <v>2176</v>
      </c>
      <c r="AB2196" s="37">
        <v>1.7235075113817551</v>
      </c>
      <c r="AC2196" s="37">
        <v>2.7275561583238432</v>
      </c>
      <c r="AD2196" s="37">
        <v>3.3782613635857279</v>
      </c>
    </row>
    <row r="2197" spans="27:30" x14ac:dyDescent="0.3">
      <c r="AA2197" s="37">
        <v>2177</v>
      </c>
      <c r="AB2197" s="37">
        <v>1.6764905885357813</v>
      </c>
      <c r="AC2197" s="37">
        <v>2.9315064132274502</v>
      </c>
      <c r="AD2197" s="37">
        <v>3.1960021676195152</v>
      </c>
    </row>
    <row r="2198" spans="27:30" x14ac:dyDescent="0.3">
      <c r="AA2198" s="37">
        <v>2178</v>
      </c>
      <c r="AB2198" s="37">
        <v>1.6945045364742073</v>
      </c>
      <c r="AC2198" s="37">
        <v>2.8483422905792892</v>
      </c>
      <c r="AD2198" s="37">
        <v>3.32194943447008</v>
      </c>
    </row>
    <row r="2199" spans="27:30" x14ac:dyDescent="0.3">
      <c r="AA2199" s="37">
        <v>2179</v>
      </c>
      <c r="AB2199" s="37">
        <v>1.7578936574037889</v>
      </c>
      <c r="AC2199" s="37">
        <v>2.6143401094575212</v>
      </c>
      <c r="AD2199" s="37">
        <v>3.3128866974818871</v>
      </c>
    </row>
    <row r="2200" spans="27:30" x14ac:dyDescent="0.3">
      <c r="AA2200" s="37">
        <v>2180</v>
      </c>
      <c r="AB2200" s="37">
        <v>1.8928929485933319</v>
      </c>
      <c r="AC2200" s="37">
        <v>2.7169847540682297</v>
      </c>
      <c r="AD2200" s="37">
        <v>3.1943025447915643</v>
      </c>
    </row>
    <row r="2201" spans="27:30" x14ac:dyDescent="0.3">
      <c r="AA2201" s="37">
        <v>2181</v>
      </c>
      <c r="AB2201" s="37">
        <v>1.7678850473568266</v>
      </c>
      <c r="AC2201" s="37">
        <v>2.7959618376192266</v>
      </c>
      <c r="AD2201" s="37">
        <v>3.2273761227389404</v>
      </c>
    </row>
    <row r="2202" spans="27:30" x14ac:dyDescent="0.3">
      <c r="AA2202" s="37">
        <v>2182</v>
      </c>
      <c r="AB2202" s="37">
        <v>1.9884481540053029</v>
      </c>
      <c r="AC2202" s="37">
        <v>2.7915970369811545</v>
      </c>
      <c r="AD2202" s="37">
        <v>3.3157517884489534</v>
      </c>
    </row>
    <row r="2203" spans="27:30" x14ac:dyDescent="0.3">
      <c r="AA2203" s="37">
        <v>2183</v>
      </c>
      <c r="AB2203" s="37">
        <v>1.8510362167968857</v>
      </c>
      <c r="AC2203" s="37">
        <v>2.9943838756161965</v>
      </c>
      <c r="AD2203" s="37">
        <v>3.4347618672513414</v>
      </c>
    </row>
    <row r="2204" spans="27:30" x14ac:dyDescent="0.3">
      <c r="AA2204" s="37">
        <v>2184</v>
      </c>
      <c r="AB2204" s="37">
        <v>1.8146118459529412</v>
      </c>
      <c r="AC2204" s="37">
        <v>2.9712952241398889</v>
      </c>
      <c r="AD2204" s="37">
        <v>3.2165456178083445</v>
      </c>
    </row>
    <row r="2205" spans="27:30" x14ac:dyDescent="0.3">
      <c r="AA2205" s="37">
        <v>2185</v>
      </c>
      <c r="AB2205" s="37">
        <v>1.8240222821425784</v>
      </c>
      <c r="AC2205" s="37">
        <v>2.8706555647734557</v>
      </c>
      <c r="AD2205" s="37">
        <v>3.527269721057579</v>
      </c>
    </row>
    <row r="2206" spans="27:30" x14ac:dyDescent="0.3">
      <c r="AA2206" s="37">
        <v>2186</v>
      </c>
      <c r="AB2206" s="37">
        <v>1.7747996094322416</v>
      </c>
      <c r="AC2206" s="37">
        <v>2.720651003438558</v>
      </c>
      <c r="AD2206" s="37">
        <v>3.2371042563148893</v>
      </c>
    </row>
    <row r="2207" spans="27:30" x14ac:dyDescent="0.3">
      <c r="AA2207" s="37">
        <v>2187</v>
      </c>
      <c r="AB2207" s="37">
        <v>1.778199264159334</v>
      </c>
      <c r="AC2207" s="37">
        <v>3.0095652448052221</v>
      </c>
      <c r="AD2207" s="37">
        <v>3.3834026986918437</v>
      </c>
    </row>
    <row r="2208" spans="27:30" x14ac:dyDescent="0.3">
      <c r="AA2208" s="37">
        <v>2188</v>
      </c>
      <c r="AB2208" s="37">
        <v>1.7707147785692707</v>
      </c>
      <c r="AC2208" s="37">
        <v>2.656004658323956</v>
      </c>
      <c r="AD2208" s="37">
        <v>3.2513225043132983</v>
      </c>
    </row>
    <row r="2209" spans="27:30" x14ac:dyDescent="0.3">
      <c r="AA2209" s="37">
        <v>2189</v>
      </c>
      <c r="AB2209" s="37">
        <v>1.7700918698666293</v>
      </c>
      <c r="AC2209" s="37">
        <v>2.8940283635129269</v>
      </c>
      <c r="AD2209" s="37">
        <v>3.3409904051618824</v>
      </c>
    </row>
    <row r="2210" spans="27:30" x14ac:dyDescent="0.3">
      <c r="AA2210" s="37">
        <v>2190</v>
      </c>
      <c r="AB2210" s="37">
        <v>1.7957542542015403</v>
      </c>
      <c r="AC2210" s="37">
        <v>2.798755569780472</v>
      </c>
      <c r="AD2210" s="37">
        <v>3.3971141838981547</v>
      </c>
    </row>
    <row r="2211" spans="27:30" x14ac:dyDescent="0.3">
      <c r="AA2211" s="37">
        <v>2191</v>
      </c>
      <c r="AB2211" s="37">
        <v>1.657394406064828</v>
      </c>
      <c r="AC2211" s="37">
        <v>2.7899347880836474</v>
      </c>
      <c r="AD2211" s="37">
        <v>3.5708244088986842</v>
      </c>
    </row>
    <row r="2212" spans="27:30" x14ac:dyDescent="0.3">
      <c r="AA2212" s="37">
        <v>2192</v>
      </c>
      <c r="AB2212" s="37">
        <v>1.6640749033001063</v>
      </c>
      <c r="AC2212" s="37">
        <v>2.8212110453877091</v>
      </c>
      <c r="AD2212" s="37">
        <v>3.4420905905906602</v>
      </c>
    </row>
    <row r="2213" spans="27:30" x14ac:dyDescent="0.3">
      <c r="AA2213" s="37">
        <v>2193</v>
      </c>
      <c r="AB2213" s="37">
        <v>1.7804029616939203</v>
      </c>
      <c r="AC2213" s="37">
        <v>3.0546717982446863</v>
      </c>
      <c r="AD2213" s="37">
        <v>3.145378421792731</v>
      </c>
    </row>
    <row r="2214" spans="27:30" x14ac:dyDescent="0.3">
      <c r="AA2214" s="37">
        <v>2194</v>
      </c>
      <c r="AB2214" s="37">
        <v>1.8021839145726146</v>
      </c>
      <c r="AC2214" s="37">
        <v>2.7160187380833265</v>
      </c>
      <c r="AD2214" s="37">
        <v>3.4407232211512069</v>
      </c>
    </row>
    <row r="2215" spans="27:30" x14ac:dyDescent="0.3">
      <c r="AA2215" s="37">
        <v>2195</v>
      </c>
      <c r="AB2215" s="37">
        <v>1.805537628675326</v>
      </c>
      <c r="AC2215" s="37">
        <v>2.7284279853792595</v>
      </c>
      <c r="AD2215" s="37">
        <v>3.2843177881525341</v>
      </c>
    </row>
    <row r="2216" spans="27:30" x14ac:dyDescent="0.3">
      <c r="AA2216" s="37">
        <v>2196</v>
      </c>
      <c r="AB2216" s="37">
        <v>1.7709292270310737</v>
      </c>
      <c r="AC2216" s="37">
        <v>2.81260450881692</v>
      </c>
      <c r="AD2216" s="37">
        <v>3.148224381709948</v>
      </c>
    </row>
    <row r="2217" spans="27:30" x14ac:dyDescent="0.3">
      <c r="AA2217" s="37">
        <v>2197</v>
      </c>
      <c r="AB2217" s="37">
        <v>1.8783827798691259</v>
      </c>
      <c r="AC2217" s="37">
        <v>2.8180952853330568</v>
      </c>
      <c r="AD2217" s="37">
        <v>3.4190037824332804</v>
      </c>
    </row>
    <row r="2218" spans="27:30" x14ac:dyDescent="0.3">
      <c r="AA2218" s="37">
        <v>2198</v>
      </c>
      <c r="AB2218" s="37">
        <v>1.6715363777319874</v>
      </c>
      <c r="AC2218" s="37">
        <v>2.8734120437708772</v>
      </c>
      <c r="AD2218" s="37">
        <v>3.2924098433681124</v>
      </c>
    </row>
    <row r="2219" spans="27:30" x14ac:dyDescent="0.3">
      <c r="AA2219" s="37">
        <v>2199</v>
      </c>
      <c r="AB2219" s="37">
        <v>1.7991672328704915</v>
      </c>
      <c r="AC2219" s="37">
        <v>2.7144699724911288</v>
      </c>
      <c r="AD2219" s="37">
        <v>3.2055855812958245</v>
      </c>
    </row>
    <row r="2220" spans="27:30" x14ac:dyDescent="0.3">
      <c r="AA2220" s="37">
        <v>2200</v>
      </c>
      <c r="AB2220" s="37">
        <v>1.8620629701682738</v>
      </c>
      <c r="AC2220" s="37">
        <v>3.0390200299255392</v>
      </c>
      <c r="AD2220" s="37">
        <v>3.1033223002195056</v>
      </c>
    </row>
    <row r="2221" spans="27:30" x14ac:dyDescent="0.3">
      <c r="AA2221" s="37">
        <v>2201</v>
      </c>
      <c r="AB2221" s="37">
        <v>1.7731231136423482</v>
      </c>
      <c r="AC2221" s="37">
        <v>2.8625204410863185</v>
      </c>
      <c r="AD2221" s="37">
        <v>3.377869759148469</v>
      </c>
    </row>
    <row r="2222" spans="27:30" x14ac:dyDescent="0.3">
      <c r="AA2222" s="37">
        <v>2202</v>
      </c>
      <c r="AB2222" s="37">
        <v>1.9088375050829882</v>
      </c>
      <c r="AC2222" s="37">
        <v>2.8721545800596062</v>
      </c>
      <c r="AD2222" s="37">
        <v>3.4341015985607863</v>
      </c>
    </row>
    <row r="2223" spans="27:30" x14ac:dyDescent="0.3">
      <c r="AA2223" s="37">
        <v>2203</v>
      </c>
      <c r="AB2223" s="37">
        <v>1.780693313330262</v>
      </c>
      <c r="AC2223" s="37">
        <v>2.9520381006269214</v>
      </c>
      <c r="AD2223" s="37">
        <v>3.4876605063217179</v>
      </c>
    </row>
    <row r="2224" spans="27:30" x14ac:dyDescent="0.3">
      <c r="AA2224" s="37">
        <v>2204</v>
      </c>
      <c r="AB2224" s="37">
        <v>1.8009617963301889</v>
      </c>
      <c r="AC2224" s="37">
        <v>2.659333813911855</v>
      </c>
      <c r="AD2224" s="37">
        <v>3.2575594380144062</v>
      </c>
    </row>
    <row r="2225" spans="27:30" x14ac:dyDescent="0.3">
      <c r="AA2225" s="37">
        <v>2205</v>
      </c>
      <c r="AB2225" s="37">
        <v>1.7533150621022771</v>
      </c>
      <c r="AC2225" s="37">
        <v>2.9581422756571221</v>
      </c>
      <c r="AD2225" s="37">
        <v>3.2924373157045403</v>
      </c>
    </row>
    <row r="2226" spans="27:30" x14ac:dyDescent="0.3">
      <c r="AA2226" s="37">
        <v>2206</v>
      </c>
      <c r="AB2226" s="37">
        <v>1.9115519139787343</v>
      </c>
      <c r="AC2226" s="37">
        <v>2.8369427354182148</v>
      </c>
      <c r="AD2226" s="37">
        <v>3.259861226735512</v>
      </c>
    </row>
    <row r="2227" spans="27:30" x14ac:dyDescent="0.3">
      <c r="AA2227" s="37">
        <v>2207</v>
      </c>
      <c r="AB2227" s="37">
        <v>1.791006726359188</v>
      </c>
      <c r="AC2227" s="37">
        <v>2.7985369469952124</v>
      </c>
      <c r="AD2227" s="37">
        <v>3.5543458909021464</v>
      </c>
    </row>
    <row r="2228" spans="27:30" x14ac:dyDescent="0.3">
      <c r="AA2228" s="37">
        <v>2208</v>
      </c>
      <c r="AB2228" s="37">
        <v>1.853367730598261</v>
      </c>
      <c r="AC2228" s="37">
        <v>3.040159591839426</v>
      </c>
      <c r="AD2228" s="37">
        <v>3.0596885008974213</v>
      </c>
    </row>
    <row r="2229" spans="27:30" x14ac:dyDescent="0.3">
      <c r="AA2229" s="37">
        <v>2209</v>
      </c>
      <c r="AB2229" s="37">
        <v>1.7217476210986074</v>
      </c>
      <c r="AC2229" s="37">
        <v>2.9452894937880441</v>
      </c>
      <c r="AD2229" s="37">
        <v>3.5377306011789318</v>
      </c>
    </row>
    <row r="2230" spans="27:30" x14ac:dyDescent="0.3">
      <c r="AA2230" s="37">
        <v>2210</v>
      </c>
      <c r="AB2230" s="37">
        <v>1.7262108236593483</v>
      </c>
      <c r="AC2230" s="37">
        <v>3.043360852061431</v>
      </c>
      <c r="AD2230" s="37">
        <v>3.3823726553993554</v>
      </c>
    </row>
    <row r="2231" spans="27:30" x14ac:dyDescent="0.3">
      <c r="AA2231" s="37">
        <v>2211</v>
      </c>
      <c r="AB2231" s="37">
        <v>1.7084284230708087</v>
      </c>
      <c r="AC2231" s="37">
        <v>2.8180127935564396</v>
      </c>
      <c r="AD2231" s="37">
        <v>3.2661113130057684</v>
      </c>
    </row>
    <row r="2232" spans="27:30" x14ac:dyDescent="0.3">
      <c r="AA2232" s="37">
        <v>2212</v>
      </c>
      <c r="AB2232" s="37">
        <v>1.8433515767426234</v>
      </c>
      <c r="AC2232" s="37">
        <v>2.8382973258631492</v>
      </c>
      <c r="AD2232" s="37">
        <v>3.2592634443102333</v>
      </c>
    </row>
    <row r="2233" spans="27:30" x14ac:dyDescent="0.3">
      <c r="AA2233" s="37">
        <v>2213</v>
      </c>
      <c r="AB2233" s="37">
        <v>1.751171686990117</v>
      </c>
      <c r="AC2233" s="37">
        <v>2.9823861208606655</v>
      </c>
      <c r="AD2233" s="37">
        <v>3.3297759831931777</v>
      </c>
    </row>
    <row r="2234" spans="27:30" x14ac:dyDescent="0.3">
      <c r="AA2234" s="37">
        <v>2214</v>
      </c>
      <c r="AB2234" s="37">
        <v>1.6990843456578468</v>
      </c>
      <c r="AC2234" s="37">
        <v>2.7776098573515382</v>
      </c>
      <c r="AD2234" s="37">
        <v>3.3315772063034625</v>
      </c>
    </row>
    <row r="2235" spans="27:30" x14ac:dyDescent="0.3">
      <c r="AA2235" s="37">
        <v>2215</v>
      </c>
      <c r="AB2235" s="37">
        <v>1.8901476645857322</v>
      </c>
      <c r="AC2235" s="37">
        <v>3.0052659618436248</v>
      </c>
      <c r="AD2235" s="37">
        <v>3.3541472254299114</v>
      </c>
    </row>
    <row r="2236" spans="27:30" x14ac:dyDescent="0.3">
      <c r="AA2236" s="37">
        <v>2216</v>
      </c>
      <c r="AB2236" s="37">
        <v>1.7775099202248921</v>
      </c>
      <c r="AC2236" s="37">
        <v>2.8776133667312314</v>
      </c>
      <c r="AD2236" s="37">
        <v>3.3249673121283485</v>
      </c>
    </row>
    <row r="2237" spans="27:30" x14ac:dyDescent="0.3">
      <c r="AA2237" s="37">
        <v>2217</v>
      </c>
      <c r="AB2237" s="37">
        <v>1.7949215137573329</v>
      </c>
      <c r="AC2237" s="37">
        <v>2.84358975157607</v>
      </c>
      <c r="AD2237" s="37">
        <v>3.2555557373747286</v>
      </c>
    </row>
    <row r="2238" spans="27:30" x14ac:dyDescent="0.3">
      <c r="AA2238" s="37">
        <v>2218</v>
      </c>
      <c r="AB2238" s="37">
        <v>1.7565055570872501</v>
      </c>
      <c r="AC2238" s="37">
        <v>2.7211496037095468</v>
      </c>
      <c r="AD2238" s="37">
        <v>3.4544342775043129</v>
      </c>
    </row>
    <row r="2239" spans="27:30" x14ac:dyDescent="0.3">
      <c r="AA2239" s="37">
        <v>2219</v>
      </c>
      <c r="AB2239" s="37">
        <v>1.8266018378460585</v>
      </c>
      <c r="AC2239" s="37">
        <v>3.1550785218030333</v>
      </c>
      <c r="AD2239" s="37">
        <v>3.3577687336211914</v>
      </c>
    </row>
    <row r="2240" spans="27:30" x14ac:dyDescent="0.3">
      <c r="AA2240" s="37">
        <v>2220</v>
      </c>
      <c r="AB2240" s="37">
        <v>1.8116362349084212</v>
      </c>
      <c r="AC2240" s="37">
        <v>2.8241844858015481</v>
      </c>
      <c r="AD2240" s="37">
        <v>3.204689619253104</v>
      </c>
    </row>
    <row r="2241" spans="27:30" x14ac:dyDescent="0.3">
      <c r="AA2241" s="37">
        <v>2221</v>
      </c>
      <c r="AB2241" s="37">
        <v>1.6914959062694506</v>
      </c>
      <c r="AC2241" s="37">
        <v>3.0198523050949175</v>
      </c>
      <c r="AD2241" s="37">
        <v>3.3264450704105251</v>
      </c>
    </row>
    <row r="2242" spans="27:30" x14ac:dyDescent="0.3">
      <c r="AA2242" s="37">
        <v>2222</v>
      </c>
      <c r="AB2242" s="37">
        <v>1.7944815857518874</v>
      </c>
      <c r="AC2242" s="37">
        <v>2.7328509203113227</v>
      </c>
      <c r="AD2242" s="37">
        <v>3.2644638391600176</v>
      </c>
    </row>
    <row r="2243" spans="27:30" x14ac:dyDescent="0.3">
      <c r="AA2243" s="37">
        <v>2223</v>
      </c>
      <c r="AB2243" s="37">
        <v>1.8806099050255456</v>
      </c>
      <c r="AC2243" s="37">
        <v>2.9613460358116259</v>
      </c>
      <c r="AD2243" s="37">
        <v>3.4831824781140188</v>
      </c>
    </row>
    <row r="2244" spans="27:30" x14ac:dyDescent="0.3">
      <c r="AA2244" s="37">
        <v>2224</v>
      </c>
      <c r="AB2244" s="37">
        <v>1.8030137647452176</v>
      </c>
      <c r="AC2244" s="37">
        <v>2.8225079857784494</v>
      </c>
      <c r="AD2244" s="37">
        <v>3.2665091173103074</v>
      </c>
    </row>
    <row r="2245" spans="27:30" x14ac:dyDescent="0.3">
      <c r="AA2245" s="37">
        <v>2225</v>
      </c>
      <c r="AB2245" s="37">
        <v>1.7725442772733102</v>
      </c>
      <c r="AC2245" s="37">
        <v>2.882422202730762</v>
      </c>
      <c r="AD2245" s="37">
        <v>3.2978571802877057</v>
      </c>
    </row>
    <row r="2246" spans="27:30" x14ac:dyDescent="0.3">
      <c r="AA2246" s="37">
        <v>2226</v>
      </c>
      <c r="AB2246" s="37">
        <v>1.8409458646610217</v>
      </c>
      <c r="AC2246" s="37">
        <v>2.8334267352787985</v>
      </c>
      <c r="AD2246" s="37">
        <v>3.4533700042050777</v>
      </c>
    </row>
    <row r="2247" spans="27:30" x14ac:dyDescent="0.3">
      <c r="AA2247" s="37">
        <v>2227</v>
      </c>
      <c r="AB2247" s="37">
        <v>1.8402330900236701</v>
      </c>
      <c r="AC2247" s="37">
        <v>2.9105673377602566</v>
      </c>
      <c r="AD2247" s="37">
        <v>3.5615408376741127</v>
      </c>
    </row>
    <row r="2248" spans="27:30" x14ac:dyDescent="0.3">
      <c r="AA2248" s="37">
        <v>2228</v>
      </c>
      <c r="AB2248" s="37">
        <v>1.8853531289807199</v>
      </c>
      <c r="AC2248" s="37">
        <v>2.902210757282357</v>
      </c>
      <c r="AD2248" s="37">
        <v>3.5090314885375262</v>
      </c>
    </row>
    <row r="2249" spans="27:30" x14ac:dyDescent="0.3">
      <c r="AA2249" s="37">
        <v>2229</v>
      </c>
      <c r="AB2249" s="37">
        <v>1.7839855733950483</v>
      </c>
      <c r="AC2249" s="37">
        <v>2.6934949634478</v>
      </c>
      <c r="AD2249" s="37">
        <v>3.4981788699097454</v>
      </c>
    </row>
    <row r="2250" spans="27:30" x14ac:dyDescent="0.3">
      <c r="AA2250" s="37">
        <v>2230</v>
      </c>
      <c r="AB2250" s="37">
        <v>1.7118536092333845</v>
      </c>
      <c r="AC2250" s="37">
        <v>2.7135422659979325</v>
      </c>
      <c r="AD2250" s="37">
        <v>3.0378555247965129</v>
      </c>
    </row>
    <row r="2251" spans="27:30" x14ac:dyDescent="0.3">
      <c r="AA2251" s="37">
        <v>2231</v>
      </c>
      <c r="AB2251" s="37">
        <v>1.7105961910226304</v>
      </c>
      <c r="AC2251" s="37">
        <v>2.836083494010889</v>
      </c>
      <c r="AD2251" s="37">
        <v>3.3579779366284006</v>
      </c>
    </row>
    <row r="2252" spans="27:30" x14ac:dyDescent="0.3">
      <c r="AA2252" s="37">
        <v>2232</v>
      </c>
      <c r="AB2252" s="37">
        <v>1.7655578947972292</v>
      </c>
      <c r="AC2252" s="37">
        <v>2.7865183768091222</v>
      </c>
      <c r="AD2252" s="37">
        <v>3.2700300812337582</v>
      </c>
    </row>
    <row r="2253" spans="27:30" x14ac:dyDescent="0.3">
      <c r="AA2253" s="37">
        <v>2233</v>
      </c>
      <c r="AB2253" s="37">
        <v>1.7690311633836378</v>
      </c>
      <c r="AC2253" s="37">
        <v>2.7469886794315186</v>
      </c>
      <c r="AD2253" s="37">
        <v>3.1043071587495166</v>
      </c>
    </row>
    <row r="2254" spans="27:30" x14ac:dyDescent="0.3">
      <c r="AA2254" s="37">
        <v>2234</v>
      </c>
      <c r="AB2254" s="37">
        <v>1.8417471408600796</v>
      </c>
      <c r="AC2254" s="37">
        <v>2.7729334502235941</v>
      </c>
      <c r="AD2254" s="37">
        <v>3.394619661601717</v>
      </c>
    </row>
    <row r="2255" spans="27:30" x14ac:dyDescent="0.3">
      <c r="AA2255" s="37">
        <v>2235</v>
      </c>
      <c r="AB2255" s="37">
        <v>1.7580872540835544</v>
      </c>
      <c r="AC2255" s="37">
        <v>2.7760571700840564</v>
      </c>
      <c r="AD2255" s="37">
        <v>3.1568935016280664</v>
      </c>
    </row>
    <row r="2256" spans="27:30" x14ac:dyDescent="0.3">
      <c r="AA2256" s="37">
        <v>2236</v>
      </c>
      <c r="AB2256" s="37">
        <v>1.8197166852503663</v>
      </c>
      <c r="AC2256" s="37">
        <v>2.7339570877807655</v>
      </c>
      <c r="AD2256" s="37">
        <v>3.3724014880603468</v>
      </c>
    </row>
    <row r="2257" spans="27:30" x14ac:dyDescent="0.3">
      <c r="AA2257" s="37">
        <v>2237</v>
      </c>
      <c r="AB2257" s="37">
        <v>1.7593072331687598</v>
      </c>
      <c r="AC2257" s="37">
        <v>2.7178928099202082</v>
      </c>
      <c r="AD2257" s="37">
        <v>3.3987450741106824</v>
      </c>
    </row>
    <row r="2258" spans="27:30" x14ac:dyDescent="0.3">
      <c r="AA2258" s="37">
        <v>2238</v>
      </c>
      <c r="AB2258" s="37">
        <v>1.7656081250092046</v>
      </c>
      <c r="AC2258" s="37">
        <v>3.0021752573133043</v>
      </c>
      <c r="AD2258" s="37">
        <v>3.4743839231474012</v>
      </c>
    </row>
    <row r="2259" spans="27:30" x14ac:dyDescent="0.3">
      <c r="AA2259" s="37">
        <v>2239</v>
      </c>
      <c r="AB2259" s="37">
        <v>1.800266520135134</v>
      </c>
      <c r="AC2259" s="37">
        <v>2.7406108374275444</v>
      </c>
      <c r="AD2259" s="37">
        <v>3.4582356316672973</v>
      </c>
    </row>
    <row r="2260" spans="27:30" x14ac:dyDescent="0.3">
      <c r="AA2260" s="37">
        <v>2240</v>
      </c>
      <c r="AB2260" s="37">
        <v>1.7864394433113664</v>
      </c>
      <c r="AC2260" s="37">
        <v>2.9159599250445125</v>
      </c>
      <c r="AD2260" s="37">
        <v>3.3333016706618155</v>
      </c>
    </row>
    <row r="2261" spans="27:30" x14ac:dyDescent="0.3">
      <c r="AA2261" s="37">
        <v>2241</v>
      </c>
      <c r="AB2261" s="37">
        <v>1.7490664282242714</v>
      </c>
      <c r="AC2261" s="37">
        <v>2.9268675163314857</v>
      </c>
      <c r="AD2261" s="37">
        <v>3.3637045648395127</v>
      </c>
    </row>
    <row r="2262" spans="27:30" x14ac:dyDescent="0.3">
      <c r="AA2262" s="37">
        <v>2242</v>
      </c>
      <c r="AB2262" s="37">
        <v>1.7274229679755879</v>
      </c>
      <c r="AC2262" s="37">
        <v>2.7331604764980368</v>
      </c>
      <c r="AD2262" s="37">
        <v>3.3182126573914887</v>
      </c>
    </row>
    <row r="2263" spans="27:30" x14ac:dyDescent="0.3">
      <c r="AA2263" s="37">
        <v>2243</v>
      </c>
      <c r="AB2263" s="37">
        <v>1.8215868567629723</v>
      </c>
      <c r="AC2263" s="37">
        <v>2.7055767962754067</v>
      </c>
      <c r="AD2263" s="37">
        <v>3.4683617857600768</v>
      </c>
    </row>
    <row r="2264" spans="27:30" x14ac:dyDescent="0.3">
      <c r="AA2264" s="37">
        <v>2244</v>
      </c>
      <c r="AB2264" s="37">
        <v>1.9167436313500621</v>
      </c>
      <c r="AC2264" s="37">
        <v>2.7646892033421477</v>
      </c>
      <c r="AD2264" s="37">
        <v>3.2453913782243267</v>
      </c>
    </row>
    <row r="2265" spans="27:30" x14ac:dyDescent="0.3">
      <c r="AA2265" s="37">
        <v>2245</v>
      </c>
      <c r="AB2265" s="37">
        <v>1.8013454727944269</v>
      </c>
      <c r="AC2265" s="37">
        <v>2.875181395755932</v>
      </c>
      <c r="AD2265" s="37">
        <v>3.383519096442646</v>
      </c>
    </row>
    <row r="2266" spans="27:30" x14ac:dyDescent="0.3">
      <c r="AA2266" s="37">
        <v>2246</v>
      </c>
      <c r="AB2266" s="37">
        <v>1.6944790541359387</v>
      </c>
      <c r="AC2266" s="37">
        <v>2.9430909160060845</v>
      </c>
      <c r="AD2266" s="37">
        <v>3.5080853787231367</v>
      </c>
    </row>
    <row r="2267" spans="27:30" x14ac:dyDescent="0.3">
      <c r="AA2267" s="37">
        <v>2247</v>
      </c>
      <c r="AB2267" s="37">
        <v>1.7626087243335538</v>
      </c>
      <c r="AC2267" s="37">
        <v>3.0288513297511135</v>
      </c>
      <c r="AD2267" s="37">
        <v>3.1248856960385658</v>
      </c>
    </row>
    <row r="2268" spans="27:30" x14ac:dyDescent="0.3">
      <c r="AA2268" s="37">
        <v>2248</v>
      </c>
      <c r="AB2268" s="37">
        <v>1.6463466676902085</v>
      </c>
      <c r="AC2268" s="37">
        <v>2.8262917112201911</v>
      </c>
      <c r="AD2268" s="37">
        <v>3.5522186980823447</v>
      </c>
    </row>
    <row r="2269" spans="27:30" x14ac:dyDescent="0.3">
      <c r="AA2269" s="37">
        <v>2249</v>
      </c>
      <c r="AB2269" s="37">
        <v>1.7918753200188058</v>
      </c>
      <c r="AC2269" s="37">
        <v>2.6558732902667415</v>
      </c>
      <c r="AD2269" s="37">
        <v>3.3373758274044185</v>
      </c>
    </row>
    <row r="2270" spans="27:30" x14ac:dyDescent="0.3">
      <c r="AA2270" s="37">
        <v>2250</v>
      </c>
      <c r="AB2270" s="37">
        <v>1.7089409892584746</v>
      </c>
      <c r="AC2270" s="37">
        <v>2.9676377839305368</v>
      </c>
      <c r="AD2270" s="37">
        <v>3.2176514642911451</v>
      </c>
    </row>
    <row r="2271" spans="27:30" x14ac:dyDescent="0.3">
      <c r="AA2271" s="37">
        <v>2251</v>
      </c>
      <c r="AB2271" s="37">
        <v>1.8087883051763356</v>
      </c>
      <c r="AC2271" s="37">
        <v>2.8596395630829985</v>
      </c>
      <c r="AD2271" s="37">
        <v>3.2474235857609712</v>
      </c>
    </row>
    <row r="2272" spans="27:30" x14ac:dyDescent="0.3">
      <c r="AA2272" s="37">
        <v>2252</v>
      </c>
      <c r="AB2272" s="37">
        <v>1.682843462847381</v>
      </c>
      <c r="AC2272" s="37">
        <v>2.8647064953392487</v>
      </c>
      <c r="AD2272" s="37">
        <v>3.5234238125526791</v>
      </c>
    </row>
    <row r="2273" spans="27:30" x14ac:dyDescent="0.3">
      <c r="AA2273" s="37">
        <v>2253</v>
      </c>
      <c r="AB2273" s="37">
        <v>1.8952878167425824</v>
      </c>
      <c r="AC2273" s="37">
        <v>2.7852797207926518</v>
      </c>
      <c r="AD2273" s="37">
        <v>3.4759844935582809</v>
      </c>
    </row>
    <row r="2274" spans="27:30" x14ac:dyDescent="0.3">
      <c r="AA2274" s="37">
        <v>2254</v>
      </c>
      <c r="AB2274" s="37">
        <v>1.7867107125050514</v>
      </c>
      <c r="AC2274" s="37">
        <v>2.7432909734790716</v>
      </c>
      <c r="AD2274" s="37">
        <v>3.5131195188109574</v>
      </c>
    </row>
    <row r="2275" spans="27:30" x14ac:dyDescent="0.3">
      <c r="AA2275" s="37">
        <v>2255</v>
      </c>
      <c r="AB2275" s="37">
        <v>1.7919069738609756</v>
      </c>
      <c r="AC2275" s="37">
        <v>2.8102215144645224</v>
      </c>
      <c r="AD2275" s="37">
        <v>3.4191844326709258</v>
      </c>
    </row>
    <row r="2276" spans="27:30" x14ac:dyDescent="0.3">
      <c r="AA2276" s="37">
        <v>2256</v>
      </c>
      <c r="AB2276" s="37">
        <v>1.8811320983181776</v>
      </c>
      <c r="AC2276" s="37">
        <v>2.7860056877147028</v>
      </c>
      <c r="AD2276" s="37">
        <v>3.1664373424666383</v>
      </c>
    </row>
    <row r="2277" spans="27:30" x14ac:dyDescent="0.3">
      <c r="AA2277" s="37">
        <v>2257</v>
      </c>
      <c r="AB2277" s="37">
        <v>1.641487518080075</v>
      </c>
      <c r="AC2277" s="37">
        <v>2.7740867478481093</v>
      </c>
      <c r="AD2277" s="37">
        <v>3.4490458956774162</v>
      </c>
    </row>
    <row r="2278" spans="27:30" x14ac:dyDescent="0.3">
      <c r="AA2278" s="37">
        <v>2258</v>
      </c>
      <c r="AB2278" s="37">
        <v>1.7675076661155307</v>
      </c>
      <c r="AC2278" s="37">
        <v>2.9120190493692526</v>
      </c>
      <c r="AD2278" s="37">
        <v>2.9589870566493111</v>
      </c>
    </row>
    <row r="2279" spans="27:30" x14ac:dyDescent="0.3">
      <c r="AA2279" s="37">
        <v>2259</v>
      </c>
      <c r="AB2279" s="37">
        <v>1.7943372487727465</v>
      </c>
      <c r="AC2279" s="37">
        <v>2.872975397513339</v>
      </c>
      <c r="AD2279" s="37">
        <v>3.4400474060733446</v>
      </c>
    </row>
    <row r="2280" spans="27:30" x14ac:dyDescent="0.3">
      <c r="AA2280" s="37">
        <v>2260</v>
      </c>
      <c r="AB2280" s="37">
        <v>1.6949076422636293</v>
      </c>
      <c r="AC2280" s="37">
        <v>2.9158066381457428</v>
      </c>
      <c r="AD2280" s="37">
        <v>3.4001903205538548</v>
      </c>
    </row>
    <row r="2281" spans="27:30" x14ac:dyDescent="0.3">
      <c r="AA2281" s="37">
        <v>2261</v>
      </c>
      <c r="AB2281" s="37">
        <v>1.8303934210928421</v>
      </c>
      <c r="AC2281" s="37">
        <v>2.7834334231183311</v>
      </c>
      <c r="AD2281" s="37">
        <v>3.2774418117396955</v>
      </c>
    </row>
    <row r="2282" spans="27:30" x14ac:dyDescent="0.3">
      <c r="AA2282" s="37">
        <v>2262</v>
      </c>
      <c r="AB2282" s="37">
        <v>1.7385682966478442</v>
      </c>
      <c r="AC2282" s="37">
        <v>2.8860206604739864</v>
      </c>
      <c r="AD2282" s="37">
        <v>3.2714856880832581</v>
      </c>
    </row>
    <row r="2283" spans="27:30" x14ac:dyDescent="0.3">
      <c r="AA2283" s="37">
        <v>2263</v>
      </c>
      <c r="AB2283" s="37">
        <v>1.7525548293642939</v>
      </c>
      <c r="AC2283" s="37">
        <v>2.8707881204565089</v>
      </c>
      <c r="AD2283" s="37">
        <v>3.4168894178259626</v>
      </c>
    </row>
    <row r="2284" spans="27:30" x14ac:dyDescent="0.3">
      <c r="AA2284" s="37">
        <v>2264</v>
      </c>
      <c r="AB2284" s="37">
        <v>1.8716308101588892</v>
      </c>
      <c r="AC2284" s="37">
        <v>2.989563096826414</v>
      </c>
      <c r="AD2284" s="37">
        <v>3.0351295964804943</v>
      </c>
    </row>
    <row r="2285" spans="27:30" x14ac:dyDescent="0.3">
      <c r="AA2285" s="37">
        <v>2265</v>
      </c>
      <c r="AB2285" s="37">
        <v>1.7356517147610764</v>
      </c>
      <c r="AC2285" s="37">
        <v>2.8127055859642751</v>
      </c>
      <c r="AD2285" s="37">
        <v>3.378122728127599</v>
      </c>
    </row>
    <row r="2286" spans="27:30" x14ac:dyDescent="0.3">
      <c r="AA2286" s="37">
        <v>2266</v>
      </c>
      <c r="AB2286" s="37">
        <v>1.7813205899807449</v>
      </c>
      <c r="AC2286" s="37">
        <v>2.9094483968819231</v>
      </c>
      <c r="AD2286" s="37">
        <v>3.3841401664630566</v>
      </c>
    </row>
    <row r="2287" spans="27:30" x14ac:dyDescent="0.3">
      <c r="AA2287" s="37">
        <v>2267</v>
      </c>
      <c r="AB2287" s="37">
        <v>1.8695147295771191</v>
      </c>
      <c r="AC2287" s="37">
        <v>2.7742079604588796</v>
      </c>
      <c r="AD2287" s="37">
        <v>3.622137208183434</v>
      </c>
    </row>
    <row r="2288" spans="27:30" x14ac:dyDescent="0.3">
      <c r="AA2288" s="37">
        <v>2268</v>
      </c>
      <c r="AB2288" s="37">
        <v>1.8063102582846415</v>
      </c>
      <c r="AC2288" s="37">
        <v>2.8858809114018293</v>
      </c>
      <c r="AD2288" s="37">
        <v>3.3796849579879615</v>
      </c>
    </row>
    <row r="2289" spans="27:30" x14ac:dyDescent="0.3">
      <c r="AA2289" s="37">
        <v>2269</v>
      </c>
      <c r="AB2289" s="37">
        <v>1.8726921978815765</v>
      </c>
      <c r="AC2289" s="37">
        <v>2.9000952627156833</v>
      </c>
      <c r="AD2289" s="37">
        <v>3.4209957557874753</v>
      </c>
    </row>
    <row r="2290" spans="27:30" x14ac:dyDescent="0.3">
      <c r="AA2290" s="37">
        <v>2270</v>
      </c>
      <c r="AB2290" s="37">
        <v>1.8302435897681617</v>
      </c>
      <c r="AC2290" s="37">
        <v>2.8012465938193358</v>
      </c>
      <c r="AD2290" s="37">
        <v>3.268447668428776</v>
      </c>
    </row>
    <row r="2291" spans="27:30" x14ac:dyDescent="0.3">
      <c r="AA2291" s="37">
        <v>2271</v>
      </c>
      <c r="AB2291" s="37">
        <v>1.7234634255546837</v>
      </c>
      <c r="AC2291" s="37">
        <v>2.8453730903615586</v>
      </c>
      <c r="AD2291" s="37">
        <v>3.3556212827439329</v>
      </c>
    </row>
    <row r="2292" spans="27:30" x14ac:dyDescent="0.3">
      <c r="AA2292" s="37">
        <v>2272</v>
      </c>
      <c r="AB2292" s="37">
        <v>1.688962748698253</v>
      </c>
      <c r="AC2292" s="37">
        <v>2.7625334681106848</v>
      </c>
      <c r="AD2292" s="37">
        <v>3.371089384521226</v>
      </c>
    </row>
    <row r="2293" spans="27:30" x14ac:dyDescent="0.3">
      <c r="AA2293" s="37">
        <v>2273</v>
      </c>
      <c r="AB2293" s="37">
        <v>1.7817526319952437</v>
      </c>
      <c r="AC2293" s="37">
        <v>2.9746042992487443</v>
      </c>
      <c r="AD2293" s="37">
        <v>3.3718913132482409</v>
      </c>
    </row>
    <row r="2294" spans="27:30" x14ac:dyDescent="0.3">
      <c r="AA2294" s="37">
        <v>2274</v>
      </c>
      <c r="AB2294" s="37">
        <v>1.7846689535926883</v>
      </c>
      <c r="AC2294" s="37">
        <v>2.9085217415033671</v>
      </c>
      <c r="AD2294" s="37">
        <v>3.4221419028896869</v>
      </c>
    </row>
    <row r="2295" spans="27:30" x14ac:dyDescent="0.3">
      <c r="AA2295" s="37">
        <v>2275</v>
      </c>
      <c r="AB2295" s="37">
        <v>1.7472721866761212</v>
      </c>
      <c r="AC2295" s="37">
        <v>2.7700298009728792</v>
      </c>
      <c r="AD2295" s="37">
        <v>3.4399219006340163</v>
      </c>
    </row>
    <row r="2296" spans="27:30" x14ac:dyDescent="0.3">
      <c r="AA2296" s="37">
        <v>2276</v>
      </c>
      <c r="AB2296" s="37">
        <v>1.7546576742383198</v>
      </c>
      <c r="AC2296" s="37">
        <v>2.9269575954955713</v>
      </c>
      <c r="AD2296" s="37">
        <v>3.3798008013087442</v>
      </c>
    </row>
    <row r="2297" spans="27:30" x14ac:dyDescent="0.3">
      <c r="AA2297" s="37">
        <v>2277</v>
      </c>
      <c r="AB2297" s="37">
        <v>1.7717839687667649</v>
      </c>
      <c r="AC2297" s="37">
        <v>2.7982216441326311</v>
      </c>
      <c r="AD2297" s="37">
        <v>3.3688569480281134</v>
      </c>
    </row>
    <row r="2298" spans="27:30" x14ac:dyDescent="0.3">
      <c r="AA2298" s="37">
        <v>2278</v>
      </c>
      <c r="AB2298" s="37">
        <v>1.8000274537157648</v>
      </c>
      <c r="AC2298" s="37">
        <v>2.7963234373468082</v>
      </c>
      <c r="AD2298" s="37">
        <v>3.3258977601817081</v>
      </c>
    </row>
    <row r="2299" spans="27:30" x14ac:dyDescent="0.3">
      <c r="AA2299" s="37">
        <v>2279</v>
      </c>
      <c r="AB2299" s="37">
        <v>1.8676857922067318</v>
      </c>
      <c r="AC2299" s="37">
        <v>2.9248189689213828</v>
      </c>
      <c r="AD2299" s="37">
        <v>3.2615310920095104</v>
      </c>
    </row>
    <row r="2300" spans="27:30" x14ac:dyDescent="0.3">
      <c r="AA2300" s="37">
        <v>2280</v>
      </c>
      <c r="AB2300" s="37">
        <v>1.6128627029900884</v>
      </c>
      <c r="AC2300" s="37">
        <v>2.72759243388994</v>
      </c>
      <c r="AD2300" s="37">
        <v>3.2643743593047745</v>
      </c>
    </row>
    <row r="2301" spans="27:30" x14ac:dyDescent="0.3">
      <c r="AA2301" s="37">
        <v>2281</v>
      </c>
      <c r="AB2301" s="37">
        <v>1.7005440147800681</v>
      </c>
      <c r="AC2301" s="37">
        <v>2.6946587355089267</v>
      </c>
      <c r="AD2301" s="37">
        <v>3.396945543943652</v>
      </c>
    </row>
    <row r="2302" spans="27:30" x14ac:dyDescent="0.3">
      <c r="AA2302" s="37">
        <v>2282</v>
      </c>
      <c r="AB2302" s="37">
        <v>1.7944436914169677</v>
      </c>
      <c r="AC2302" s="37">
        <v>3.0101971326529484</v>
      </c>
      <c r="AD2302" s="37">
        <v>3.2868676746584518</v>
      </c>
    </row>
    <row r="2303" spans="27:30" x14ac:dyDescent="0.3">
      <c r="AA2303" s="37">
        <v>2283</v>
      </c>
      <c r="AB2303" s="37">
        <v>1.7471565020230491</v>
      </c>
      <c r="AC2303" s="37">
        <v>2.9517637763134918</v>
      </c>
      <c r="AD2303" s="37">
        <v>3.5050706605184843</v>
      </c>
    </row>
    <row r="2304" spans="27:30" x14ac:dyDescent="0.3">
      <c r="AA2304" s="37">
        <v>2284</v>
      </c>
      <c r="AB2304" s="37">
        <v>1.7383566279936906</v>
      </c>
      <c r="AC2304" s="37">
        <v>2.7018882490123399</v>
      </c>
      <c r="AD2304" s="37">
        <v>3.3419717534834801</v>
      </c>
    </row>
    <row r="2305" spans="27:30" x14ac:dyDescent="0.3">
      <c r="AA2305" s="37">
        <v>2285</v>
      </c>
      <c r="AB2305" s="37">
        <v>1.8876508799309362</v>
      </c>
      <c r="AC2305" s="37">
        <v>2.8463641938016786</v>
      </c>
      <c r="AD2305" s="37">
        <v>3.4381471301917053</v>
      </c>
    </row>
    <row r="2306" spans="27:30" x14ac:dyDescent="0.3">
      <c r="AA2306" s="37">
        <v>2286</v>
      </c>
      <c r="AB2306" s="37">
        <v>1.7599115404903038</v>
      </c>
      <c r="AC2306" s="37">
        <v>2.8858951731700073</v>
      </c>
      <c r="AD2306" s="37">
        <v>3.2594237575078782</v>
      </c>
    </row>
    <row r="2307" spans="27:30" x14ac:dyDescent="0.3">
      <c r="AA2307" s="37">
        <v>2287</v>
      </c>
      <c r="AB2307" s="37">
        <v>1.8239250246536001</v>
      </c>
      <c r="AC2307" s="37">
        <v>2.9010867657008448</v>
      </c>
      <c r="AD2307" s="37">
        <v>3.3973226368210905</v>
      </c>
    </row>
    <row r="2308" spans="27:30" x14ac:dyDescent="0.3">
      <c r="AA2308" s="37">
        <v>2288</v>
      </c>
      <c r="AB2308" s="37">
        <v>1.8089350046320709</v>
      </c>
      <c r="AC2308" s="37">
        <v>2.9487042115340945</v>
      </c>
      <c r="AD2308" s="37">
        <v>3.5607369709100851</v>
      </c>
    </row>
    <row r="2309" spans="27:30" x14ac:dyDescent="0.3">
      <c r="AA2309" s="37">
        <v>2289</v>
      </c>
      <c r="AB2309" s="37">
        <v>1.9866336993577387</v>
      </c>
      <c r="AC2309" s="37">
        <v>2.8515442181717265</v>
      </c>
      <c r="AD2309" s="37">
        <v>3.467761116299688</v>
      </c>
    </row>
    <row r="2310" spans="27:30" x14ac:dyDescent="0.3">
      <c r="AA2310" s="37">
        <v>2290</v>
      </c>
      <c r="AB2310" s="37">
        <v>1.7562095910581612</v>
      </c>
      <c r="AC2310" s="37">
        <v>2.936692015297508</v>
      </c>
      <c r="AD2310" s="37">
        <v>3.390972410257314</v>
      </c>
    </row>
    <row r="2311" spans="27:30" x14ac:dyDescent="0.3">
      <c r="AA2311" s="37">
        <v>2291</v>
      </c>
      <c r="AB2311" s="37">
        <v>1.825670067976783</v>
      </c>
      <c r="AC2311" s="37">
        <v>2.8510145113481844</v>
      </c>
      <c r="AD2311" s="37">
        <v>3.2997241032449489</v>
      </c>
    </row>
    <row r="2312" spans="27:30" x14ac:dyDescent="0.3">
      <c r="AA2312" s="37">
        <v>2292</v>
      </c>
      <c r="AB2312" s="37">
        <v>1.8369799757884795</v>
      </c>
      <c r="AC2312" s="37">
        <v>2.6988046130014127</v>
      </c>
      <c r="AD2312" s="37">
        <v>3.4409141762723303</v>
      </c>
    </row>
    <row r="2313" spans="27:30" x14ac:dyDescent="0.3">
      <c r="AA2313" s="37">
        <v>2293</v>
      </c>
      <c r="AB2313" s="37">
        <v>1.7531757890109971</v>
      </c>
      <c r="AC2313" s="37">
        <v>2.6062838780229667</v>
      </c>
      <c r="AD2313" s="37">
        <v>3.3868867130853046</v>
      </c>
    </row>
    <row r="2314" spans="27:30" x14ac:dyDescent="0.3">
      <c r="AA2314" s="37">
        <v>2294</v>
      </c>
      <c r="AB2314" s="37">
        <v>1.8600147623684866</v>
      </c>
      <c r="AC2314" s="37">
        <v>2.906849680226514</v>
      </c>
      <c r="AD2314" s="37">
        <v>3.5882986535300772</v>
      </c>
    </row>
    <row r="2315" spans="27:30" x14ac:dyDescent="0.3">
      <c r="AA2315" s="37">
        <v>2295</v>
      </c>
      <c r="AB2315" s="37">
        <v>1.7848756785911177</v>
      </c>
      <c r="AC2315" s="37">
        <v>3.016471262118182</v>
      </c>
      <c r="AD2315" s="37">
        <v>3.4833539926069639</v>
      </c>
    </row>
    <row r="2316" spans="27:30" x14ac:dyDescent="0.3">
      <c r="AA2316" s="37">
        <v>2296</v>
      </c>
      <c r="AB2316" s="37">
        <v>1.8171929475179158</v>
      </c>
      <c r="AC2316" s="37">
        <v>2.6146098646554501</v>
      </c>
      <c r="AD2316" s="37">
        <v>3.176743388105574</v>
      </c>
    </row>
    <row r="2317" spans="27:30" x14ac:dyDescent="0.3">
      <c r="AA2317" s="37">
        <v>2297</v>
      </c>
      <c r="AB2317" s="37">
        <v>1.885800636270887</v>
      </c>
      <c r="AC2317" s="37">
        <v>2.9469403929597102</v>
      </c>
      <c r="AD2317" s="37">
        <v>3.316853797805452</v>
      </c>
    </row>
    <row r="2318" spans="27:30" x14ac:dyDescent="0.3">
      <c r="AA2318" s="37">
        <v>2298</v>
      </c>
      <c r="AB2318" s="37">
        <v>1.6767385467975238</v>
      </c>
      <c r="AC2318" s="37">
        <v>2.756705161592413</v>
      </c>
      <c r="AD2318" s="37">
        <v>3.2870255407061966</v>
      </c>
    </row>
    <row r="2319" spans="27:30" x14ac:dyDescent="0.3">
      <c r="AA2319" s="37">
        <v>2299</v>
      </c>
      <c r="AB2319" s="37">
        <v>1.7726682649806889</v>
      </c>
      <c r="AC2319" s="37">
        <v>2.7016780567710623</v>
      </c>
      <c r="AD2319" s="37">
        <v>3.3297545498646715</v>
      </c>
    </row>
    <row r="2320" spans="27:30" x14ac:dyDescent="0.3">
      <c r="AA2320" s="37">
        <v>2300</v>
      </c>
      <c r="AB2320" s="37">
        <v>1.8411055631441473</v>
      </c>
      <c r="AC2320" s="37">
        <v>3.0182745041603964</v>
      </c>
      <c r="AD2320" s="37">
        <v>3.3174499924900185</v>
      </c>
    </row>
    <row r="2321" spans="27:30" x14ac:dyDescent="0.3">
      <c r="AA2321" s="37">
        <v>2301</v>
      </c>
      <c r="AB2321" s="37">
        <v>1.8063455881309061</v>
      </c>
      <c r="AC2321" s="37">
        <v>2.6828154399658199</v>
      </c>
      <c r="AD2321" s="37">
        <v>3.3173514849657115</v>
      </c>
    </row>
    <row r="2322" spans="27:30" x14ac:dyDescent="0.3">
      <c r="AA2322" s="37">
        <v>2302</v>
      </c>
      <c r="AB2322" s="37">
        <v>1.8299191297585531</v>
      </c>
      <c r="AC2322" s="37">
        <v>2.7840448074685242</v>
      </c>
      <c r="AD2322" s="37">
        <v>3.3976434284796824</v>
      </c>
    </row>
    <row r="2323" spans="27:30" x14ac:dyDescent="0.3">
      <c r="AA2323" s="37">
        <v>2303</v>
      </c>
      <c r="AB2323" s="37">
        <v>1.7027433249862305</v>
      </c>
      <c r="AC2323" s="37">
        <v>3.0308935126302998</v>
      </c>
      <c r="AD2323" s="37">
        <v>3.2052263595948491</v>
      </c>
    </row>
    <row r="2324" spans="27:30" x14ac:dyDescent="0.3">
      <c r="AA2324" s="37">
        <v>2304</v>
      </c>
      <c r="AB2324" s="37">
        <v>1.7228033670356475</v>
      </c>
      <c r="AC2324" s="37">
        <v>2.8459638366688025</v>
      </c>
      <c r="AD2324" s="37">
        <v>3.2608071958883658</v>
      </c>
    </row>
    <row r="2325" spans="27:30" x14ac:dyDescent="0.3">
      <c r="AA2325" s="37">
        <v>2305</v>
      </c>
      <c r="AB2325" s="37">
        <v>1.7598479851242457</v>
      </c>
      <c r="AC2325" s="37">
        <v>2.8750137258286101</v>
      </c>
      <c r="AD2325" s="37">
        <v>3.2313570774141001</v>
      </c>
    </row>
    <row r="2326" spans="27:30" x14ac:dyDescent="0.3">
      <c r="AA2326" s="37">
        <v>2306</v>
      </c>
      <c r="AB2326" s="37">
        <v>1.8210481886773628</v>
      </c>
      <c r="AC2326" s="37">
        <v>2.8054716445616048</v>
      </c>
      <c r="AD2326" s="37">
        <v>3.2340658596973375</v>
      </c>
    </row>
    <row r="2327" spans="27:30" x14ac:dyDescent="0.3">
      <c r="AA2327" s="37">
        <v>2307</v>
      </c>
      <c r="AB2327" s="37">
        <v>1.8158867219143366</v>
      </c>
      <c r="AC2327" s="37">
        <v>2.9409119507143426</v>
      </c>
      <c r="AD2327" s="37">
        <v>3.5483480874190407</v>
      </c>
    </row>
    <row r="2328" spans="27:30" x14ac:dyDescent="0.3">
      <c r="AA2328" s="37">
        <v>2308</v>
      </c>
      <c r="AB2328" s="37">
        <v>1.7176395768906625</v>
      </c>
      <c r="AC2328" s="37">
        <v>2.9528647371935506</v>
      </c>
      <c r="AD2328" s="37">
        <v>3.3663260778461463</v>
      </c>
    </row>
    <row r="2329" spans="27:30" x14ac:dyDescent="0.3">
      <c r="AA2329" s="37">
        <v>2309</v>
      </c>
      <c r="AB2329" s="37">
        <v>1.796154918203541</v>
      </c>
      <c r="AC2329" s="37">
        <v>2.862313304559315</v>
      </c>
      <c r="AD2329" s="37">
        <v>3.3314207599592969</v>
      </c>
    </row>
    <row r="2330" spans="27:30" x14ac:dyDescent="0.3">
      <c r="AA2330" s="37">
        <v>2310</v>
      </c>
      <c r="AB2330" s="37">
        <v>1.8093583406820901</v>
      </c>
      <c r="AC2330" s="37">
        <v>2.5353644671963549</v>
      </c>
      <c r="AD2330" s="37">
        <v>3.153409837825826</v>
      </c>
    </row>
    <row r="2331" spans="27:30" x14ac:dyDescent="0.3">
      <c r="AA2331" s="37">
        <v>2311</v>
      </c>
      <c r="AB2331" s="37">
        <v>1.78701953362649</v>
      </c>
      <c r="AC2331" s="37">
        <v>2.9855404661184539</v>
      </c>
      <c r="AD2331" s="37">
        <v>3.4190970149072091</v>
      </c>
    </row>
    <row r="2332" spans="27:30" x14ac:dyDescent="0.3">
      <c r="AA2332" s="37">
        <v>2312</v>
      </c>
      <c r="AB2332" s="37">
        <v>1.8709507436394885</v>
      </c>
      <c r="AC2332" s="37">
        <v>3.1257710234917937</v>
      </c>
      <c r="AD2332" s="37">
        <v>3.196426377806973</v>
      </c>
    </row>
    <row r="2333" spans="27:30" x14ac:dyDescent="0.3">
      <c r="AA2333" s="37">
        <v>2313</v>
      </c>
      <c r="AB2333" s="37">
        <v>1.8333007345379606</v>
      </c>
      <c r="AC2333" s="37">
        <v>2.9045835870122558</v>
      </c>
      <c r="AD2333" s="37">
        <v>3.2300449591157578</v>
      </c>
    </row>
    <row r="2334" spans="27:30" x14ac:dyDescent="0.3">
      <c r="AA2334" s="37">
        <v>2314</v>
      </c>
      <c r="AB2334" s="37">
        <v>1.7744454301362578</v>
      </c>
      <c r="AC2334" s="37">
        <v>2.8152165223082335</v>
      </c>
      <c r="AD2334" s="37">
        <v>3.3272865483837353</v>
      </c>
    </row>
    <row r="2335" spans="27:30" x14ac:dyDescent="0.3">
      <c r="AA2335" s="37">
        <v>2315</v>
      </c>
      <c r="AB2335" s="37">
        <v>1.8266682672979226</v>
      </c>
      <c r="AC2335" s="37">
        <v>2.872972515295531</v>
      </c>
      <c r="AD2335" s="37">
        <v>3.3267473157809491</v>
      </c>
    </row>
    <row r="2336" spans="27:30" x14ac:dyDescent="0.3">
      <c r="AA2336" s="37">
        <v>2316</v>
      </c>
      <c r="AB2336" s="37">
        <v>1.6844181878974658</v>
      </c>
      <c r="AC2336" s="37">
        <v>2.8164362160815273</v>
      </c>
      <c r="AD2336" s="37">
        <v>3.3514768656201452</v>
      </c>
    </row>
    <row r="2337" spans="27:30" x14ac:dyDescent="0.3">
      <c r="AA2337" s="37">
        <v>2317</v>
      </c>
      <c r="AB2337" s="37">
        <v>1.6977380244091334</v>
      </c>
      <c r="AC2337" s="37">
        <v>2.7616202201984343</v>
      </c>
      <c r="AD2337" s="37">
        <v>3.361390649939862</v>
      </c>
    </row>
    <row r="2338" spans="27:30" x14ac:dyDescent="0.3">
      <c r="AA2338" s="37">
        <v>2318</v>
      </c>
      <c r="AB2338" s="37">
        <v>1.673505777541036</v>
      </c>
      <c r="AC2338" s="37">
        <v>2.7994385587579886</v>
      </c>
      <c r="AD2338" s="37">
        <v>3.500403654253053</v>
      </c>
    </row>
    <row r="2339" spans="27:30" x14ac:dyDescent="0.3">
      <c r="AA2339" s="37">
        <v>2319</v>
      </c>
      <c r="AB2339" s="37">
        <v>1.7905688255098544</v>
      </c>
      <c r="AC2339" s="37">
        <v>2.8847097583002079</v>
      </c>
      <c r="AD2339" s="37">
        <v>3.2394495099914615</v>
      </c>
    </row>
    <row r="2340" spans="27:30" x14ac:dyDescent="0.3">
      <c r="AA2340" s="37">
        <v>2320</v>
      </c>
      <c r="AB2340" s="37">
        <v>1.8269015020118675</v>
      </c>
      <c r="AC2340" s="37">
        <v>2.7273667883270658</v>
      </c>
      <c r="AD2340" s="37">
        <v>3.1786369171864495</v>
      </c>
    </row>
    <row r="2341" spans="27:30" x14ac:dyDescent="0.3">
      <c r="AA2341" s="37">
        <v>2321</v>
      </c>
      <c r="AB2341" s="37">
        <v>1.8255460256249525</v>
      </c>
      <c r="AC2341" s="37">
        <v>2.9837301537082301</v>
      </c>
      <c r="AD2341" s="37">
        <v>3.2214988057636655</v>
      </c>
    </row>
    <row r="2342" spans="27:30" x14ac:dyDescent="0.3">
      <c r="AA2342" s="37">
        <v>2322</v>
      </c>
      <c r="AB2342" s="37">
        <v>1.8197186306216977</v>
      </c>
      <c r="AC2342" s="37">
        <v>2.9718900175397063</v>
      </c>
      <c r="AD2342" s="37">
        <v>3.3961789509605227</v>
      </c>
    </row>
    <row r="2343" spans="27:30" x14ac:dyDescent="0.3">
      <c r="AA2343" s="37">
        <v>2323</v>
      </c>
      <c r="AB2343" s="37">
        <v>1.8435803946557425</v>
      </c>
      <c r="AC2343" s="37">
        <v>2.8477963674079265</v>
      </c>
      <c r="AD2343" s="37">
        <v>3.2021429875692982</v>
      </c>
    </row>
    <row r="2344" spans="27:30" x14ac:dyDescent="0.3">
      <c r="AA2344" s="37">
        <v>2324</v>
      </c>
      <c r="AB2344" s="37">
        <v>1.7309090982812052</v>
      </c>
      <c r="AC2344" s="37">
        <v>2.8436374018051822</v>
      </c>
      <c r="AD2344" s="37">
        <v>3.3848288426928632</v>
      </c>
    </row>
    <row r="2345" spans="27:30" x14ac:dyDescent="0.3">
      <c r="AA2345" s="37">
        <v>2325</v>
      </c>
      <c r="AB2345" s="37">
        <v>1.5979334858307122</v>
      </c>
      <c r="AC2345" s="37">
        <v>2.8871496742185285</v>
      </c>
      <c r="AD2345" s="37">
        <v>3.4327729153065487</v>
      </c>
    </row>
    <row r="2346" spans="27:30" x14ac:dyDescent="0.3">
      <c r="AA2346" s="37">
        <v>2326</v>
      </c>
      <c r="AB2346" s="37">
        <v>1.7289974480907258</v>
      </c>
      <c r="AC2346" s="37">
        <v>2.8807174533652606</v>
      </c>
      <c r="AD2346" s="37">
        <v>3.3255008069242242</v>
      </c>
    </row>
    <row r="2347" spans="27:30" x14ac:dyDescent="0.3">
      <c r="AA2347" s="37">
        <v>2327</v>
      </c>
      <c r="AB2347" s="37">
        <v>1.731757798096742</v>
      </c>
      <c r="AC2347" s="37">
        <v>2.744737051947661</v>
      </c>
      <c r="AD2347" s="37">
        <v>3.4230769088772171</v>
      </c>
    </row>
    <row r="2348" spans="27:30" x14ac:dyDescent="0.3">
      <c r="AA2348" s="37">
        <v>2328</v>
      </c>
      <c r="AB2348" s="37">
        <v>1.8090909234101715</v>
      </c>
      <c r="AC2348" s="37">
        <v>2.8593517916499587</v>
      </c>
      <c r="AD2348" s="37">
        <v>3.2749996176479348</v>
      </c>
    </row>
    <row r="2349" spans="27:30" x14ac:dyDescent="0.3">
      <c r="AA2349" s="37">
        <v>2329</v>
      </c>
      <c r="AB2349" s="37">
        <v>1.8157770361308505</v>
      </c>
      <c r="AC2349" s="37">
        <v>2.9091766805643133</v>
      </c>
      <c r="AD2349" s="37">
        <v>3.4112866311818384</v>
      </c>
    </row>
    <row r="2350" spans="27:30" x14ac:dyDescent="0.3">
      <c r="AA2350" s="37">
        <v>2330</v>
      </c>
      <c r="AB2350" s="37">
        <v>1.9355672650868121</v>
      </c>
      <c r="AC2350" s="37">
        <v>2.8300682669169683</v>
      </c>
      <c r="AD2350" s="37">
        <v>3.488481670595232</v>
      </c>
    </row>
    <row r="2351" spans="27:30" x14ac:dyDescent="0.3">
      <c r="AA2351" s="37">
        <v>2331</v>
      </c>
      <c r="AB2351" s="37">
        <v>1.7579565125898859</v>
      </c>
      <c r="AC2351" s="37">
        <v>2.8799668516808223</v>
      </c>
      <c r="AD2351" s="37">
        <v>3.6195691106924253</v>
      </c>
    </row>
    <row r="2352" spans="27:30" x14ac:dyDescent="0.3">
      <c r="AA2352" s="37">
        <v>2332</v>
      </c>
      <c r="AB2352" s="37">
        <v>1.7796314756457106</v>
      </c>
      <c r="AC2352" s="37">
        <v>2.8797567667299431</v>
      </c>
      <c r="AD2352" s="37">
        <v>3.5165952430480152</v>
      </c>
    </row>
    <row r="2353" spans="27:30" x14ac:dyDescent="0.3">
      <c r="AA2353" s="37">
        <v>2333</v>
      </c>
      <c r="AB2353" s="37">
        <v>1.7519417498075902</v>
      </c>
      <c r="AC2353" s="37">
        <v>2.9687168438144993</v>
      </c>
      <c r="AD2353" s="37">
        <v>3.2876897590791447</v>
      </c>
    </row>
    <row r="2354" spans="27:30" x14ac:dyDescent="0.3">
      <c r="AA2354" s="37">
        <v>2334</v>
      </c>
      <c r="AB2354" s="37">
        <v>1.811937389993503</v>
      </c>
      <c r="AC2354" s="37">
        <v>2.7495168648033084</v>
      </c>
      <c r="AD2354" s="37">
        <v>3.2714987908048783</v>
      </c>
    </row>
    <row r="2355" spans="27:30" x14ac:dyDescent="0.3">
      <c r="AA2355" s="37">
        <v>2335</v>
      </c>
      <c r="AB2355" s="37">
        <v>1.7682051009007402</v>
      </c>
      <c r="AC2355" s="37">
        <v>2.8988974334583402</v>
      </c>
      <c r="AD2355" s="37">
        <v>3.3117330937253828</v>
      </c>
    </row>
    <row r="2356" spans="27:30" x14ac:dyDescent="0.3">
      <c r="AA2356" s="37">
        <v>2336</v>
      </c>
      <c r="AB2356" s="37">
        <v>1.8680803774633949</v>
      </c>
      <c r="AC2356" s="37">
        <v>2.7286912924447972</v>
      </c>
      <c r="AD2356" s="37">
        <v>3.4352383489381171</v>
      </c>
    </row>
    <row r="2357" spans="27:30" x14ac:dyDescent="0.3">
      <c r="AA2357" s="37">
        <v>2337</v>
      </c>
      <c r="AB2357" s="37">
        <v>1.8390028012196022</v>
      </c>
      <c r="AC2357" s="37">
        <v>3.0499901672023739</v>
      </c>
      <c r="AD2357" s="37">
        <v>3.3060048041433019</v>
      </c>
    </row>
    <row r="2358" spans="27:30" x14ac:dyDescent="0.3">
      <c r="AA2358" s="37">
        <v>2338</v>
      </c>
      <c r="AB2358" s="37">
        <v>1.7065342236389716</v>
      </c>
      <c r="AC2358" s="37">
        <v>2.9657741416766137</v>
      </c>
      <c r="AD2358" s="37">
        <v>3.2091123018293919</v>
      </c>
    </row>
    <row r="2359" spans="27:30" x14ac:dyDescent="0.3">
      <c r="AA2359" s="37">
        <v>2339</v>
      </c>
      <c r="AB2359" s="37">
        <v>1.6521182456503296</v>
      </c>
      <c r="AC2359" s="37">
        <v>2.8278936684404896</v>
      </c>
      <c r="AD2359" s="37">
        <v>3.374315903879181</v>
      </c>
    </row>
    <row r="2360" spans="27:30" x14ac:dyDescent="0.3">
      <c r="AA2360" s="37">
        <v>2340</v>
      </c>
      <c r="AB2360" s="37">
        <v>1.743877110342261</v>
      </c>
      <c r="AC2360" s="37">
        <v>2.7152137431394232</v>
      </c>
      <c r="AD2360" s="37">
        <v>3.4951226744185133</v>
      </c>
    </row>
    <row r="2361" spans="27:30" x14ac:dyDescent="0.3">
      <c r="AA2361" s="37">
        <v>2341</v>
      </c>
      <c r="AB2361" s="37">
        <v>1.9392818568460848</v>
      </c>
      <c r="AC2361" s="37">
        <v>2.9528582621289856</v>
      </c>
      <c r="AD2361" s="37">
        <v>3.1626582369529088</v>
      </c>
    </row>
    <row r="2362" spans="27:30" x14ac:dyDescent="0.3">
      <c r="AA2362" s="37">
        <v>2342</v>
      </c>
      <c r="AB2362" s="37">
        <v>1.837175278510343</v>
      </c>
      <c r="AC2362" s="37">
        <v>2.7966095005099869</v>
      </c>
      <c r="AD2362" s="37">
        <v>3.3702613717270977</v>
      </c>
    </row>
    <row r="2363" spans="27:30" x14ac:dyDescent="0.3">
      <c r="AA2363" s="37">
        <v>2343</v>
      </c>
      <c r="AB2363" s="37">
        <v>1.7797890049354228</v>
      </c>
      <c r="AC2363" s="37">
        <v>2.6845212583979494</v>
      </c>
      <c r="AD2363" s="37">
        <v>3.3232461853874886</v>
      </c>
    </row>
    <row r="2364" spans="27:30" x14ac:dyDescent="0.3">
      <c r="AA2364" s="37">
        <v>2344</v>
      </c>
      <c r="AB2364" s="37">
        <v>1.721343008734842</v>
      </c>
      <c r="AC2364" s="37">
        <v>2.9166104848237486</v>
      </c>
      <c r="AD2364" s="37">
        <v>3.3529836656478031</v>
      </c>
    </row>
    <row r="2365" spans="27:30" x14ac:dyDescent="0.3">
      <c r="AA2365" s="37">
        <v>2345</v>
      </c>
      <c r="AB2365" s="37">
        <v>1.8378479149433489</v>
      </c>
      <c r="AC2365" s="37">
        <v>2.8658196843001349</v>
      </c>
      <c r="AD2365" s="37">
        <v>3.429091334712759</v>
      </c>
    </row>
    <row r="2366" spans="27:30" x14ac:dyDescent="0.3">
      <c r="AA2366" s="37">
        <v>2346</v>
      </c>
      <c r="AB2366" s="37">
        <v>1.8160065207467002</v>
      </c>
      <c r="AC2366" s="37">
        <v>2.9276656708901641</v>
      </c>
      <c r="AD2366" s="37">
        <v>3.634228486673786</v>
      </c>
    </row>
    <row r="2367" spans="27:30" x14ac:dyDescent="0.3">
      <c r="AA2367" s="37">
        <v>2347</v>
      </c>
      <c r="AB2367" s="37">
        <v>1.7681706172256197</v>
      </c>
      <c r="AC2367" s="37">
        <v>2.8915342681072591</v>
      </c>
      <c r="AD2367" s="37">
        <v>3.2726589984078753</v>
      </c>
    </row>
    <row r="2368" spans="27:30" x14ac:dyDescent="0.3">
      <c r="AA2368" s="37">
        <v>2348</v>
      </c>
      <c r="AB2368" s="37">
        <v>1.7305192481108085</v>
      </c>
      <c r="AC2368" s="37">
        <v>2.8560290394461525</v>
      </c>
      <c r="AD2368" s="37">
        <v>2.9799157084353007</v>
      </c>
    </row>
    <row r="2369" spans="27:30" x14ac:dyDescent="0.3">
      <c r="AA2369" s="37">
        <v>2349</v>
      </c>
      <c r="AB2369" s="37">
        <v>1.7214054638641887</v>
      </c>
      <c r="AC2369" s="37">
        <v>2.8344750195434414</v>
      </c>
      <c r="AD2369" s="37">
        <v>3.4915422091440087</v>
      </c>
    </row>
    <row r="2370" spans="27:30" x14ac:dyDescent="0.3">
      <c r="AA2370" s="37">
        <v>2350</v>
      </c>
      <c r="AB2370" s="37">
        <v>1.7988198283085288</v>
      </c>
      <c r="AC2370" s="37">
        <v>2.7294996787640184</v>
      </c>
      <c r="AD2370" s="37">
        <v>3.3999908458588184</v>
      </c>
    </row>
    <row r="2371" spans="27:30" x14ac:dyDescent="0.3">
      <c r="AA2371" s="37">
        <v>2351</v>
      </c>
      <c r="AB2371" s="37">
        <v>1.8856105676124089</v>
      </c>
      <c r="AC2371" s="37">
        <v>2.8310496703966224</v>
      </c>
      <c r="AD2371" s="37">
        <v>3.3635004490210663</v>
      </c>
    </row>
    <row r="2372" spans="27:30" x14ac:dyDescent="0.3">
      <c r="AA2372" s="37">
        <v>2352</v>
      </c>
      <c r="AB2372" s="37">
        <v>1.7477295294871922</v>
      </c>
      <c r="AC2372" s="37">
        <v>2.79402479523745</v>
      </c>
      <c r="AD2372" s="37">
        <v>3.4916782661028796</v>
      </c>
    </row>
    <row r="2373" spans="27:30" x14ac:dyDescent="0.3">
      <c r="AA2373" s="37">
        <v>2353</v>
      </c>
      <c r="AB2373" s="37">
        <v>1.8503941198833167</v>
      </c>
      <c r="AC2373" s="37">
        <v>2.8295883098808354</v>
      </c>
      <c r="AD2373" s="37">
        <v>3.402391533599002</v>
      </c>
    </row>
    <row r="2374" spans="27:30" x14ac:dyDescent="0.3">
      <c r="AA2374" s="37">
        <v>2354</v>
      </c>
      <c r="AB2374" s="37">
        <v>1.8407823305529116</v>
      </c>
      <c r="AC2374" s="37">
        <v>2.8597180624748755</v>
      </c>
      <c r="AD2374" s="37">
        <v>3.2307830825671768</v>
      </c>
    </row>
    <row r="2375" spans="27:30" x14ac:dyDescent="0.3">
      <c r="AA2375" s="37">
        <v>2355</v>
      </c>
      <c r="AB2375" s="37">
        <v>1.7971286835323532</v>
      </c>
      <c r="AC2375" s="37">
        <v>2.7590655556260084</v>
      </c>
      <c r="AD2375" s="37">
        <v>3.1793461110406853</v>
      </c>
    </row>
    <row r="2376" spans="27:30" x14ac:dyDescent="0.3">
      <c r="AA2376" s="37">
        <v>2356</v>
      </c>
      <c r="AB2376" s="37">
        <v>1.750679374162373</v>
      </c>
      <c r="AC2376" s="37">
        <v>2.9734276521266945</v>
      </c>
      <c r="AD2376" s="37">
        <v>3.3683709157861399</v>
      </c>
    </row>
    <row r="2377" spans="27:30" x14ac:dyDescent="0.3">
      <c r="AA2377" s="37">
        <v>2357</v>
      </c>
      <c r="AB2377" s="37">
        <v>1.855378100687497</v>
      </c>
      <c r="AC2377" s="37">
        <v>2.8729100285530476</v>
      </c>
      <c r="AD2377" s="37">
        <v>3.4282772505586365</v>
      </c>
    </row>
    <row r="2378" spans="27:30" x14ac:dyDescent="0.3">
      <c r="AA2378" s="37">
        <v>2358</v>
      </c>
      <c r="AB2378" s="37">
        <v>1.7450727064054936</v>
      </c>
      <c r="AC2378" s="37">
        <v>2.9118604902151755</v>
      </c>
      <c r="AD2378" s="37">
        <v>3.3604870770336137</v>
      </c>
    </row>
    <row r="2379" spans="27:30" x14ac:dyDescent="0.3">
      <c r="AA2379" s="37">
        <v>2359</v>
      </c>
      <c r="AB2379" s="37">
        <v>1.8596321851544309</v>
      </c>
      <c r="AC2379" s="37">
        <v>2.8898414309904461</v>
      </c>
      <c r="AD2379" s="37">
        <v>3.2298061637423636</v>
      </c>
    </row>
    <row r="2380" spans="27:30" x14ac:dyDescent="0.3">
      <c r="AA2380" s="37">
        <v>2360</v>
      </c>
      <c r="AB2380" s="37">
        <v>1.7562355165462185</v>
      </c>
      <c r="AC2380" s="37">
        <v>2.8414185363353228</v>
      </c>
      <c r="AD2380" s="37">
        <v>3.3129120094565332</v>
      </c>
    </row>
    <row r="2381" spans="27:30" x14ac:dyDescent="0.3">
      <c r="AA2381" s="37">
        <v>2361</v>
      </c>
      <c r="AB2381" s="37">
        <v>1.818454471262565</v>
      </c>
      <c r="AC2381" s="37">
        <v>2.7944150793141556</v>
      </c>
      <c r="AD2381" s="37">
        <v>3.1769015235700833</v>
      </c>
    </row>
    <row r="2382" spans="27:30" x14ac:dyDescent="0.3">
      <c r="AA2382" s="37">
        <v>2362</v>
      </c>
      <c r="AB2382" s="37">
        <v>1.7822417188523403</v>
      </c>
      <c r="AC2382" s="37">
        <v>2.8788951680111237</v>
      </c>
      <c r="AD2382" s="37">
        <v>3.2300713825278948</v>
      </c>
    </row>
    <row r="2383" spans="27:30" x14ac:dyDescent="0.3">
      <c r="AA2383" s="37">
        <v>2363</v>
      </c>
      <c r="AB2383" s="37">
        <v>1.7126617472956667</v>
      </c>
      <c r="AC2383" s="37">
        <v>2.7327066195496625</v>
      </c>
      <c r="AD2383" s="37">
        <v>3.4617178000665141</v>
      </c>
    </row>
    <row r="2384" spans="27:30" x14ac:dyDescent="0.3">
      <c r="AA2384" s="37">
        <v>2364</v>
      </c>
      <c r="AB2384" s="37">
        <v>1.7517510959139519</v>
      </c>
      <c r="AC2384" s="37">
        <v>2.9525156437956754</v>
      </c>
      <c r="AD2384" s="37">
        <v>3.1650957734133045</v>
      </c>
    </row>
    <row r="2385" spans="27:30" x14ac:dyDescent="0.3">
      <c r="AA2385" s="37">
        <v>2365</v>
      </c>
      <c r="AB2385" s="37">
        <v>1.8695710311930758</v>
      </c>
      <c r="AC2385" s="37">
        <v>2.7730759131102403</v>
      </c>
      <c r="AD2385" s="37">
        <v>3.4884235567952473</v>
      </c>
    </row>
    <row r="2386" spans="27:30" x14ac:dyDescent="0.3">
      <c r="AA2386" s="37">
        <v>2366</v>
      </c>
      <c r="AB2386" s="37">
        <v>1.7543833429474123</v>
      </c>
      <c r="AC2386" s="37">
        <v>2.7981901375949172</v>
      </c>
      <c r="AD2386" s="37">
        <v>3.198925077406193</v>
      </c>
    </row>
    <row r="2387" spans="27:30" x14ac:dyDescent="0.3">
      <c r="AA2387" s="37">
        <v>2367</v>
      </c>
      <c r="AB2387" s="37">
        <v>1.6794182422108797</v>
      </c>
      <c r="AC2387" s="37">
        <v>2.7488550153292888</v>
      </c>
      <c r="AD2387" s="37">
        <v>3.1993971104779741</v>
      </c>
    </row>
    <row r="2388" spans="27:30" x14ac:dyDescent="0.3">
      <c r="AA2388" s="37">
        <v>2368</v>
      </c>
      <c r="AB2388" s="37">
        <v>1.7171984833540319</v>
      </c>
      <c r="AC2388" s="37">
        <v>2.6887818728813877</v>
      </c>
      <c r="AD2388" s="37">
        <v>3.1372900989886032</v>
      </c>
    </row>
    <row r="2389" spans="27:30" x14ac:dyDescent="0.3">
      <c r="AA2389" s="37">
        <v>2369</v>
      </c>
      <c r="AB2389" s="37">
        <v>1.7796762123546503</v>
      </c>
      <c r="AC2389" s="37">
        <v>2.8706882529813695</v>
      </c>
      <c r="AD2389" s="37">
        <v>3.419272263554999</v>
      </c>
    </row>
    <row r="2390" spans="27:30" x14ac:dyDescent="0.3">
      <c r="AA2390" s="37">
        <v>2370</v>
      </c>
      <c r="AB2390" s="37">
        <v>1.8182803190914563</v>
      </c>
      <c r="AC2390" s="37">
        <v>2.7428283264444344</v>
      </c>
      <c r="AD2390" s="37">
        <v>3.3473681810661229</v>
      </c>
    </row>
    <row r="2391" spans="27:30" x14ac:dyDescent="0.3">
      <c r="AA2391" s="37">
        <v>2371</v>
      </c>
      <c r="AB2391" s="37">
        <v>1.8771287091916764</v>
      </c>
      <c r="AC2391" s="37">
        <v>2.8732158986332421</v>
      </c>
      <c r="AD2391" s="37">
        <v>3.3656831257700199</v>
      </c>
    </row>
    <row r="2392" spans="27:30" x14ac:dyDescent="0.3">
      <c r="AA2392" s="37">
        <v>2372</v>
      </c>
      <c r="AB2392" s="37">
        <v>1.758644500655177</v>
      </c>
      <c r="AC2392" s="37">
        <v>2.9934072510772802</v>
      </c>
      <c r="AD2392" s="37">
        <v>3.3108427200432038</v>
      </c>
    </row>
    <row r="2393" spans="27:30" x14ac:dyDescent="0.3">
      <c r="AA2393" s="37">
        <v>2373</v>
      </c>
      <c r="AB2393" s="37">
        <v>1.7626352543767503</v>
      </c>
      <c r="AC2393" s="37">
        <v>2.7384986456913976</v>
      </c>
      <c r="AD2393" s="37">
        <v>3.4846219106878396</v>
      </c>
    </row>
    <row r="2394" spans="27:30" x14ac:dyDescent="0.3">
      <c r="AA2394" s="37">
        <v>2374</v>
      </c>
      <c r="AB2394" s="37">
        <v>1.7763678165817034</v>
      </c>
      <c r="AC2394" s="37">
        <v>3.0195363193630054</v>
      </c>
      <c r="AD2394" s="37">
        <v>3.6458525707057712</v>
      </c>
    </row>
    <row r="2395" spans="27:30" x14ac:dyDescent="0.3">
      <c r="AA2395" s="37">
        <v>2375</v>
      </c>
      <c r="AB2395" s="37">
        <v>1.7342593666607198</v>
      </c>
      <c r="AC2395" s="37">
        <v>2.8824507365820353</v>
      </c>
      <c r="AD2395" s="37">
        <v>3.322264792638673</v>
      </c>
    </row>
    <row r="2396" spans="27:30" x14ac:dyDescent="0.3">
      <c r="AA2396" s="37">
        <v>2376</v>
      </c>
      <c r="AB2396" s="37">
        <v>1.7023280240640628</v>
      </c>
      <c r="AC2396" s="37">
        <v>2.8023072121967303</v>
      </c>
      <c r="AD2396" s="37">
        <v>3.3429827052721399</v>
      </c>
    </row>
    <row r="2397" spans="27:30" x14ac:dyDescent="0.3">
      <c r="AA2397" s="37">
        <v>2377</v>
      </c>
      <c r="AB2397" s="37">
        <v>1.8370524947914986</v>
      </c>
      <c r="AC2397" s="37">
        <v>2.8424172803674681</v>
      </c>
      <c r="AD2397" s="37">
        <v>3.3218267222889351</v>
      </c>
    </row>
    <row r="2398" spans="27:30" x14ac:dyDescent="0.3">
      <c r="AA2398" s="37">
        <v>2378</v>
      </c>
      <c r="AB2398" s="37">
        <v>1.7424946388597873</v>
      </c>
      <c r="AC2398" s="37">
        <v>2.9356212392526171</v>
      </c>
      <c r="AD2398" s="37">
        <v>3.5107930979380191</v>
      </c>
    </row>
    <row r="2399" spans="27:30" x14ac:dyDescent="0.3">
      <c r="AA2399" s="37">
        <v>2379</v>
      </c>
      <c r="AB2399" s="37">
        <v>1.7907011632754071</v>
      </c>
      <c r="AC2399" s="37">
        <v>2.8254218469620409</v>
      </c>
      <c r="AD2399" s="37">
        <v>3.3150464001877822</v>
      </c>
    </row>
    <row r="2400" spans="27:30" x14ac:dyDescent="0.3">
      <c r="AA2400" s="37">
        <v>2380</v>
      </c>
      <c r="AB2400" s="37">
        <v>1.9257094276046074</v>
      </c>
      <c r="AC2400" s="37">
        <v>2.7826759750887646</v>
      </c>
      <c r="AD2400" s="37">
        <v>3.5755169403638698</v>
      </c>
    </row>
    <row r="2401" spans="27:30" x14ac:dyDescent="0.3">
      <c r="AA2401" s="37">
        <v>2381</v>
      </c>
      <c r="AB2401" s="37">
        <v>1.8462161263312389</v>
      </c>
      <c r="AC2401" s="37">
        <v>2.8466364067988987</v>
      </c>
      <c r="AD2401" s="37">
        <v>3.4844130009687575</v>
      </c>
    </row>
    <row r="2402" spans="27:30" x14ac:dyDescent="0.3">
      <c r="AA2402" s="37">
        <v>2382</v>
      </c>
      <c r="AB2402" s="37">
        <v>1.7896277225708233</v>
      </c>
      <c r="AC2402" s="37">
        <v>2.8404794810190137</v>
      </c>
      <c r="AD2402" s="37">
        <v>3.1142368834828682</v>
      </c>
    </row>
    <row r="2403" spans="27:30" x14ac:dyDescent="0.3">
      <c r="AA2403" s="37">
        <v>2383</v>
      </c>
      <c r="AB2403" s="37">
        <v>1.9604418905598711</v>
      </c>
      <c r="AC2403" s="37">
        <v>2.9099884261747277</v>
      </c>
      <c r="AD2403" s="37">
        <v>3.3394942880348357</v>
      </c>
    </row>
    <row r="2404" spans="27:30" x14ac:dyDescent="0.3">
      <c r="AA2404" s="37">
        <v>2384</v>
      </c>
      <c r="AB2404" s="37">
        <v>1.8202711861872642</v>
      </c>
      <c r="AC2404" s="37">
        <v>2.7971517240207486</v>
      </c>
      <c r="AD2404" s="37">
        <v>3.2163860616385631</v>
      </c>
    </row>
    <row r="2405" spans="27:30" x14ac:dyDescent="0.3">
      <c r="AA2405" s="37">
        <v>2385</v>
      </c>
      <c r="AB2405" s="37">
        <v>1.8104689787899588</v>
      </c>
      <c r="AC2405" s="37">
        <v>2.8312812754239003</v>
      </c>
      <c r="AD2405" s="37">
        <v>3.3974921733994257</v>
      </c>
    </row>
    <row r="2406" spans="27:30" x14ac:dyDescent="0.3">
      <c r="AA2406" s="37">
        <v>2386</v>
      </c>
      <c r="AB2406" s="37">
        <v>1.6975480976314912</v>
      </c>
      <c r="AC2406" s="37">
        <v>2.7924872665257467</v>
      </c>
      <c r="AD2406" s="37">
        <v>3.2721682080104562</v>
      </c>
    </row>
    <row r="2407" spans="27:30" x14ac:dyDescent="0.3">
      <c r="AA2407" s="37">
        <v>2387</v>
      </c>
      <c r="AB2407" s="37">
        <v>1.8706798344839597</v>
      </c>
      <c r="AC2407" s="37">
        <v>2.9261665709092348</v>
      </c>
      <c r="AD2407" s="37">
        <v>3.3504244880390717</v>
      </c>
    </row>
    <row r="2408" spans="27:30" x14ac:dyDescent="0.3">
      <c r="AA2408" s="37">
        <v>2388</v>
      </c>
      <c r="AB2408" s="37">
        <v>1.7826684597310352</v>
      </c>
      <c r="AC2408" s="37">
        <v>2.7504527606260218</v>
      </c>
      <c r="AD2408" s="37">
        <v>3.3511690341222615</v>
      </c>
    </row>
    <row r="2409" spans="27:30" x14ac:dyDescent="0.3">
      <c r="AA2409" s="37">
        <v>2389</v>
      </c>
      <c r="AB2409" s="37">
        <v>1.8128149653016046</v>
      </c>
      <c r="AC2409" s="37">
        <v>2.9313257770636345</v>
      </c>
      <c r="AD2409" s="37">
        <v>3.2925852243265501</v>
      </c>
    </row>
    <row r="2410" spans="27:30" x14ac:dyDescent="0.3">
      <c r="AA2410" s="37">
        <v>2390</v>
      </c>
      <c r="AB2410" s="37">
        <v>1.8552089103939167</v>
      </c>
      <c r="AC2410" s="37">
        <v>2.7699381314873945</v>
      </c>
      <c r="AD2410" s="37">
        <v>3.4766649301978161</v>
      </c>
    </row>
    <row r="2411" spans="27:30" x14ac:dyDescent="0.3">
      <c r="AA2411" s="37">
        <v>2391</v>
      </c>
      <c r="AB2411" s="37">
        <v>1.7454618247480607</v>
      </c>
      <c r="AC2411" s="37">
        <v>2.922397922133082</v>
      </c>
      <c r="AD2411" s="37">
        <v>3.5511966702897366</v>
      </c>
    </row>
    <row r="2412" spans="27:30" x14ac:dyDescent="0.3">
      <c r="AA2412" s="37">
        <v>2392</v>
      </c>
      <c r="AB2412" s="37">
        <v>1.6937660466761781</v>
      </c>
      <c r="AC2412" s="37">
        <v>2.8848705127662293</v>
      </c>
      <c r="AD2412" s="37">
        <v>3.3083300902101009</v>
      </c>
    </row>
    <row r="2413" spans="27:30" x14ac:dyDescent="0.3">
      <c r="AA2413" s="37">
        <v>2393</v>
      </c>
      <c r="AB2413" s="37">
        <v>1.621871727318436</v>
      </c>
      <c r="AC2413" s="37">
        <v>2.707388425031374</v>
      </c>
      <c r="AD2413" s="37">
        <v>3.4523255201908762</v>
      </c>
    </row>
    <row r="2414" spans="27:30" x14ac:dyDescent="0.3">
      <c r="AA2414" s="37">
        <v>2394</v>
      </c>
      <c r="AB2414" s="37">
        <v>1.8666568981241685</v>
      </c>
      <c r="AC2414" s="37">
        <v>2.899582311570903</v>
      </c>
      <c r="AD2414" s="37">
        <v>3.5040469408425827</v>
      </c>
    </row>
    <row r="2415" spans="27:30" x14ac:dyDescent="0.3">
      <c r="AA2415" s="37">
        <v>2395</v>
      </c>
      <c r="AB2415" s="37">
        <v>1.7299268564663626</v>
      </c>
      <c r="AC2415" s="37">
        <v>2.69543075349244</v>
      </c>
      <c r="AD2415" s="37">
        <v>3.4083524952093436</v>
      </c>
    </row>
    <row r="2416" spans="27:30" x14ac:dyDescent="0.3">
      <c r="AA2416" s="37">
        <v>2396</v>
      </c>
      <c r="AB2416" s="37">
        <v>1.7157200982299128</v>
      </c>
      <c r="AC2416" s="37">
        <v>2.5658159534729204</v>
      </c>
      <c r="AD2416" s="37">
        <v>3.5677742785106474</v>
      </c>
    </row>
    <row r="2417" spans="27:30" x14ac:dyDescent="0.3">
      <c r="AA2417" s="37">
        <v>2397</v>
      </c>
      <c r="AB2417" s="37">
        <v>1.8625755947579601</v>
      </c>
      <c r="AC2417" s="37">
        <v>2.9746350201374452</v>
      </c>
      <c r="AD2417" s="37">
        <v>3.2066644820895576</v>
      </c>
    </row>
    <row r="2418" spans="27:30" x14ac:dyDescent="0.3">
      <c r="AA2418" s="37">
        <v>2398</v>
      </c>
      <c r="AB2418" s="37">
        <v>1.7383467315293692</v>
      </c>
      <c r="AC2418" s="37">
        <v>2.7847268197774548</v>
      </c>
      <c r="AD2418" s="37">
        <v>3.2988288137181145</v>
      </c>
    </row>
    <row r="2419" spans="27:30" x14ac:dyDescent="0.3">
      <c r="AA2419" s="37">
        <v>2399</v>
      </c>
      <c r="AB2419" s="37">
        <v>1.7825293362531829</v>
      </c>
      <c r="AC2419" s="37">
        <v>2.9343834359655729</v>
      </c>
      <c r="AD2419" s="37">
        <v>3.4039675866934642</v>
      </c>
    </row>
    <row r="2420" spans="27:30" x14ac:dyDescent="0.3">
      <c r="AA2420" s="37">
        <v>2400</v>
      </c>
      <c r="AB2420" s="37">
        <v>1.7409645743171795</v>
      </c>
      <c r="AC2420" s="37">
        <v>2.870472112574086</v>
      </c>
      <c r="AD2420" s="37">
        <v>3.4419894325558515</v>
      </c>
    </row>
    <row r="2421" spans="27:30" x14ac:dyDescent="0.3">
      <c r="AA2421" s="37">
        <v>2401</v>
      </c>
      <c r="AB2421" s="37">
        <v>1.7837524104390652</v>
      </c>
      <c r="AC2421" s="37">
        <v>2.7789389715869728</v>
      </c>
      <c r="AD2421" s="37">
        <v>3.1924837278894009</v>
      </c>
    </row>
    <row r="2422" spans="27:30" x14ac:dyDescent="0.3">
      <c r="AA2422" s="37">
        <v>2402</v>
      </c>
      <c r="AB2422" s="37">
        <v>1.7795850255856422</v>
      </c>
      <c r="AC2422" s="37">
        <v>2.8553683347182695</v>
      </c>
      <c r="AD2422" s="37">
        <v>3.3781830313799346</v>
      </c>
    </row>
    <row r="2423" spans="27:30" x14ac:dyDescent="0.3">
      <c r="AA2423" s="37">
        <v>2403</v>
      </c>
      <c r="AB2423" s="37">
        <v>1.7288782483311675</v>
      </c>
      <c r="AC2423" s="37">
        <v>2.9088995036093697</v>
      </c>
      <c r="AD2423" s="37">
        <v>3.2861046301765504</v>
      </c>
    </row>
    <row r="2424" spans="27:30" x14ac:dyDescent="0.3">
      <c r="AA2424" s="37">
        <v>2404</v>
      </c>
      <c r="AB2424" s="37">
        <v>1.7522620776197575</v>
      </c>
      <c r="AC2424" s="37">
        <v>3.0207837885538877</v>
      </c>
      <c r="AD2424" s="37">
        <v>3.3810572839176221</v>
      </c>
    </row>
    <row r="2425" spans="27:30" x14ac:dyDescent="0.3">
      <c r="AA2425" s="37">
        <v>2405</v>
      </c>
      <c r="AB2425" s="37">
        <v>1.8188634170722899</v>
      </c>
      <c r="AC2425" s="37">
        <v>2.8964890867818283</v>
      </c>
      <c r="AD2425" s="37">
        <v>3.4916539582972561</v>
      </c>
    </row>
    <row r="2426" spans="27:30" x14ac:dyDescent="0.3">
      <c r="AA2426" s="37">
        <v>2406</v>
      </c>
      <c r="AB2426" s="37">
        <v>1.8173688904000249</v>
      </c>
      <c r="AC2426" s="37">
        <v>2.841325147294921</v>
      </c>
      <c r="AD2426" s="37">
        <v>3.3912821163075813</v>
      </c>
    </row>
    <row r="2427" spans="27:30" x14ac:dyDescent="0.3">
      <c r="AA2427" s="37">
        <v>2407</v>
      </c>
      <c r="AB2427" s="37">
        <v>1.8475492248942502</v>
      </c>
      <c r="AC2427" s="37">
        <v>2.6535774906828458</v>
      </c>
      <c r="AD2427" s="37">
        <v>3.3688726737324086</v>
      </c>
    </row>
    <row r="2428" spans="27:30" x14ac:dyDescent="0.3">
      <c r="AA2428" s="37">
        <v>2408</v>
      </c>
      <c r="AB2428" s="37">
        <v>1.8293259885872666</v>
      </c>
      <c r="AC2428" s="37">
        <v>2.7524306017979345</v>
      </c>
      <c r="AD2428" s="37">
        <v>3.4278410312235161</v>
      </c>
    </row>
    <row r="2429" spans="27:30" x14ac:dyDescent="0.3">
      <c r="AA2429" s="37">
        <v>2409</v>
      </c>
      <c r="AB2429" s="37">
        <v>1.7907853258912445</v>
      </c>
      <c r="AC2429" s="37">
        <v>2.9294136383934157</v>
      </c>
      <c r="AD2429" s="37">
        <v>3.3549300664858039</v>
      </c>
    </row>
    <row r="2430" spans="27:30" x14ac:dyDescent="0.3">
      <c r="AA2430" s="37">
        <v>2410</v>
      </c>
      <c r="AB2430" s="37">
        <v>1.8048598383672225</v>
      </c>
      <c r="AC2430" s="37">
        <v>2.8281564722092805</v>
      </c>
      <c r="AD2430" s="37">
        <v>3.3948455273841414</v>
      </c>
    </row>
    <row r="2431" spans="27:30" x14ac:dyDescent="0.3">
      <c r="AA2431" s="37">
        <v>2411</v>
      </c>
      <c r="AB2431" s="37">
        <v>1.8187618136224557</v>
      </c>
      <c r="AC2431" s="37">
        <v>2.6446347565050825</v>
      </c>
      <c r="AD2431" s="37">
        <v>3.3936606833498559</v>
      </c>
    </row>
    <row r="2432" spans="27:30" x14ac:dyDescent="0.3">
      <c r="AA2432" s="37">
        <v>2412</v>
      </c>
      <c r="AB2432" s="37">
        <v>1.7485977653400617</v>
      </c>
      <c r="AC2432" s="37">
        <v>2.6604286604523959</v>
      </c>
      <c r="AD2432" s="37">
        <v>3.2763579229383804</v>
      </c>
    </row>
    <row r="2433" spans="27:30" x14ac:dyDescent="0.3">
      <c r="AA2433" s="37">
        <v>2413</v>
      </c>
      <c r="AB2433" s="37">
        <v>1.8214477958303574</v>
      </c>
      <c r="AC2433" s="37">
        <v>2.6199367803203217</v>
      </c>
      <c r="AD2433" s="37">
        <v>3.3753832734335218</v>
      </c>
    </row>
    <row r="2434" spans="27:30" x14ac:dyDescent="0.3">
      <c r="AA2434" s="37">
        <v>2414</v>
      </c>
      <c r="AB2434" s="37">
        <v>1.67452417465571</v>
      </c>
      <c r="AC2434" s="37">
        <v>2.9689577314614493</v>
      </c>
      <c r="AD2434" s="37">
        <v>3.4833621534642076</v>
      </c>
    </row>
    <row r="2435" spans="27:30" x14ac:dyDescent="0.3">
      <c r="AA2435" s="37">
        <v>2415</v>
      </c>
      <c r="AB2435" s="37">
        <v>1.7921211157824017</v>
      </c>
      <c r="AC2435" s="37">
        <v>2.9001509389525095</v>
      </c>
      <c r="AD2435" s="37">
        <v>3.5675041136574208</v>
      </c>
    </row>
    <row r="2436" spans="27:30" x14ac:dyDescent="0.3">
      <c r="AA2436" s="37">
        <v>2416</v>
      </c>
      <c r="AB2436" s="37">
        <v>1.7732489928513842</v>
      </c>
      <c r="AC2436" s="37">
        <v>2.961764614234303</v>
      </c>
      <c r="AD2436" s="37">
        <v>3.3512112240349539</v>
      </c>
    </row>
    <row r="2437" spans="27:30" x14ac:dyDescent="0.3">
      <c r="AA2437" s="37">
        <v>2417</v>
      </c>
      <c r="AB2437" s="37">
        <v>1.7644687550784779</v>
      </c>
      <c r="AC2437" s="37">
        <v>2.8161443057862119</v>
      </c>
      <c r="AD2437" s="37">
        <v>3.2170422474828291</v>
      </c>
    </row>
    <row r="2438" spans="27:30" x14ac:dyDescent="0.3">
      <c r="AA2438" s="37">
        <v>2418</v>
      </c>
      <c r="AB2438" s="37">
        <v>1.7676603370678377</v>
      </c>
      <c r="AC2438" s="37">
        <v>2.9091683112430893</v>
      </c>
      <c r="AD2438" s="37">
        <v>3.3535586011197793</v>
      </c>
    </row>
    <row r="2439" spans="27:30" x14ac:dyDescent="0.3">
      <c r="AA2439" s="37">
        <v>2419</v>
      </c>
      <c r="AB2439" s="37">
        <v>1.7755375786231609</v>
      </c>
      <c r="AC2439" s="37">
        <v>2.9032265008122549</v>
      </c>
      <c r="AD2439" s="37">
        <v>3.1802146769275983</v>
      </c>
    </row>
    <row r="2440" spans="27:30" x14ac:dyDescent="0.3">
      <c r="AA2440" s="37">
        <v>2420</v>
      </c>
      <c r="AB2440" s="37">
        <v>1.7910300112622735</v>
      </c>
      <c r="AC2440" s="37">
        <v>2.8801451746546243</v>
      </c>
      <c r="AD2440" s="37">
        <v>3.5049637164822069</v>
      </c>
    </row>
    <row r="2441" spans="27:30" x14ac:dyDescent="0.3">
      <c r="AA2441" s="37">
        <v>2421</v>
      </c>
      <c r="AB2441" s="37">
        <v>1.8572539004667135</v>
      </c>
      <c r="AC2441" s="37">
        <v>3.0975513384732367</v>
      </c>
      <c r="AD2441" s="37">
        <v>3.2998865302291875</v>
      </c>
    </row>
    <row r="2442" spans="27:30" x14ac:dyDescent="0.3">
      <c r="AA2442" s="37">
        <v>2422</v>
      </c>
      <c r="AB2442" s="37">
        <v>1.7494690070556593</v>
      </c>
      <c r="AC2442" s="37">
        <v>2.9516306489458581</v>
      </c>
      <c r="AD2442" s="37">
        <v>3.5219734448872146</v>
      </c>
    </row>
    <row r="2443" spans="27:30" x14ac:dyDescent="0.3">
      <c r="AA2443" s="37">
        <v>2423</v>
      </c>
      <c r="AB2443" s="37">
        <v>1.7013560208191547</v>
      </c>
      <c r="AC2443" s="37">
        <v>2.8767681895075272</v>
      </c>
      <c r="AD2443" s="37">
        <v>3.4267058477473733</v>
      </c>
    </row>
    <row r="2444" spans="27:30" x14ac:dyDescent="0.3">
      <c r="AA2444" s="37">
        <v>2424</v>
      </c>
      <c r="AB2444" s="37">
        <v>1.7903953781526749</v>
      </c>
      <c r="AC2444" s="37">
        <v>2.9075509204870968</v>
      </c>
      <c r="AD2444" s="37">
        <v>3.5445282293117719</v>
      </c>
    </row>
    <row r="2445" spans="27:30" x14ac:dyDescent="0.3">
      <c r="AA2445" s="37">
        <v>2425</v>
      </c>
      <c r="AB2445" s="37">
        <v>1.8846735519191353</v>
      </c>
      <c r="AC2445" s="37">
        <v>2.6862683518703845</v>
      </c>
      <c r="AD2445" s="37">
        <v>3.3877373097086561</v>
      </c>
    </row>
    <row r="2446" spans="27:30" x14ac:dyDescent="0.3">
      <c r="AA2446" s="37">
        <v>2426</v>
      </c>
      <c r="AB2446" s="37">
        <v>1.8120164214064269</v>
      </c>
      <c r="AC2446" s="37">
        <v>3.0061771932069159</v>
      </c>
      <c r="AD2446" s="37">
        <v>3.4286628816342088</v>
      </c>
    </row>
    <row r="2447" spans="27:30" x14ac:dyDescent="0.3">
      <c r="AA2447" s="37">
        <v>2427</v>
      </c>
      <c r="AB2447" s="37">
        <v>1.6795523027598953</v>
      </c>
      <c r="AC2447" s="37">
        <v>2.8814341655063958</v>
      </c>
      <c r="AD2447" s="37">
        <v>3.1909006524549755</v>
      </c>
    </row>
    <row r="2448" spans="27:30" x14ac:dyDescent="0.3">
      <c r="AA2448" s="37">
        <v>2428</v>
      </c>
      <c r="AB2448" s="37">
        <v>1.8292277984766598</v>
      </c>
      <c r="AC2448" s="37">
        <v>2.7907072678782883</v>
      </c>
      <c r="AD2448" s="37">
        <v>3.1606004734883775</v>
      </c>
    </row>
    <row r="2449" spans="27:30" x14ac:dyDescent="0.3">
      <c r="AA2449" s="37">
        <v>2429</v>
      </c>
      <c r="AB2449" s="37">
        <v>1.85853261876137</v>
      </c>
      <c r="AC2449" s="37">
        <v>2.9837612378586851</v>
      </c>
      <c r="AD2449" s="37">
        <v>3.2579785434567006</v>
      </c>
    </row>
    <row r="2450" spans="27:30" x14ac:dyDescent="0.3">
      <c r="AA2450" s="37">
        <v>2430</v>
      </c>
      <c r="AB2450" s="37">
        <v>1.8205372347180695</v>
      </c>
      <c r="AC2450" s="37">
        <v>2.7713410434917418</v>
      </c>
      <c r="AD2450" s="37">
        <v>3.3278279254325827</v>
      </c>
    </row>
    <row r="2451" spans="27:30" x14ac:dyDescent="0.3">
      <c r="AA2451" s="37">
        <v>2431</v>
      </c>
      <c r="AB2451" s="37">
        <v>1.752719507193613</v>
      </c>
      <c r="AC2451" s="37">
        <v>2.7241448405336546</v>
      </c>
      <c r="AD2451" s="37">
        <v>3.3469889594549826</v>
      </c>
    </row>
    <row r="2452" spans="27:30" x14ac:dyDescent="0.3">
      <c r="AA2452" s="37">
        <v>2432</v>
      </c>
      <c r="AB2452" s="37">
        <v>1.6772077050349434</v>
      </c>
      <c r="AC2452" s="37">
        <v>2.7893766241895572</v>
      </c>
      <c r="AD2452" s="37">
        <v>3.1809371453472783</v>
      </c>
    </row>
    <row r="2453" spans="27:30" x14ac:dyDescent="0.3">
      <c r="AA2453" s="37">
        <v>2433</v>
      </c>
      <c r="AB2453" s="37">
        <v>1.7690633653245753</v>
      </c>
      <c r="AC2453" s="37">
        <v>2.9040481345080531</v>
      </c>
      <c r="AD2453" s="37">
        <v>3.2525251566563509</v>
      </c>
    </row>
    <row r="2454" spans="27:30" x14ac:dyDescent="0.3">
      <c r="AA2454" s="37">
        <v>2434</v>
      </c>
      <c r="AB2454" s="37">
        <v>1.7482633491994202</v>
      </c>
      <c r="AC2454" s="37">
        <v>2.8645574204278823</v>
      </c>
      <c r="AD2454" s="37">
        <v>3.3507420014486664</v>
      </c>
    </row>
    <row r="2455" spans="27:30" x14ac:dyDescent="0.3">
      <c r="AA2455" s="37">
        <v>2435</v>
      </c>
      <c r="AB2455" s="37">
        <v>1.8486642769775989</v>
      </c>
      <c r="AC2455" s="37">
        <v>3.0162352010059106</v>
      </c>
      <c r="AD2455" s="37">
        <v>3.6548167611130107</v>
      </c>
    </row>
    <row r="2456" spans="27:30" x14ac:dyDescent="0.3">
      <c r="AA2456" s="37">
        <v>2436</v>
      </c>
      <c r="AB2456" s="37">
        <v>1.8755794088236895</v>
      </c>
      <c r="AC2456" s="37">
        <v>2.8378496598139487</v>
      </c>
      <c r="AD2456" s="37">
        <v>3.2144493813192274</v>
      </c>
    </row>
    <row r="2457" spans="27:30" x14ac:dyDescent="0.3">
      <c r="AA2457" s="37">
        <v>2437</v>
      </c>
      <c r="AB2457" s="37">
        <v>1.871372131850751</v>
      </c>
      <c r="AC2457" s="37">
        <v>2.8059362512954777</v>
      </c>
      <c r="AD2457" s="37">
        <v>3.4377271596221077</v>
      </c>
    </row>
    <row r="2458" spans="27:30" x14ac:dyDescent="0.3">
      <c r="AA2458" s="37">
        <v>2438</v>
      </c>
      <c r="AB2458" s="37">
        <v>1.8004762998251747</v>
      </c>
      <c r="AC2458" s="37">
        <v>2.9209911286668584</v>
      </c>
      <c r="AD2458" s="37">
        <v>3.5046056415414211</v>
      </c>
    </row>
    <row r="2459" spans="27:30" x14ac:dyDescent="0.3">
      <c r="AA2459" s="37">
        <v>2439</v>
      </c>
      <c r="AB2459" s="37">
        <v>1.7769427080763462</v>
      </c>
      <c r="AC2459" s="37">
        <v>3.0897168701246822</v>
      </c>
      <c r="AD2459" s="37">
        <v>3.3539477440774426</v>
      </c>
    </row>
    <row r="2460" spans="27:30" x14ac:dyDescent="0.3">
      <c r="AA2460" s="37">
        <v>2440</v>
      </c>
      <c r="AB2460" s="37">
        <v>1.7340912740326742</v>
      </c>
      <c r="AC2460" s="37">
        <v>2.8079831689220507</v>
      </c>
      <c r="AD2460" s="37">
        <v>3.4457211066450024</v>
      </c>
    </row>
    <row r="2461" spans="27:30" x14ac:dyDescent="0.3">
      <c r="AA2461" s="37">
        <v>2441</v>
      </c>
      <c r="AB2461" s="37">
        <v>1.7668213281422915</v>
      </c>
      <c r="AC2461" s="37">
        <v>2.7157946918393008</v>
      </c>
      <c r="AD2461" s="37">
        <v>3.3788971647684107</v>
      </c>
    </row>
    <row r="2462" spans="27:30" x14ac:dyDescent="0.3">
      <c r="AA2462" s="37">
        <v>2442</v>
      </c>
      <c r="AB2462" s="37">
        <v>1.838587028371544</v>
      </c>
      <c r="AC2462" s="37">
        <v>2.6498260546479027</v>
      </c>
      <c r="AD2462" s="37">
        <v>3.1542324197166636</v>
      </c>
    </row>
    <row r="2463" spans="27:30" x14ac:dyDescent="0.3">
      <c r="AA2463" s="37">
        <v>2443</v>
      </c>
      <c r="AB2463" s="37">
        <v>1.7872726169947553</v>
      </c>
      <c r="AC2463" s="37">
        <v>2.9459454804766891</v>
      </c>
      <c r="AD2463" s="37">
        <v>3.2051416237534256</v>
      </c>
    </row>
    <row r="2464" spans="27:30" x14ac:dyDescent="0.3">
      <c r="AA2464" s="37">
        <v>2444</v>
      </c>
      <c r="AB2464" s="37">
        <v>1.7972887276684935</v>
      </c>
      <c r="AC2464" s="37">
        <v>2.7288986924891048</v>
      </c>
      <c r="AD2464" s="37">
        <v>3.3851844939704292</v>
      </c>
    </row>
    <row r="2465" spans="27:30" x14ac:dyDescent="0.3">
      <c r="AA2465" s="37">
        <v>2445</v>
      </c>
      <c r="AB2465" s="37">
        <v>1.7851996637546306</v>
      </c>
      <c r="AC2465" s="37">
        <v>2.9032436807621829</v>
      </c>
      <c r="AD2465" s="37">
        <v>3.4200960306031103</v>
      </c>
    </row>
    <row r="2466" spans="27:30" x14ac:dyDescent="0.3">
      <c r="AA2466" s="37">
        <v>2446</v>
      </c>
      <c r="AB2466" s="37">
        <v>1.7613920021619289</v>
      </c>
      <c r="AC2466" s="37">
        <v>2.8038574912491416</v>
      </c>
      <c r="AD2466" s="37">
        <v>3.2676200634874961</v>
      </c>
    </row>
    <row r="2467" spans="27:30" x14ac:dyDescent="0.3">
      <c r="AA2467" s="37">
        <v>2447</v>
      </c>
      <c r="AB2467" s="37">
        <v>1.7901127947605926</v>
      </c>
      <c r="AC2467" s="37">
        <v>2.8557841345537596</v>
      </c>
      <c r="AD2467" s="37">
        <v>3.4245213774143552</v>
      </c>
    </row>
    <row r="2468" spans="27:30" x14ac:dyDescent="0.3">
      <c r="AA2468" s="37">
        <v>2448</v>
      </c>
      <c r="AB2468" s="37">
        <v>1.8263185553689862</v>
      </c>
      <c r="AC2468" s="37">
        <v>2.8195889994921521</v>
      </c>
      <c r="AD2468" s="37">
        <v>3.4534450066130322</v>
      </c>
    </row>
    <row r="2469" spans="27:30" x14ac:dyDescent="0.3">
      <c r="AA2469" s="37">
        <v>2449</v>
      </c>
      <c r="AB2469" s="37">
        <v>1.6546960337095029</v>
      </c>
      <c r="AC2469" s="37">
        <v>2.8068188297596093</v>
      </c>
      <c r="AD2469" s="37">
        <v>3.3917034688595669</v>
      </c>
    </row>
    <row r="2470" spans="27:30" x14ac:dyDescent="0.3">
      <c r="AA2470" s="37">
        <v>2450</v>
      </c>
      <c r="AB2470" s="37">
        <v>1.8003171945272156</v>
      </c>
      <c r="AC2470" s="37">
        <v>2.8226038949363281</v>
      </c>
      <c r="AD2470" s="37">
        <v>3.3468609245343797</v>
      </c>
    </row>
    <row r="2471" spans="27:30" x14ac:dyDescent="0.3">
      <c r="AA2471" s="37">
        <v>2451</v>
      </c>
      <c r="AB2471" s="37">
        <v>1.7679832013504007</v>
      </c>
      <c r="AC2471" s="37">
        <v>2.9515786592394715</v>
      </c>
      <c r="AD2471" s="37">
        <v>3.0727725123879832</v>
      </c>
    </row>
    <row r="2472" spans="27:30" x14ac:dyDescent="0.3">
      <c r="AA2472" s="37">
        <v>2452</v>
      </c>
      <c r="AB2472" s="37">
        <v>1.773148138945249</v>
      </c>
      <c r="AC2472" s="37">
        <v>2.8596980679011903</v>
      </c>
      <c r="AD2472" s="37">
        <v>3.2390598675274096</v>
      </c>
    </row>
    <row r="2473" spans="27:30" x14ac:dyDescent="0.3">
      <c r="AA2473" s="37">
        <v>2453</v>
      </c>
      <c r="AB2473" s="37">
        <v>1.8077463426630505</v>
      </c>
      <c r="AC2473" s="37">
        <v>2.9432656457180415</v>
      </c>
      <c r="AD2473" s="37">
        <v>3.4726777576781651</v>
      </c>
    </row>
    <row r="2474" spans="27:30" x14ac:dyDescent="0.3">
      <c r="AA2474" s="37">
        <v>2454</v>
      </c>
      <c r="AB2474" s="37">
        <v>1.9014622404960471</v>
      </c>
      <c r="AC2474" s="37">
        <v>2.7058560640285294</v>
      </c>
      <c r="AD2474" s="37">
        <v>3.0028808172812171</v>
      </c>
    </row>
    <row r="2475" spans="27:30" x14ac:dyDescent="0.3">
      <c r="AA2475" s="37">
        <v>2455</v>
      </c>
      <c r="AB2475" s="37">
        <v>1.7312491750971368</v>
      </c>
      <c r="AC2475" s="37">
        <v>2.8713313107839196</v>
      </c>
      <c r="AD2475" s="37">
        <v>3.2588977104837382</v>
      </c>
    </row>
    <row r="2476" spans="27:30" x14ac:dyDescent="0.3">
      <c r="AA2476" s="37">
        <v>2456</v>
      </c>
      <c r="AB2476" s="37">
        <v>1.738667599171986</v>
      </c>
      <c r="AC2476" s="37">
        <v>2.8557579142165066</v>
      </c>
      <c r="AD2476" s="37">
        <v>3.4818149774255338</v>
      </c>
    </row>
    <row r="2477" spans="27:30" x14ac:dyDescent="0.3">
      <c r="AA2477" s="37">
        <v>2457</v>
      </c>
      <c r="AB2477" s="37">
        <v>1.8074478880398899</v>
      </c>
      <c r="AC2477" s="37">
        <v>2.8274582984628092</v>
      </c>
      <c r="AD2477" s="37">
        <v>3.2950689123110855</v>
      </c>
    </row>
    <row r="2478" spans="27:30" x14ac:dyDescent="0.3">
      <c r="AA2478" s="37">
        <v>2458</v>
      </c>
      <c r="AB2478" s="37">
        <v>1.747003857566253</v>
      </c>
      <c r="AC2478" s="37">
        <v>2.9377542151195817</v>
      </c>
      <c r="AD2478" s="37">
        <v>3.186863305996178</v>
      </c>
    </row>
    <row r="2479" spans="27:30" x14ac:dyDescent="0.3">
      <c r="AA2479" s="37">
        <v>2459</v>
      </c>
      <c r="AB2479" s="37">
        <v>1.8067578735147805</v>
      </c>
      <c r="AC2479" s="37">
        <v>2.9404557579488539</v>
      </c>
      <c r="AD2479" s="37">
        <v>3.383014299260819</v>
      </c>
    </row>
    <row r="2480" spans="27:30" x14ac:dyDescent="0.3">
      <c r="AA2480" s="37">
        <v>2460</v>
      </c>
      <c r="AB2480" s="37">
        <v>1.7133051586460843</v>
      </c>
      <c r="AC2480" s="37">
        <v>2.9633951382727686</v>
      </c>
      <c r="AD2480" s="37">
        <v>3.3411599720147866</v>
      </c>
    </row>
    <row r="2481" spans="27:30" x14ac:dyDescent="0.3">
      <c r="AA2481" s="37">
        <v>2461</v>
      </c>
      <c r="AB2481" s="37">
        <v>1.7560403600815955</v>
      </c>
      <c r="AC2481" s="37">
        <v>2.6858944685864641</v>
      </c>
      <c r="AD2481" s="37">
        <v>3.44667710004149</v>
      </c>
    </row>
    <row r="2482" spans="27:30" x14ac:dyDescent="0.3">
      <c r="AA2482" s="37">
        <v>2462</v>
      </c>
      <c r="AB2482" s="37">
        <v>1.7680168864204067</v>
      </c>
      <c r="AC2482" s="37">
        <v>2.773570533628583</v>
      </c>
      <c r="AD2482" s="37">
        <v>3.3325644312936369</v>
      </c>
    </row>
    <row r="2483" spans="27:30" x14ac:dyDescent="0.3">
      <c r="AA2483" s="37">
        <v>2463</v>
      </c>
      <c r="AB2483" s="37">
        <v>1.8214382078165123</v>
      </c>
      <c r="AC2483" s="37">
        <v>2.5747780429223961</v>
      </c>
      <c r="AD2483" s="37">
        <v>3.3849684201192556</v>
      </c>
    </row>
    <row r="2484" spans="27:30" x14ac:dyDescent="0.3">
      <c r="AA2484" s="37">
        <v>2464</v>
      </c>
      <c r="AB2484" s="37">
        <v>1.6886422223103721</v>
      </c>
      <c r="AC2484" s="37">
        <v>3.0334762960480681</v>
      </c>
      <c r="AD2484" s="37">
        <v>3.3167242615884525</v>
      </c>
    </row>
    <row r="2485" spans="27:30" x14ac:dyDescent="0.3">
      <c r="AA2485" s="37">
        <v>2465</v>
      </c>
      <c r="AB2485" s="37">
        <v>1.7779200653363005</v>
      </c>
      <c r="AC2485" s="37">
        <v>2.7534190103961191</v>
      </c>
      <c r="AD2485" s="37">
        <v>3.3269169537978804</v>
      </c>
    </row>
    <row r="2486" spans="27:30" x14ac:dyDescent="0.3">
      <c r="AA2486" s="37">
        <v>2466</v>
      </c>
      <c r="AB2486" s="37">
        <v>1.6848563637022798</v>
      </c>
      <c r="AC2486" s="37">
        <v>3.0178965857817883</v>
      </c>
      <c r="AD2486" s="37">
        <v>3.2740774470000273</v>
      </c>
    </row>
    <row r="2487" spans="27:30" x14ac:dyDescent="0.3">
      <c r="AA2487" s="37">
        <v>2467</v>
      </c>
      <c r="AB2487" s="37">
        <v>1.7145261101632761</v>
      </c>
      <c r="AC2487" s="37">
        <v>2.8031101625752894</v>
      </c>
      <c r="AD2487" s="37">
        <v>3.3000001632027329</v>
      </c>
    </row>
    <row r="2488" spans="27:30" x14ac:dyDescent="0.3">
      <c r="AA2488" s="37">
        <v>2468</v>
      </c>
      <c r="AB2488" s="37">
        <v>1.8128762052831295</v>
      </c>
      <c r="AC2488" s="37">
        <v>2.9620616114421758</v>
      </c>
      <c r="AD2488" s="37">
        <v>3.3096043692114265</v>
      </c>
    </row>
    <row r="2489" spans="27:30" x14ac:dyDescent="0.3">
      <c r="AA2489" s="37">
        <v>2469</v>
      </c>
      <c r="AB2489" s="37">
        <v>1.7852253777602083</v>
      </c>
      <c r="AC2489" s="37">
        <v>2.7679686264411369</v>
      </c>
      <c r="AD2489" s="37">
        <v>3.2573938845311905</v>
      </c>
    </row>
    <row r="2490" spans="27:30" x14ac:dyDescent="0.3">
      <c r="AA2490" s="37">
        <v>2470</v>
      </c>
      <c r="AB2490" s="37">
        <v>1.8001062795598919</v>
      </c>
      <c r="AC2490" s="37">
        <v>2.6735474679093212</v>
      </c>
      <c r="AD2490" s="37">
        <v>3.3582822820177651</v>
      </c>
    </row>
    <row r="2491" spans="27:30" x14ac:dyDescent="0.3">
      <c r="AA2491" s="37">
        <v>2471</v>
      </c>
      <c r="AB2491" s="37">
        <v>1.749680002594465</v>
      </c>
      <c r="AC2491" s="37">
        <v>2.8688796520629807</v>
      </c>
      <c r="AD2491" s="37">
        <v>3.3215152216614738</v>
      </c>
    </row>
    <row r="2492" spans="27:30" x14ac:dyDescent="0.3">
      <c r="AA2492" s="37">
        <v>2472</v>
      </c>
      <c r="AB2492" s="37">
        <v>1.7577355453763348</v>
      </c>
      <c r="AC2492" s="37">
        <v>2.6436052445361171</v>
      </c>
      <c r="AD2492" s="37">
        <v>3.3868817180340423</v>
      </c>
    </row>
    <row r="2493" spans="27:30" x14ac:dyDescent="0.3">
      <c r="AA2493" s="37">
        <v>2473</v>
      </c>
      <c r="AB2493" s="37">
        <v>1.7929979835748928</v>
      </c>
      <c r="AC2493" s="37">
        <v>2.8525305159990415</v>
      </c>
      <c r="AD2493" s="37">
        <v>3.5100971516544859</v>
      </c>
    </row>
    <row r="2494" spans="27:30" x14ac:dyDescent="0.3">
      <c r="AA2494" s="37">
        <v>2474</v>
      </c>
      <c r="AB2494" s="37">
        <v>1.8508566404390443</v>
      </c>
      <c r="AC2494" s="37">
        <v>2.8205447793596718</v>
      </c>
      <c r="AD2494" s="37">
        <v>3.4175829414249508</v>
      </c>
    </row>
    <row r="2495" spans="27:30" x14ac:dyDescent="0.3">
      <c r="AA2495" s="37">
        <v>2475</v>
      </c>
      <c r="AB2495" s="37">
        <v>1.7683231966753665</v>
      </c>
      <c r="AC2495" s="37">
        <v>2.8407251709404409</v>
      </c>
      <c r="AD2495" s="37">
        <v>3.1859918725974343</v>
      </c>
    </row>
    <row r="2496" spans="27:30" x14ac:dyDescent="0.3">
      <c r="AA2496" s="37">
        <v>2476</v>
      </c>
      <c r="AB2496" s="37">
        <v>1.8298238051954558</v>
      </c>
      <c r="AC2496" s="37">
        <v>2.9424871716547498</v>
      </c>
      <c r="AD2496" s="37">
        <v>3.4140414150492555</v>
      </c>
    </row>
    <row r="2497" spans="27:30" x14ac:dyDescent="0.3">
      <c r="AA2497" s="37">
        <v>2477</v>
      </c>
      <c r="AB2497" s="37">
        <v>1.7633801159241356</v>
      </c>
      <c r="AC2497" s="37">
        <v>2.7494365081629519</v>
      </c>
      <c r="AD2497" s="37">
        <v>3.1518617510788718</v>
      </c>
    </row>
    <row r="2498" spans="27:30" x14ac:dyDescent="0.3">
      <c r="AA2498" s="37">
        <v>2478</v>
      </c>
      <c r="AB2498" s="37">
        <v>1.7732021799700883</v>
      </c>
      <c r="AC2498" s="37">
        <v>2.7027801784786019</v>
      </c>
      <c r="AD2498" s="37">
        <v>3.2155941677322817</v>
      </c>
    </row>
    <row r="2499" spans="27:30" x14ac:dyDescent="0.3">
      <c r="AA2499" s="37">
        <v>2479</v>
      </c>
      <c r="AB2499" s="37">
        <v>1.7864572433247983</v>
      </c>
      <c r="AC2499" s="37">
        <v>2.7545206596688825</v>
      </c>
      <c r="AD2499" s="37">
        <v>3.3125418584757345</v>
      </c>
    </row>
    <row r="2500" spans="27:30" x14ac:dyDescent="0.3">
      <c r="AA2500" s="37">
        <v>2480</v>
      </c>
      <c r="AB2500" s="37">
        <v>1.8041905109399732</v>
      </c>
      <c r="AC2500" s="37">
        <v>2.8421540883846999</v>
      </c>
      <c r="AD2500" s="37">
        <v>3.0412780165438824</v>
      </c>
    </row>
    <row r="2501" spans="27:30" x14ac:dyDescent="0.3">
      <c r="AA2501" s="37">
        <v>2481</v>
      </c>
      <c r="AB2501" s="37">
        <v>1.832581138543024</v>
      </c>
      <c r="AC2501" s="37">
        <v>2.7003771355990254</v>
      </c>
      <c r="AD2501" s="37">
        <v>3.3489814694629421</v>
      </c>
    </row>
    <row r="2502" spans="27:30" x14ac:dyDescent="0.3">
      <c r="AA2502" s="37">
        <v>2482</v>
      </c>
      <c r="AB2502" s="37">
        <v>1.7843958015244004</v>
      </c>
      <c r="AC2502" s="37">
        <v>2.8958744616656258</v>
      </c>
      <c r="AD2502" s="37">
        <v>3.2722667076472356</v>
      </c>
    </row>
    <row r="2503" spans="27:30" x14ac:dyDescent="0.3">
      <c r="AA2503" s="37">
        <v>2483</v>
      </c>
      <c r="AB2503" s="37">
        <v>1.8752356278962481</v>
      </c>
      <c r="AC2503" s="37">
        <v>2.8766256257283853</v>
      </c>
      <c r="AD2503" s="37">
        <v>3.2366616606786964</v>
      </c>
    </row>
    <row r="2504" spans="27:30" x14ac:dyDescent="0.3">
      <c r="AA2504" s="37">
        <v>2484</v>
      </c>
      <c r="AB2504" s="37">
        <v>1.7385882804270043</v>
      </c>
      <c r="AC2504" s="37">
        <v>2.7967122617266886</v>
      </c>
      <c r="AD2504" s="37">
        <v>3.2574174927590307</v>
      </c>
    </row>
    <row r="2505" spans="27:30" x14ac:dyDescent="0.3">
      <c r="AA2505" s="37">
        <v>2485</v>
      </c>
      <c r="AB2505" s="37">
        <v>1.8030818465930747</v>
      </c>
      <c r="AC2505" s="37">
        <v>2.9203759765280308</v>
      </c>
      <c r="AD2505" s="37">
        <v>3.2960395709801036</v>
      </c>
    </row>
    <row r="2506" spans="27:30" x14ac:dyDescent="0.3">
      <c r="AA2506" s="37">
        <v>2486</v>
      </c>
      <c r="AB2506" s="37">
        <v>1.7526160947370242</v>
      </c>
      <c r="AC2506" s="37">
        <v>2.744171183251205</v>
      </c>
      <c r="AD2506" s="37">
        <v>3.4217236238711743</v>
      </c>
    </row>
    <row r="2507" spans="27:30" x14ac:dyDescent="0.3">
      <c r="AA2507" s="37">
        <v>2487</v>
      </c>
      <c r="AB2507" s="37">
        <v>1.7079828403223472</v>
      </c>
      <c r="AC2507" s="37">
        <v>2.9437454588661218</v>
      </c>
      <c r="AD2507" s="37">
        <v>3.2609308704096223</v>
      </c>
    </row>
    <row r="2508" spans="27:30" x14ac:dyDescent="0.3">
      <c r="AA2508" s="37">
        <v>2488</v>
      </c>
      <c r="AB2508" s="37">
        <v>1.7313214904765886</v>
      </c>
      <c r="AC2508" s="37">
        <v>2.710739865202882</v>
      </c>
      <c r="AD2508" s="37">
        <v>3.3474853961857303</v>
      </c>
    </row>
    <row r="2509" spans="27:30" x14ac:dyDescent="0.3">
      <c r="AA2509" s="37">
        <v>2489</v>
      </c>
      <c r="AB2509" s="37">
        <v>1.8229844688421839</v>
      </c>
      <c r="AC2509" s="37">
        <v>2.723924543583454</v>
      </c>
      <c r="AD2509" s="37">
        <v>3.3734349594291011</v>
      </c>
    </row>
    <row r="2510" spans="27:30" x14ac:dyDescent="0.3">
      <c r="AA2510" s="37">
        <v>2490</v>
      </c>
      <c r="AB2510" s="37">
        <v>1.7781508819322416</v>
      </c>
      <c r="AC2510" s="37">
        <v>3.0186119246831891</v>
      </c>
      <c r="AD2510" s="37">
        <v>3.4412494877142987</v>
      </c>
    </row>
    <row r="2511" spans="27:30" x14ac:dyDescent="0.3">
      <c r="AA2511" s="37">
        <v>2491</v>
      </c>
      <c r="AB2511" s="37">
        <v>1.7169630172672161</v>
      </c>
      <c r="AC2511" s="37">
        <v>2.8032108790471817</v>
      </c>
      <c r="AD2511" s="37">
        <v>3.380326502461823</v>
      </c>
    </row>
    <row r="2512" spans="27:30" x14ac:dyDescent="0.3">
      <c r="AA2512" s="37">
        <v>2492</v>
      </c>
      <c r="AB2512" s="37">
        <v>1.7736534234901575</v>
      </c>
      <c r="AC2512" s="37">
        <v>2.668239407215975</v>
      </c>
      <c r="AD2512" s="37">
        <v>3.3698374696016002</v>
      </c>
    </row>
    <row r="2513" spans="27:30" x14ac:dyDescent="0.3">
      <c r="AA2513" s="37">
        <v>2493</v>
      </c>
      <c r="AB2513" s="37">
        <v>1.7758505088965006</v>
      </c>
      <c r="AC2513" s="37">
        <v>2.8835724203004531</v>
      </c>
      <c r="AD2513" s="37">
        <v>3.2624935103300561</v>
      </c>
    </row>
    <row r="2514" spans="27:30" x14ac:dyDescent="0.3">
      <c r="AA2514" s="37">
        <v>2494</v>
      </c>
      <c r="AB2514" s="37">
        <v>1.8153517114724733</v>
      </c>
      <c r="AC2514" s="37">
        <v>2.840855164563993</v>
      </c>
      <c r="AD2514" s="37">
        <v>3.551544971643104</v>
      </c>
    </row>
    <row r="2515" spans="27:30" x14ac:dyDescent="0.3">
      <c r="AA2515" s="37">
        <v>2495</v>
      </c>
      <c r="AB2515" s="37">
        <v>1.7055369432570446</v>
      </c>
      <c r="AC2515" s="37">
        <v>2.8002997045142712</v>
      </c>
      <c r="AD2515" s="37">
        <v>3.4092521374934952</v>
      </c>
    </row>
    <row r="2516" spans="27:30" x14ac:dyDescent="0.3">
      <c r="AA2516" s="37">
        <v>2496</v>
      </c>
      <c r="AB2516" s="37">
        <v>1.6725863522748812</v>
      </c>
      <c r="AC2516" s="37">
        <v>2.9181688552382328</v>
      </c>
      <c r="AD2516" s="37">
        <v>3.4735602238080605</v>
      </c>
    </row>
    <row r="2517" spans="27:30" x14ac:dyDescent="0.3">
      <c r="AA2517" s="37">
        <v>2497</v>
      </c>
      <c r="AB2517" s="37">
        <v>1.8118549506734551</v>
      </c>
      <c r="AC2517" s="37">
        <v>2.671987493496935</v>
      </c>
      <c r="AD2517" s="37">
        <v>3.4088908039311803</v>
      </c>
    </row>
    <row r="2518" spans="27:30" x14ac:dyDescent="0.3">
      <c r="AA2518" s="37">
        <v>2498</v>
      </c>
      <c r="AB2518" s="37">
        <v>1.8102722327469243</v>
      </c>
      <c r="AC2518" s="37">
        <v>2.7408895464734129</v>
      </c>
      <c r="AD2518" s="37">
        <v>3.3224949101786656</v>
      </c>
    </row>
    <row r="2519" spans="27:30" x14ac:dyDescent="0.3">
      <c r="AA2519" s="37">
        <v>2499</v>
      </c>
      <c r="AB2519" s="37">
        <v>1.7311815806311193</v>
      </c>
      <c r="AC2519" s="37">
        <v>2.9077392710830781</v>
      </c>
      <c r="AD2519" s="37">
        <v>3.4616347061753046</v>
      </c>
    </row>
    <row r="2520" spans="27:30" x14ac:dyDescent="0.3">
      <c r="AA2520" s="37">
        <v>2500</v>
      </c>
      <c r="AB2520" s="37">
        <v>1.6956018063559744</v>
      </c>
      <c r="AC2520" s="37">
        <v>2.7597093321930357</v>
      </c>
      <c r="AD2520" s="37">
        <v>3.2438145796298636</v>
      </c>
    </row>
    <row r="2521" spans="27:30" x14ac:dyDescent="0.3">
      <c r="AA2521" s="37">
        <v>2501</v>
      </c>
      <c r="AB2521" s="37">
        <v>1.9895876929769829</v>
      </c>
      <c r="AC2521" s="37">
        <v>2.9448665214001006</v>
      </c>
      <c r="AD2521" s="37">
        <v>3.2694671958741828</v>
      </c>
    </row>
    <row r="2522" spans="27:30" x14ac:dyDescent="0.3">
      <c r="AA2522" s="37">
        <v>2502</v>
      </c>
      <c r="AB2522" s="37">
        <v>1.7472683642658546</v>
      </c>
      <c r="AC2522" s="37">
        <v>2.8854264989693266</v>
      </c>
      <c r="AD2522" s="37">
        <v>3.4326647206102381</v>
      </c>
    </row>
    <row r="2523" spans="27:30" x14ac:dyDescent="0.3">
      <c r="AA2523" s="37">
        <v>2503</v>
      </c>
      <c r="AB2523" s="37">
        <v>1.7257575743548388</v>
      </c>
      <c r="AC2523" s="37">
        <v>3.0394698159508677</v>
      </c>
      <c r="AD2523" s="37">
        <v>3.3387283818318734</v>
      </c>
    </row>
    <row r="2524" spans="27:30" x14ac:dyDescent="0.3">
      <c r="AA2524" s="37">
        <v>2504</v>
      </c>
      <c r="AB2524" s="37">
        <v>1.7739744834036233</v>
      </c>
      <c r="AC2524" s="37">
        <v>2.8946400441957958</v>
      </c>
      <c r="AD2524" s="37">
        <v>3.3738414703569553</v>
      </c>
    </row>
    <row r="2525" spans="27:30" x14ac:dyDescent="0.3">
      <c r="AA2525" s="37">
        <v>2505</v>
      </c>
      <c r="AB2525" s="37">
        <v>1.7742543862777127</v>
      </c>
      <c r="AC2525" s="37">
        <v>2.7390995747642917</v>
      </c>
      <c r="AD2525" s="37">
        <v>3.3709626422804955</v>
      </c>
    </row>
    <row r="2526" spans="27:30" x14ac:dyDescent="0.3">
      <c r="AA2526" s="37">
        <v>2506</v>
      </c>
      <c r="AB2526" s="37">
        <v>1.8465579467654691</v>
      </c>
      <c r="AC2526" s="37">
        <v>2.9037917441070964</v>
      </c>
      <c r="AD2526" s="37">
        <v>3.2911178563165513</v>
      </c>
    </row>
    <row r="2527" spans="27:30" x14ac:dyDescent="0.3">
      <c r="AA2527" s="37">
        <v>2507</v>
      </c>
      <c r="AB2527" s="37">
        <v>1.8925240070964207</v>
      </c>
      <c r="AC2527" s="37">
        <v>2.7917554260995052</v>
      </c>
      <c r="AD2527" s="37">
        <v>3.3903525780753854</v>
      </c>
    </row>
    <row r="2528" spans="27:30" x14ac:dyDescent="0.3">
      <c r="AA2528" s="37">
        <v>2508</v>
      </c>
      <c r="AB2528" s="37">
        <v>1.8319535187266016</v>
      </c>
      <c r="AC2528" s="37">
        <v>2.9231660019677057</v>
      </c>
      <c r="AD2528" s="37">
        <v>3.2988596579486256</v>
      </c>
    </row>
    <row r="2529" spans="27:30" x14ac:dyDescent="0.3">
      <c r="AA2529" s="37">
        <v>2509</v>
      </c>
      <c r="AB2529" s="37">
        <v>1.7281055426565828</v>
      </c>
      <c r="AC2529" s="37">
        <v>2.8256880588997104</v>
      </c>
      <c r="AD2529" s="37">
        <v>3.2245527629464026</v>
      </c>
    </row>
    <row r="2530" spans="27:30" x14ac:dyDescent="0.3">
      <c r="AA2530" s="37">
        <v>2510</v>
      </c>
      <c r="AB2530" s="37">
        <v>1.8102817811532039</v>
      </c>
      <c r="AC2530" s="37">
        <v>2.9024130325189215</v>
      </c>
      <c r="AD2530" s="37">
        <v>3.3220355353092201</v>
      </c>
    </row>
    <row r="2531" spans="27:30" x14ac:dyDescent="0.3">
      <c r="AA2531" s="37">
        <v>2511</v>
      </c>
      <c r="AB2531" s="37">
        <v>1.775823328660258</v>
      </c>
      <c r="AC2531" s="37">
        <v>2.9806988319869019</v>
      </c>
      <c r="AD2531" s="37">
        <v>3.4415279561307299</v>
      </c>
    </row>
    <row r="2532" spans="27:30" x14ac:dyDescent="0.3">
      <c r="AA2532" s="37">
        <v>2512</v>
      </c>
      <c r="AB2532" s="37">
        <v>1.7702296344041455</v>
      </c>
      <c r="AC2532" s="37">
        <v>2.852112547042962</v>
      </c>
      <c r="AD2532" s="37">
        <v>3.366642469461866</v>
      </c>
    </row>
    <row r="2533" spans="27:30" x14ac:dyDescent="0.3">
      <c r="AA2533" s="37">
        <v>2513</v>
      </c>
      <c r="AB2533" s="37">
        <v>1.8171447015308344</v>
      </c>
      <c r="AC2533" s="37">
        <v>2.7456866025967224</v>
      </c>
      <c r="AD2533" s="37">
        <v>3.451045727674102</v>
      </c>
    </row>
    <row r="2534" spans="27:30" x14ac:dyDescent="0.3">
      <c r="AA2534" s="37">
        <v>2514</v>
      </c>
      <c r="AB2534" s="37">
        <v>1.8237297098479008</v>
      </c>
      <c r="AC2534" s="37">
        <v>2.7274906297775598</v>
      </c>
      <c r="AD2534" s="37">
        <v>3.2941632549985389</v>
      </c>
    </row>
    <row r="2535" spans="27:30" x14ac:dyDescent="0.3">
      <c r="AA2535" s="37">
        <v>2515</v>
      </c>
      <c r="AB2535" s="37">
        <v>1.7615026451778362</v>
      </c>
      <c r="AC2535" s="37">
        <v>2.6555410705940616</v>
      </c>
      <c r="AD2535" s="37">
        <v>3.43949532260805</v>
      </c>
    </row>
    <row r="2536" spans="27:30" x14ac:dyDescent="0.3">
      <c r="AA2536" s="37">
        <v>2516</v>
      </c>
      <c r="AB2536" s="37">
        <v>1.7409003150260596</v>
      </c>
      <c r="AC2536" s="37">
        <v>2.7728147645183747</v>
      </c>
      <c r="AD2536" s="37">
        <v>3.3428003982122574</v>
      </c>
    </row>
    <row r="2537" spans="27:30" x14ac:dyDescent="0.3">
      <c r="AA2537" s="37">
        <v>2517</v>
      </c>
      <c r="AB2537" s="37">
        <v>1.7182379335507107</v>
      </c>
      <c r="AC2537" s="37">
        <v>2.7682473949016169</v>
      </c>
      <c r="AD2537" s="37">
        <v>3.4076903315039777</v>
      </c>
    </row>
    <row r="2538" spans="27:30" x14ac:dyDescent="0.3">
      <c r="AA2538" s="37">
        <v>2518</v>
      </c>
      <c r="AB2538" s="37">
        <v>1.7674315100651576</v>
      </c>
      <c r="AC2538" s="37">
        <v>2.948885255623531</v>
      </c>
      <c r="AD2538" s="37">
        <v>3.4157596099981338</v>
      </c>
    </row>
    <row r="2539" spans="27:30" x14ac:dyDescent="0.3">
      <c r="AA2539" s="37">
        <v>2519</v>
      </c>
      <c r="AB2539" s="37">
        <v>1.710592297331077</v>
      </c>
      <c r="AC2539" s="37">
        <v>2.9578782345393728</v>
      </c>
      <c r="AD2539" s="37">
        <v>3.3319502211372596</v>
      </c>
    </row>
    <row r="2540" spans="27:30" x14ac:dyDescent="0.3">
      <c r="AA2540" s="37">
        <v>2520</v>
      </c>
      <c r="AB2540" s="37">
        <v>1.8480570024002745</v>
      </c>
      <c r="AC2540" s="37">
        <v>2.8240640147356584</v>
      </c>
      <c r="AD2540" s="37">
        <v>3.0651307921027771</v>
      </c>
    </row>
    <row r="2541" spans="27:30" x14ac:dyDescent="0.3">
      <c r="AA2541" s="37">
        <v>2521</v>
      </c>
      <c r="AB2541" s="37">
        <v>1.7811248747672548</v>
      </c>
      <c r="AC2541" s="37">
        <v>2.7426794922931714</v>
      </c>
      <c r="AD2541" s="37">
        <v>3.3160973819819954</v>
      </c>
    </row>
    <row r="2542" spans="27:30" x14ac:dyDescent="0.3">
      <c r="AA2542" s="37">
        <v>2522</v>
      </c>
      <c r="AB2542" s="37">
        <v>1.8078113968675107</v>
      </c>
      <c r="AC2542" s="37">
        <v>2.5915387354891366</v>
      </c>
      <c r="AD2542" s="37">
        <v>3.5715648164353619</v>
      </c>
    </row>
    <row r="2543" spans="27:30" x14ac:dyDescent="0.3">
      <c r="AA2543" s="37">
        <v>2523</v>
      </c>
      <c r="AB2543" s="37">
        <v>1.7230836879629221</v>
      </c>
      <c r="AC2543" s="37">
        <v>2.6958364874609413</v>
      </c>
      <c r="AD2543" s="37">
        <v>3.4078206710330368</v>
      </c>
    </row>
    <row r="2544" spans="27:30" x14ac:dyDescent="0.3">
      <c r="AA2544" s="37">
        <v>2524</v>
      </c>
      <c r="AB2544" s="37">
        <v>1.6830417129904947</v>
      </c>
      <c r="AC2544" s="37">
        <v>2.8739657479834069</v>
      </c>
      <c r="AD2544" s="37">
        <v>3.4232657891076719</v>
      </c>
    </row>
    <row r="2545" spans="27:30" x14ac:dyDescent="0.3">
      <c r="AA2545" s="37">
        <v>2525</v>
      </c>
      <c r="AB2545" s="37">
        <v>1.7398775521661312</v>
      </c>
      <c r="AC2545" s="37">
        <v>2.7650960082559295</v>
      </c>
      <c r="AD2545" s="37">
        <v>3.3705927652392464</v>
      </c>
    </row>
    <row r="2546" spans="27:30" x14ac:dyDescent="0.3">
      <c r="AA2546" s="37">
        <v>2526</v>
      </c>
      <c r="AB2546" s="37">
        <v>1.7010280672565654</v>
      </c>
      <c r="AC2546" s="37">
        <v>2.9132266822043862</v>
      </c>
      <c r="AD2546" s="37">
        <v>3.3868599294607837</v>
      </c>
    </row>
    <row r="2547" spans="27:30" x14ac:dyDescent="0.3">
      <c r="AA2547" s="37">
        <v>2527</v>
      </c>
      <c r="AB2547" s="37">
        <v>1.7753283664359498</v>
      </c>
      <c r="AC2547" s="37">
        <v>2.9028341251692025</v>
      </c>
      <c r="AD2547" s="37">
        <v>3.3956542911156786</v>
      </c>
    </row>
    <row r="2548" spans="27:30" x14ac:dyDescent="0.3">
      <c r="AA2548" s="37">
        <v>2528</v>
      </c>
      <c r="AB2548" s="37">
        <v>1.7464500944979469</v>
      </c>
      <c r="AC2548" s="37">
        <v>2.7184586170217466</v>
      </c>
      <c r="AD2548" s="37">
        <v>3.1898667981917406</v>
      </c>
    </row>
    <row r="2549" spans="27:30" x14ac:dyDescent="0.3">
      <c r="AA2549" s="37">
        <v>2529</v>
      </c>
      <c r="AB2549" s="37">
        <v>1.7912996288373497</v>
      </c>
      <c r="AC2549" s="37">
        <v>2.5968304774884299</v>
      </c>
      <c r="AD2549" s="37">
        <v>3.3630536731330727</v>
      </c>
    </row>
    <row r="2550" spans="27:30" x14ac:dyDescent="0.3">
      <c r="AA2550" s="37">
        <v>2530</v>
      </c>
      <c r="AB2550" s="37">
        <v>1.7957299964539777</v>
      </c>
      <c r="AC2550" s="37">
        <v>2.9464264288310185</v>
      </c>
      <c r="AD2550" s="37">
        <v>3.438283554196258</v>
      </c>
    </row>
    <row r="2551" spans="27:30" x14ac:dyDescent="0.3">
      <c r="AA2551" s="37">
        <v>2531</v>
      </c>
      <c r="AB2551" s="37">
        <v>1.7752992875527041</v>
      </c>
      <c r="AC2551" s="37">
        <v>2.9483021503163198</v>
      </c>
      <c r="AD2551" s="37">
        <v>3.33731485367541</v>
      </c>
    </row>
    <row r="2552" spans="27:30" x14ac:dyDescent="0.3">
      <c r="AA2552" s="37">
        <v>2532</v>
      </c>
      <c r="AB2552" s="37">
        <v>1.7300028409113748</v>
      </c>
      <c r="AC2552" s="37">
        <v>2.8899693145178413</v>
      </c>
      <c r="AD2552" s="37">
        <v>3.2650455738595792</v>
      </c>
    </row>
    <row r="2553" spans="27:30" x14ac:dyDescent="0.3">
      <c r="AA2553" s="37">
        <v>2533</v>
      </c>
      <c r="AB2553" s="37">
        <v>1.7730612554281464</v>
      </c>
      <c r="AC2553" s="37">
        <v>2.9328511533130315</v>
      </c>
      <c r="AD2553" s="37">
        <v>3.4789648132374591</v>
      </c>
    </row>
    <row r="2554" spans="27:30" x14ac:dyDescent="0.3">
      <c r="AA2554" s="37">
        <v>2534</v>
      </c>
      <c r="AB2554" s="37">
        <v>1.8718290131386599</v>
      </c>
      <c r="AC2554" s="37">
        <v>2.8369594388282713</v>
      </c>
      <c r="AD2554" s="37">
        <v>3.3486192748159307</v>
      </c>
    </row>
    <row r="2555" spans="27:30" x14ac:dyDescent="0.3">
      <c r="AA2555" s="37">
        <v>2535</v>
      </c>
      <c r="AB2555" s="37">
        <v>1.8880789962160731</v>
      </c>
      <c r="AC2555" s="37">
        <v>3.0125074705711383</v>
      </c>
      <c r="AD2555" s="37">
        <v>3.2126397838095992</v>
      </c>
    </row>
    <row r="2556" spans="27:30" x14ac:dyDescent="0.3">
      <c r="AA2556" s="37">
        <v>2536</v>
      </c>
      <c r="AB2556" s="37">
        <v>1.8146104885521823</v>
      </c>
      <c r="AC2556" s="37">
        <v>2.7885412293927891</v>
      </c>
      <c r="AD2556" s="37">
        <v>3.431406588226801</v>
      </c>
    </row>
    <row r="2557" spans="27:30" x14ac:dyDescent="0.3">
      <c r="AA2557" s="37">
        <v>2537</v>
      </c>
      <c r="AB2557" s="37">
        <v>1.8184744363625553</v>
      </c>
      <c r="AC2557" s="37">
        <v>2.9642672929923828</v>
      </c>
      <c r="AD2557" s="37">
        <v>3.3305105089644824</v>
      </c>
    </row>
    <row r="2558" spans="27:30" x14ac:dyDescent="0.3">
      <c r="AA2558" s="37">
        <v>2538</v>
      </c>
      <c r="AB2558" s="37">
        <v>1.7623950750702562</v>
      </c>
      <c r="AC2558" s="37">
        <v>2.7562603465631148</v>
      </c>
      <c r="AD2558" s="37">
        <v>3.3688442662920504</v>
      </c>
    </row>
    <row r="2559" spans="27:30" x14ac:dyDescent="0.3">
      <c r="AA2559" s="37">
        <v>2539</v>
      </c>
      <c r="AB2559" s="37">
        <v>1.9444140653301374</v>
      </c>
      <c r="AC2559" s="37">
        <v>2.7382189597141164</v>
      </c>
      <c r="AD2559" s="37">
        <v>3.386156269896861</v>
      </c>
    </row>
    <row r="2560" spans="27:30" x14ac:dyDescent="0.3">
      <c r="AA2560" s="37">
        <v>2540</v>
      </c>
      <c r="AB2560" s="37">
        <v>1.8486196568683813</v>
      </c>
      <c r="AC2560" s="37">
        <v>2.9573261454007196</v>
      </c>
      <c r="AD2560" s="37">
        <v>3.1922653115045918</v>
      </c>
    </row>
    <row r="2561" spans="27:30" x14ac:dyDescent="0.3">
      <c r="AA2561" s="37">
        <v>2541</v>
      </c>
      <c r="AB2561" s="37">
        <v>1.7793046698383617</v>
      </c>
      <c r="AC2561" s="37">
        <v>2.7312553422455847</v>
      </c>
      <c r="AD2561" s="37">
        <v>3.4349284675662046</v>
      </c>
    </row>
    <row r="2562" spans="27:30" x14ac:dyDescent="0.3">
      <c r="AA2562" s="37">
        <v>2542</v>
      </c>
      <c r="AB2562" s="37">
        <v>1.6985077849327992</v>
      </c>
      <c r="AC2562" s="37">
        <v>2.9877060332131036</v>
      </c>
      <c r="AD2562" s="37">
        <v>3.4177949003700308</v>
      </c>
    </row>
    <row r="2563" spans="27:30" x14ac:dyDescent="0.3">
      <c r="AA2563" s="37">
        <v>2543</v>
      </c>
      <c r="AB2563" s="37">
        <v>1.7895147320123477</v>
      </c>
      <c r="AC2563" s="37">
        <v>2.9385148161409917</v>
      </c>
      <c r="AD2563" s="37">
        <v>3.1084673093852748</v>
      </c>
    </row>
    <row r="2564" spans="27:30" x14ac:dyDescent="0.3">
      <c r="AA2564" s="37">
        <v>2544</v>
      </c>
      <c r="AB2564" s="37">
        <v>1.7715668507153122</v>
      </c>
      <c r="AC2564" s="37">
        <v>2.7574162272968743</v>
      </c>
      <c r="AD2564" s="37">
        <v>3.3850094974693397</v>
      </c>
    </row>
    <row r="2565" spans="27:30" x14ac:dyDescent="0.3">
      <c r="AA2565" s="37">
        <v>2545</v>
      </c>
      <c r="AB2565" s="37">
        <v>1.8236185207102196</v>
      </c>
      <c r="AC2565" s="37">
        <v>2.8944736514773211</v>
      </c>
      <c r="AD2565" s="37">
        <v>3.2830718720695495</v>
      </c>
    </row>
    <row r="2566" spans="27:30" x14ac:dyDescent="0.3">
      <c r="AA2566" s="37">
        <v>2546</v>
      </c>
      <c r="AB2566" s="37">
        <v>1.6921034755505384</v>
      </c>
      <c r="AC2566" s="37">
        <v>2.8121875517174315</v>
      </c>
      <c r="AD2566" s="37">
        <v>3.2975625257052235</v>
      </c>
    </row>
    <row r="2567" spans="27:30" x14ac:dyDescent="0.3">
      <c r="AA2567" s="37">
        <v>2547</v>
      </c>
      <c r="AB2567" s="37">
        <v>1.8125185597627407</v>
      </c>
      <c r="AC2567" s="37">
        <v>2.7532621836836424</v>
      </c>
      <c r="AD2567" s="37">
        <v>3.4217895009928254</v>
      </c>
    </row>
    <row r="2568" spans="27:30" x14ac:dyDescent="0.3">
      <c r="AA2568" s="37">
        <v>2548</v>
      </c>
      <c r="AB2568" s="37">
        <v>1.7867970325552787</v>
      </c>
      <c r="AC2568" s="37">
        <v>3.0552473850379651</v>
      </c>
      <c r="AD2568" s="37">
        <v>3.279161339701798</v>
      </c>
    </row>
    <row r="2569" spans="27:30" x14ac:dyDescent="0.3">
      <c r="AA2569" s="37">
        <v>2549</v>
      </c>
      <c r="AB2569" s="37">
        <v>1.708822401796108</v>
      </c>
      <c r="AC2569" s="37">
        <v>2.7163948943823866</v>
      </c>
      <c r="AD2569" s="37">
        <v>3.4199623803064036</v>
      </c>
    </row>
    <row r="2570" spans="27:30" x14ac:dyDescent="0.3">
      <c r="AA2570" s="37">
        <v>2550</v>
      </c>
      <c r="AB2570" s="37">
        <v>1.8651875799518598</v>
      </c>
      <c r="AC2570" s="37">
        <v>2.8847000845111306</v>
      </c>
      <c r="AD2570" s="37">
        <v>3.2964387938545192</v>
      </c>
    </row>
    <row r="2571" spans="27:30" x14ac:dyDescent="0.3">
      <c r="AA2571" s="37">
        <v>2551</v>
      </c>
      <c r="AB2571" s="37">
        <v>1.8029190541504327</v>
      </c>
      <c r="AC2571" s="37">
        <v>2.8917483940302433</v>
      </c>
      <c r="AD2571" s="37">
        <v>3.3529664975889544</v>
      </c>
    </row>
    <row r="2572" spans="27:30" x14ac:dyDescent="0.3">
      <c r="AA2572" s="37">
        <v>2552</v>
      </c>
      <c r="AB2572" s="37">
        <v>1.8893141736041337</v>
      </c>
      <c r="AC2572" s="37">
        <v>2.9261978967639122</v>
      </c>
      <c r="AD2572" s="37">
        <v>3.3849761419854278</v>
      </c>
    </row>
    <row r="2573" spans="27:30" x14ac:dyDescent="0.3">
      <c r="AA2573" s="37">
        <v>2553</v>
      </c>
      <c r="AB2573" s="37">
        <v>1.7241970904547108</v>
      </c>
      <c r="AC2573" s="37">
        <v>2.8012334795061942</v>
      </c>
      <c r="AD2573" s="37">
        <v>3.3854766836452828</v>
      </c>
    </row>
    <row r="2574" spans="27:30" x14ac:dyDescent="0.3">
      <c r="AA2574" s="37">
        <v>2554</v>
      </c>
      <c r="AB2574" s="37">
        <v>1.7891291368252351</v>
      </c>
      <c r="AC2574" s="37">
        <v>2.9194958020138997</v>
      </c>
      <c r="AD2574" s="37">
        <v>3.4253359395351435</v>
      </c>
    </row>
    <row r="2575" spans="27:30" x14ac:dyDescent="0.3">
      <c r="AA2575" s="37">
        <v>2555</v>
      </c>
      <c r="AB2575" s="37">
        <v>1.7316087133229805</v>
      </c>
      <c r="AC2575" s="37">
        <v>2.8058591819926044</v>
      </c>
      <c r="AD2575" s="37">
        <v>3.3578502331967686</v>
      </c>
    </row>
    <row r="2576" spans="27:30" x14ac:dyDescent="0.3">
      <c r="AA2576" s="37">
        <v>2556</v>
      </c>
      <c r="AB2576" s="37">
        <v>1.7575647568927302</v>
      </c>
      <c r="AC2576" s="37">
        <v>2.9274876744460228</v>
      </c>
      <c r="AD2576" s="37">
        <v>3.2595811142159281</v>
      </c>
    </row>
    <row r="2577" spans="27:30" x14ac:dyDescent="0.3">
      <c r="AA2577" s="37">
        <v>2557</v>
      </c>
      <c r="AB2577" s="37">
        <v>1.8455195079996154</v>
      </c>
      <c r="AC2577" s="37">
        <v>2.8233938502515428</v>
      </c>
      <c r="AD2577" s="37">
        <v>3.5758300666542251</v>
      </c>
    </row>
    <row r="2578" spans="27:30" x14ac:dyDescent="0.3">
      <c r="AA2578" s="37">
        <v>2558</v>
      </c>
      <c r="AB2578" s="37">
        <v>1.840688167145996</v>
      </c>
      <c r="AC2578" s="37">
        <v>2.7767216553999394</v>
      </c>
      <c r="AD2578" s="37">
        <v>3.1867359365073402</v>
      </c>
    </row>
    <row r="2579" spans="27:30" x14ac:dyDescent="0.3">
      <c r="AA2579" s="37">
        <v>2559</v>
      </c>
      <c r="AB2579" s="37">
        <v>1.7324734868398064</v>
      </c>
      <c r="AC2579" s="37">
        <v>2.8976150240606025</v>
      </c>
      <c r="AD2579" s="37">
        <v>3.3107465972411951</v>
      </c>
    </row>
    <row r="2580" spans="27:30" x14ac:dyDescent="0.3">
      <c r="AA2580" s="37">
        <v>2560</v>
      </c>
      <c r="AB2580" s="37">
        <v>1.6965699484912165</v>
      </c>
      <c r="AC2580" s="37">
        <v>2.8036785020668575</v>
      </c>
      <c r="AD2580" s="37">
        <v>3.4010916298285143</v>
      </c>
    </row>
    <row r="2581" spans="27:30" x14ac:dyDescent="0.3">
      <c r="AA2581" s="37">
        <v>2561</v>
      </c>
      <c r="AB2581" s="37">
        <v>1.8551673643166409</v>
      </c>
      <c r="AC2581" s="37">
        <v>2.6668540081434084</v>
      </c>
      <c r="AD2581" s="37">
        <v>3.3672117043279304</v>
      </c>
    </row>
    <row r="2582" spans="27:30" x14ac:dyDescent="0.3">
      <c r="AA2582" s="37">
        <v>2562</v>
      </c>
      <c r="AB2582" s="37">
        <v>1.7338160001894067</v>
      </c>
      <c r="AC2582" s="37">
        <v>2.7078061398844042</v>
      </c>
      <c r="AD2582" s="37">
        <v>3.3495078521797517</v>
      </c>
    </row>
    <row r="2583" spans="27:30" x14ac:dyDescent="0.3">
      <c r="AA2583" s="37">
        <v>2563</v>
      </c>
      <c r="AB2583" s="37">
        <v>1.7619180559179457</v>
      </c>
      <c r="AC2583" s="37">
        <v>3.1581855722169481</v>
      </c>
      <c r="AD2583" s="37">
        <v>3.3177696713153577</v>
      </c>
    </row>
    <row r="2584" spans="27:30" x14ac:dyDescent="0.3">
      <c r="AA2584" s="37">
        <v>2564</v>
      </c>
      <c r="AB2584" s="37">
        <v>1.8122148547814874</v>
      </c>
      <c r="AC2584" s="37">
        <v>2.7836393817620921</v>
      </c>
      <c r="AD2584" s="37">
        <v>3.2628119295363849</v>
      </c>
    </row>
    <row r="2585" spans="27:30" x14ac:dyDescent="0.3">
      <c r="AA2585" s="37">
        <v>2565</v>
      </c>
      <c r="AB2585" s="37">
        <v>1.7957223934717734</v>
      </c>
      <c r="AC2585" s="37">
        <v>2.9628778896355037</v>
      </c>
      <c r="AD2585" s="37">
        <v>3.1051192350326775</v>
      </c>
    </row>
    <row r="2586" spans="27:30" x14ac:dyDescent="0.3">
      <c r="AA2586" s="37">
        <v>2566</v>
      </c>
      <c r="AB2586" s="37">
        <v>1.7185284133047669</v>
      </c>
      <c r="AC2586" s="37">
        <v>2.9615221294169638</v>
      </c>
      <c r="AD2586" s="37">
        <v>3.4687809705188313</v>
      </c>
    </row>
    <row r="2587" spans="27:30" x14ac:dyDescent="0.3">
      <c r="AA2587" s="37">
        <v>2567</v>
      </c>
      <c r="AB2587" s="37">
        <v>1.8748441458397207</v>
      </c>
      <c r="AC2587" s="37">
        <v>2.9528865322051217</v>
      </c>
      <c r="AD2587" s="37">
        <v>3.398008164126705</v>
      </c>
    </row>
    <row r="2588" spans="27:30" x14ac:dyDescent="0.3">
      <c r="AA2588" s="37">
        <v>2568</v>
      </c>
      <c r="AB2588" s="37">
        <v>1.7424454308580148</v>
      </c>
      <c r="AC2588" s="37">
        <v>2.8028984900519989</v>
      </c>
      <c r="AD2588" s="37">
        <v>3.4522321432600096</v>
      </c>
    </row>
    <row r="2589" spans="27:30" x14ac:dyDescent="0.3">
      <c r="AA2589" s="37">
        <v>2569</v>
      </c>
      <c r="AB2589" s="37">
        <v>1.8649416694872165</v>
      </c>
      <c r="AC2589" s="37">
        <v>2.8817409879689335</v>
      </c>
      <c r="AD2589" s="37">
        <v>3.2325542215546328</v>
      </c>
    </row>
    <row r="2590" spans="27:30" x14ac:dyDescent="0.3">
      <c r="AA2590" s="37">
        <v>2570</v>
      </c>
      <c r="AB2590" s="37">
        <v>1.7689209396876731</v>
      </c>
      <c r="AC2590" s="37">
        <v>2.7852411468305127</v>
      </c>
      <c r="AD2590" s="37">
        <v>3.2603966075674502</v>
      </c>
    </row>
    <row r="2591" spans="27:30" x14ac:dyDescent="0.3">
      <c r="AA2591" s="37">
        <v>2571</v>
      </c>
      <c r="AB2591" s="37">
        <v>1.775228447398127</v>
      </c>
      <c r="AC2591" s="37">
        <v>2.670700918609954</v>
      </c>
      <c r="AD2591" s="37">
        <v>3.5388845694124123</v>
      </c>
    </row>
    <row r="2592" spans="27:30" x14ac:dyDescent="0.3">
      <c r="AA2592" s="37">
        <v>2572</v>
      </c>
      <c r="AB2592" s="37">
        <v>1.6524644931593864</v>
      </c>
      <c r="AC2592" s="37">
        <v>2.7749292675097252</v>
      </c>
      <c r="AD2592" s="37">
        <v>3.3731018191366537</v>
      </c>
    </row>
    <row r="2593" spans="27:30" x14ac:dyDescent="0.3">
      <c r="AA2593" s="37">
        <v>2573</v>
      </c>
      <c r="AB2593" s="37">
        <v>1.8955743428320617</v>
      </c>
      <c r="AC2593" s="37">
        <v>2.9545281191113708</v>
      </c>
      <c r="AD2593" s="37">
        <v>3.4083384427035277</v>
      </c>
    </row>
    <row r="2594" spans="27:30" x14ac:dyDescent="0.3">
      <c r="AA2594" s="37">
        <v>2574</v>
      </c>
      <c r="AB2594" s="37">
        <v>1.7328737123554345</v>
      </c>
      <c r="AC2594" s="37">
        <v>2.8348840272320599</v>
      </c>
      <c r="AD2594" s="37">
        <v>3.2430894368330523</v>
      </c>
    </row>
    <row r="2595" spans="27:30" x14ac:dyDescent="0.3">
      <c r="AA2595" s="37">
        <v>2575</v>
      </c>
      <c r="AB2595" s="37">
        <v>1.770492174677448</v>
      </c>
      <c r="AC2595" s="37">
        <v>2.8057959884295509</v>
      </c>
      <c r="AD2595" s="37">
        <v>3.2037763301074964</v>
      </c>
    </row>
    <row r="2596" spans="27:30" x14ac:dyDescent="0.3">
      <c r="AA2596" s="37">
        <v>2576</v>
      </c>
      <c r="AB2596" s="37">
        <v>1.7460980021533137</v>
      </c>
      <c r="AC2596" s="37">
        <v>2.8627786512071594</v>
      </c>
      <c r="AD2596" s="37">
        <v>3.4996277795529136</v>
      </c>
    </row>
    <row r="2597" spans="27:30" x14ac:dyDescent="0.3">
      <c r="AA2597" s="37">
        <v>2577</v>
      </c>
      <c r="AB2597" s="37">
        <v>1.7080318009828119</v>
      </c>
      <c r="AC2597" s="37">
        <v>2.9942726391577299</v>
      </c>
      <c r="AD2597" s="37">
        <v>3.1606882728416799</v>
      </c>
    </row>
    <row r="2598" spans="27:30" x14ac:dyDescent="0.3">
      <c r="AA2598" s="37">
        <v>2578</v>
      </c>
      <c r="AB2598" s="37">
        <v>1.8906612436427643</v>
      </c>
      <c r="AC2598" s="37">
        <v>2.7841421838473224</v>
      </c>
      <c r="AD2598" s="37">
        <v>3.3166447300515411</v>
      </c>
    </row>
    <row r="2599" spans="27:30" x14ac:dyDescent="0.3">
      <c r="AA2599" s="37">
        <v>2579</v>
      </c>
      <c r="AB2599" s="37">
        <v>1.776445545194643</v>
      </c>
      <c r="AC2599" s="37">
        <v>2.7434575558713972</v>
      </c>
      <c r="AD2599" s="37">
        <v>3.5442258505095325</v>
      </c>
    </row>
    <row r="2600" spans="27:30" x14ac:dyDescent="0.3">
      <c r="AA2600" s="37">
        <v>2580</v>
      </c>
      <c r="AB2600" s="37">
        <v>1.7902947082995284</v>
      </c>
      <c r="AC2600" s="37">
        <v>2.8192759803336465</v>
      </c>
      <c r="AD2600" s="37">
        <v>3.6013647348980578</v>
      </c>
    </row>
    <row r="2601" spans="27:30" x14ac:dyDescent="0.3">
      <c r="AA2601" s="37">
        <v>2581</v>
      </c>
      <c r="AB2601" s="37">
        <v>1.8623310355979539</v>
      </c>
      <c r="AC2601" s="37">
        <v>2.5572156411145621</v>
      </c>
      <c r="AD2601" s="37">
        <v>3.549082416341987</v>
      </c>
    </row>
    <row r="2602" spans="27:30" x14ac:dyDescent="0.3">
      <c r="AA2602" s="37">
        <v>2582</v>
      </c>
      <c r="AB2602" s="37">
        <v>1.7855444676131751</v>
      </c>
      <c r="AC2602" s="37">
        <v>2.7041097500900446</v>
      </c>
      <c r="AD2602" s="37">
        <v>3.3320994378521003</v>
      </c>
    </row>
    <row r="2603" spans="27:30" x14ac:dyDescent="0.3">
      <c r="AA2603" s="37">
        <v>2583</v>
      </c>
      <c r="AB2603" s="37">
        <v>1.7904040292071854</v>
      </c>
      <c r="AC2603" s="37">
        <v>2.777926212014433</v>
      </c>
      <c r="AD2603" s="37">
        <v>3.481652735904885</v>
      </c>
    </row>
    <row r="2604" spans="27:30" x14ac:dyDescent="0.3">
      <c r="AA2604" s="37">
        <v>2584</v>
      </c>
      <c r="AB2604" s="37">
        <v>1.7595629019289063</v>
      </c>
      <c r="AC2604" s="37">
        <v>2.780272620013895</v>
      </c>
      <c r="AD2604" s="37">
        <v>3.1647742071197835</v>
      </c>
    </row>
    <row r="2605" spans="27:30" x14ac:dyDescent="0.3">
      <c r="AA2605" s="37">
        <v>2585</v>
      </c>
      <c r="AB2605" s="37">
        <v>1.9124347319363868</v>
      </c>
      <c r="AC2605" s="37">
        <v>2.9198278528219914</v>
      </c>
      <c r="AD2605" s="37">
        <v>3.2783334120849834</v>
      </c>
    </row>
    <row r="2606" spans="27:30" x14ac:dyDescent="0.3">
      <c r="AA2606" s="37">
        <v>2586</v>
      </c>
      <c r="AB2606" s="37">
        <v>1.83968492108597</v>
      </c>
      <c r="AC2606" s="37">
        <v>2.9951646833200707</v>
      </c>
      <c r="AD2606" s="37">
        <v>3.1619239814281443</v>
      </c>
    </row>
    <row r="2607" spans="27:30" x14ac:dyDescent="0.3">
      <c r="AA2607" s="37">
        <v>2587</v>
      </c>
      <c r="AB2607" s="37">
        <v>1.9238300955233292</v>
      </c>
      <c r="AC2607" s="37">
        <v>3.1448407853319869</v>
      </c>
      <c r="AD2607" s="37">
        <v>3.1893775718584907</v>
      </c>
    </row>
    <row r="2608" spans="27:30" x14ac:dyDescent="0.3">
      <c r="AA2608" s="37">
        <v>2588</v>
      </c>
      <c r="AB2608" s="37">
        <v>1.6921189193788813</v>
      </c>
      <c r="AC2608" s="37">
        <v>2.6574564986240037</v>
      </c>
      <c r="AD2608" s="37">
        <v>3.2682074491102928</v>
      </c>
    </row>
    <row r="2609" spans="27:30" x14ac:dyDescent="0.3">
      <c r="AA2609" s="37">
        <v>2589</v>
      </c>
      <c r="AB2609" s="37">
        <v>1.7787755722073726</v>
      </c>
      <c r="AC2609" s="37">
        <v>2.8286618689431058</v>
      </c>
      <c r="AD2609" s="37">
        <v>3.4188599785967302</v>
      </c>
    </row>
    <row r="2610" spans="27:30" x14ac:dyDescent="0.3">
      <c r="AA2610" s="37">
        <v>2590</v>
      </c>
      <c r="AB2610" s="37">
        <v>1.8159761602915077</v>
      </c>
      <c r="AC2610" s="37">
        <v>2.731736652217124</v>
      </c>
      <c r="AD2610" s="37">
        <v>3.2169922057408544</v>
      </c>
    </row>
    <row r="2611" spans="27:30" x14ac:dyDescent="0.3">
      <c r="AA2611" s="37">
        <v>2591</v>
      </c>
      <c r="AB2611" s="37">
        <v>1.7453625483494135</v>
      </c>
      <c r="AC2611" s="37">
        <v>2.5816528049385998</v>
      </c>
      <c r="AD2611" s="37">
        <v>3.3649814391408244</v>
      </c>
    </row>
    <row r="2612" spans="27:30" x14ac:dyDescent="0.3">
      <c r="AA2612" s="37">
        <v>2592</v>
      </c>
      <c r="AB2612" s="37">
        <v>1.8175221169015572</v>
      </c>
      <c r="AC2612" s="37">
        <v>2.8498843396025193</v>
      </c>
      <c r="AD2612" s="37">
        <v>3.4871341699553495</v>
      </c>
    </row>
    <row r="2613" spans="27:30" x14ac:dyDescent="0.3">
      <c r="AA2613" s="37">
        <v>2593</v>
      </c>
      <c r="AB2613" s="37">
        <v>1.7671365393417779</v>
      </c>
      <c r="AC2613" s="37">
        <v>3.0357990770464767</v>
      </c>
      <c r="AD2613" s="37">
        <v>3.3790799761639279</v>
      </c>
    </row>
    <row r="2614" spans="27:30" x14ac:dyDescent="0.3">
      <c r="AA2614" s="37">
        <v>2594</v>
      </c>
      <c r="AB2614" s="37">
        <v>1.9581869928487239</v>
      </c>
      <c r="AC2614" s="37">
        <v>2.9807266772934562</v>
      </c>
      <c r="AD2614" s="37">
        <v>3.3340702860742968</v>
      </c>
    </row>
    <row r="2615" spans="27:30" x14ac:dyDescent="0.3">
      <c r="AA2615" s="37">
        <v>2595</v>
      </c>
      <c r="AB2615" s="37">
        <v>1.7290413023670061</v>
      </c>
      <c r="AC2615" s="37">
        <v>2.7530368577589979</v>
      </c>
      <c r="AD2615" s="37">
        <v>3.1982326123813865</v>
      </c>
    </row>
    <row r="2616" spans="27:30" x14ac:dyDescent="0.3">
      <c r="AA2616" s="37">
        <v>2596</v>
      </c>
      <c r="AB2616" s="37">
        <v>1.8821402261938966</v>
      </c>
      <c r="AC2616" s="37">
        <v>2.7419550645685162</v>
      </c>
      <c r="AD2616" s="37">
        <v>3.5724648995562864</v>
      </c>
    </row>
    <row r="2617" spans="27:30" x14ac:dyDescent="0.3">
      <c r="AA2617" s="37">
        <v>2597</v>
      </c>
      <c r="AB2617" s="37">
        <v>1.7097838825157736</v>
      </c>
      <c r="AC2617" s="37">
        <v>2.9333743685018727</v>
      </c>
      <c r="AD2617" s="37">
        <v>3.4352514107316616</v>
      </c>
    </row>
    <row r="2618" spans="27:30" x14ac:dyDescent="0.3">
      <c r="AA2618" s="37">
        <v>2598</v>
      </c>
      <c r="AB2618" s="37">
        <v>1.8801530841941254</v>
      </c>
      <c r="AC2618" s="37">
        <v>2.8359382162870528</v>
      </c>
      <c r="AD2618" s="37">
        <v>3.2277141122063493</v>
      </c>
    </row>
    <row r="2619" spans="27:30" x14ac:dyDescent="0.3">
      <c r="AA2619" s="37">
        <v>2599</v>
      </c>
      <c r="AB2619" s="37">
        <v>1.7923141097640747</v>
      </c>
      <c r="AC2619" s="37">
        <v>2.981926650646809</v>
      </c>
      <c r="AD2619" s="37">
        <v>3.2841629233145402</v>
      </c>
    </row>
    <row r="2620" spans="27:30" x14ac:dyDescent="0.3">
      <c r="AA2620" s="37">
        <v>2600</v>
      </c>
      <c r="AB2620" s="37">
        <v>1.7582255266131346</v>
      </c>
      <c r="AC2620" s="37">
        <v>2.803983157155546</v>
      </c>
      <c r="AD2620" s="37">
        <v>3.3427184001145465</v>
      </c>
    </row>
    <row r="2621" spans="27:30" x14ac:dyDescent="0.3">
      <c r="AA2621" s="37">
        <v>2601</v>
      </c>
      <c r="AB2621" s="37">
        <v>1.7957371751162372</v>
      </c>
      <c r="AC2621" s="37">
        <v>2.935734640260713</v>
      </c>
      <c r="AD2621" s="37">
        <v>3.349109906483076</v>
      </c>
    </row>
    <row r="2622" spans="27:30" x14ac:dyDescent="0.3">
      <c r="AA2622" s="37">
        <v>2602</v>
      </c>
      <c r="AB2622" s="37">
        <v>1.730660532300893</v>
      </c>
      <c r="AC2622" s="37">
        <v>2.917368709722874</v>
      </c>
      <c r="AD2622" s="37">
        <v>3.2246410759384618</v>
      </c>
    </row>
    <row r="2623" spans="27:30" x14ac:dyDescent="0.3">
      <c r="AA2623" s="37">
        <v>2603</v>
      </c>
      <c r="AB2623" s="37">
        <v>1.7840398290899138</v>
      </c>
      <c r="AC2623" s="37">
        <v>2.9466310818474217</v>
      </c>
      <c r="AD2623" s="37">
        <v>3.3303964098717587</v>
      </c>
    </row>
    <row r="2624" spans="27:30" x14ac:dyDescent="0.3">
      <c r="AA2624" s="37">
        <v>2604</v>
      </c>
      <c r="AB2624" s="37">
        <v>1.7986037778666948</v>
      </c>
      <c r="AC2624" s="37">
        <v>2.6873401135177142</v>
      </c>
      <c r="AD2624" s="37">
        <v>3.5213375578643018</v>
      </c>
    </row>
    <row r="2625" spans="27:30" x14ac:dyDescent="0.3">
      <c r="AA2625" s="37">
        <v>2605</v>
      </c>
      <c r="AB2625" s="37">
        <v>1.8778002771971229</v>
      </c>
      <c r="AC2625" s="37">
        <v>2.8675757035332214</v>
      </c>
      <c r="AD2625" s="37">
        <v>3.2404227564737438</v>
      </c>
    </row>
    <row r="2626" spans="27:30" x14ac:dyDescent="0.3">
      <c r="AA2626" s="37">
        <v>2606</v>
      </c>
      <c r="AB2626" s="37">
        <v>1.8721291060580953</v>
      </c>
      <c r="AC2626" s="37">
        <v>3.0241819551083258</v>
      </c>
      <c r="AD2626" s="37">
        <v>3.4621189322447217</v>
      </c>
    </row>
    <row r="2627" spans="27:30" x14ac:dyDescent="0.3">
      <c r="AA2627" s="37">
        <v>2607</v>
      </c>
      <c r="AB2627" s="37">
        <v>1.8472204351171591</v>
      </c>
      <c r="AC2627" s="37">
        <v>2.7188981772941081</v>
      </c>
      <c r="AD2627" s="37">
        <v>3.2262440267261159</v>
      </c>
    </row>
    <row r="2628" spans="27:30" x14ac:dyDescent="0.3">
      <c r="AA2628" s="37">
        <v>2608</v>
      </c>
      <c r="AB2628" s="37">
        <v>1.8230895218305838</v>
      </c>
      <c r="AC2628" s="37">
        <v>2.7323894594630924</v>
      </c>
      <c r="AD2628" s="37">
        <v>3.4440755688104923</v>
      </c>
    </row>
    <row r="2629" spans="27:30" x14ac:dyDescent="0.3">
      <c r="AA2629" s="37">
        <v>2609</v>
      </c>
      <c r="AB2629" s="37">
        <v>1.8848122826581009</v>
      </c>
      <c r="AC2629" s="37">
        <v>2.7011559076659304</v>
      </c>
      <c r="AD2629" s="37">
        <v>3.2413278167276478</v>
      </c>
    </row>
    <row r="2630" spans="27:30" x14ac:dyDescent="0.3">
      <c r="AA2630" s="37">
        <v>2610</v>
      </c>
      <c r="AB2630" s="37">
        <v>1.7824016386945969</v>
      </c>
      <c r="AC2630" s="37">
        <v>2.7978465084051813</v>
      </c>
      <c r="AD2630" s="37">
        <v>3.3198224943315977</v>
      </c>
    </row>
    <row r="2631" spans="27:30" x14ac:dyDescent="0.3">
      <c r="AA2631" s="37">
        <v>2611</v>
      </c>
      <c r="AB2631" s="37">
        <v>1.7434512587339206</v>
      </c>
      <c r="AC2631" s="37">
        <v>3.084029952425908</v>
      </c>
      <c r="AD2631" s="37">
        <v>3.3783648886013369</v>
      </c>
    </row>
    <row r="2632" spans="27:30" x14ac:dyDescent="0.3">
      <c r="AA2632" s="37">
        <v>2612</v>
      </c>
      <c r="AB2632" s="37">
        <v>1.7541189630731691</v>
      </c>
      <c r="AC2632" s="37">
        <v>2.7182624934889579</v>
      </c>
      <c r="AD2632" s="37">
        <v>3.2993861963753321</v>
      </c>
    </row>
    <row r="2633" spans="27:30" x14ac:dyDescent="0.3">
      <c r="AA2633" s="37">
        <v>2613</v>
      </c>
      <c r="AB2633" s="37">
        <v>1.8137833181124696</v>
      </c>
      <c r="AC2633" s="37">
        <v>2.705031406109581</v>
      </c>
      <c r="AD2633" s="37">
        <v>3.3678553708140089</v>
      </c>
    </row>
    <row r="2634" spans="27:30" x14ac:dyDescent="0.3">
      <c r="AA2634" s="37">
        <v>2614</v>
      </c>
      <c r="AB2634" s="37">
        <v>1.8332703697352797</v>
      </c>
      <c r="AC2634" s="37">
        <v>2.6192278540734346</v>
      </c>
      <c r="AD2634" s="37">
        <v>3.4922732234881626</v>
      </c>
    </row>
    <row r="2635" spans="27:30" x14ac:dyDescent="0.3">
      <c r="AA2635" s="37">
        <v>2615</v>
      </c>
      <c r="AB2635" s="37">
        <v>1.8969961947423903</v>
      </c>
      <c r="AC2635" s="37">
        <v>2.6385286641937697</v>
      </c>
      <c r="AD2635" s="37">
        <v>3.3110461095092889</v>
      </c>
    </row>
    <row r="2636" spans="27:30" x14ac:dyDescent="0.3">
      <c r="AA2636" s="37">
        <v>2616</v>
      </c>
      <c r="AB2636" s="37">
        <v>1.7262864842350722</v>
      </c>
      <c r="AC2636" s="37">
        <v>2.853892001556428</v>
      </c>
      <c r="AD2636" s="37">
        <v>3.4388001097620138</v>
      </c>
    </row>
    <row r="2637" spans="27:30" x14ac:dyDescent="0.3">
      <c r="AA2637" s="37">
        <v>2617</v>
      </c>
      <c r="AB2637" s="37">
        <v>1.8225105281308227</v>
      </c>
      <c r="AC2637" s="37">
        <v>2.6043773243333646</v>
      </c>
      <c r="AD2637" s="37">
        <v>3.4000043574693968</v>
      </c>
    </row>
    <row r="2638" spans="27:30" x14ac:dyDescent="0.3">
      <c r="AA2638" s="37">
        <v>2618</v>
      </c>
      <c r="AB2638" s="37">
        <v>1.7970267106544842</v>
      </c>
      <c r="AC2638" s="37">
        <v>2.8776833052518809</v>
      </c>
      <c r="AD2638" s="37">
        <v>3.6423653704382</v>
      </c>
    </row>
    <row r="2639" spans="27:30" x14ac:dyDescent="0.3">
      <c r="AA2639" s="37">
        <v>2619</v>
      </c>
      <c r="AB2639" s="37">
        <v>1.8696683957130196</v>
      </c>
      <c r="AC2639" s="37">
        <v>2.7245500766289203</v>
      </c>
      <c r="AD2639" s="37">
        <v>3.4097314894206252</v>
      </c>
    </row>
    <row r="2640" spans="27:30" x14ac:dyDescent="0.3">
      <c r="AA2640" s="37">
        <v>2620</v>
      </c>
      <c r="AB2640" s="37">
        <v>1.660026429432945</v>
      </c>
      <c r="AC2640" s="37">
        <v>2.8068161780554619</v>
      </c>
      <c r="AD2640" s="37">
        <v>3.4046095325441001</v>
      </c>
    </row>
    <row r="2641" spans="27:30" x14ac:dyDescent="0.3">
      <c r="AA2641" s="37">
        <v>2621</v>
      </c>
      <c r="AB2641" s="37">
        <v>1.781215042237015</v>
      </c>
      <c r="AC2641" s="37">
        <v>2.8551540777740398</v>
      </c>
      <c r="AD2641" s="37">
        <v>3.4896651345558083</v>
      </c>
    </row>
    <row r="2642" spans="27:30" x14ac:dyDescent="0.3">
      <c r="AA2642" s="37">
        <v>2622</v>
      </c>
      <c r="AB2642" s="37">
        <v>1.7469775610901179</v>
      </c>
      <c r="AC2642" s="37">
        <v>2.9797434734591355</v>
      </c>
      <c r="AD2642" s="37">
        <v>3.3817847987148002</v>
      </c>
    </row>
    <row r="2643" spans="27:30" x14ac:dyDescent="0.3">
      <c r="AA2643" s="37">
        <v>2623</v>
      </c>
      <c r="AB2643" s="37">
        <v>1.7155840993353708</v>
      </c>
      <c r="AC2643" s="37">
        <v>2.690280931200888</v>
      </c>
      <c r="AD2643" s="37">
        <v>3.1847686595648481</v>
      </c>
    </row>
    <row r="2644" spans="27:30" x14ac:dyDescent="0.3">
      <c r="AA2644" s="37">
        <v>2624</v>
      </c>
      <c r="AB2644" s="37">
        <v>1.8748476815800119</v>
      </c>
      <c r="AC2644" s="37">
        <v>2.8423874523450134</v>
      </c>
      <c r="AD2644" s="37">
        <v>3.233889641253322</v>
      </c>
    </row>
    <row r="2645" spans="27:30" x14ac:dyDescent="0.3">
      <c r="AA2645" s="37">
        <v>2625</v>
      </c>
      <c r="AB2645" s="37">
        <v>1.7539892091408291</v>
      </c>
      <c r="AC2645" s="37">
        <v>2.9716758923961826</v>
      </c>
      <c r="AD2645" s="37">
        <v>3.25792887783463</v>
      </c>
    </row>
    <row r="2646" spans="27:30" x14ac:dyDescent="0.3">
      <c r="AA2646" s="37">
        <v>2626</v>
      </c>
      <c r="AB2646" s="37">
        <v>1.7282011642522621</v>
      </c>
      <c r="AC2646" s="37">
        <v>2.644852481233757</v>
      </c>
      <c r="AD2646" s="37">
        <v>3.1968840915952006</v>
      </c>
    </row>
    <row r="2647" spans="27:30" x14ac:dyDescent="0.3">
      <c r="AA2647" s="37">
        <v>2627</v>
      </c>
      <c r="AB2647" s="37">
        <v>1.7849658394896641</v>
      </c>
      <c r="AC2647" s="37">
        <v>2.9742893608690499</v>
      </c>
      <c r="AD2647" s="37">
        <v>3.457577171362288</v>
      </c>
    </row>
    <row r="2648" spans="27:30" x14ac:dyDescent="0.3">
      <c r="AA2648" s="37">
        <v>2628</v>
      </c>
      <c r="AB2648" s="37">
        <v>1.7646699838337838</v>
      </c>
      <c r="AC2648" s="37">
        <v>2.8624650523748798</v>
      </c>
      <c r="AD2648" s="37">
        <v>3.447641943995909</v>
      </c>
    </row>
    <row r="2649" spans="27:30" x14ac:dyDescent="0.3">
      <c r="AA2649" s="37">
        <v>2629</v>
      </c>
      <c r="AB2649" s="37">
        <v>1.8485293045751376</v>
      </c>
      <c r="AC2649" s="37">
        <v>2.8347447626429485</v>
      </c>
      <c r="AD2649" s="37">
        <v>3.2417126238008396</v>
      </c>
    </row>
    <row r="2650" spans="27:30" x14ac:dyDescent="0.3">
      <c r="AA2650" s="37">
        <v>2630</v>
      </c>
      <c r="AB2650" s="37">
        <v>1.7407079276291997</v>
      </c>
      <c r="AC2650" s="37">
        <v>2.9357422974117688</v>
      </c>
      <c r="AD2650" s="37">
        <v>3.358042211549833</v>
      </c>
    </row>
    <row r="2651" spans="27:30" x14ac:dyDescent="0.3">
      <c r="AA2651" s="37">
        <v>2631</v>
      </c>
      <c r="AB2651" s="37">
        <v>1.8897401047761782</v>
      </c>
      <c r="AC2651" s="37">
        <v>2.7217038700509981</v>
      </c>
      <c r="AD2651" s="37">
        <v>3.0491914613164788</v>
      </c>
    </row>
    <row r="2652" spans="27:30" x14ac:dyDescent="0.3">
      <c r="AA2652" s="37">
        <v>2632</v>
      </c>
      <c r="AB2652" s="37">
        <v>1.7797634194446459</v>
      </c>
      <c r="AC2652" s="37">
        <v>2.9580443296328029</v>
      </c>
      <c r="AD2652" s="37">
        <v>3.5779247325499557</v>
      </c>
    </row>
    <row r="2653" spans="27:30" x14ac:dyDescent="0.3">
      <c r="AA2653" s="37">
        <v>2633</v>
      </c>
      <c r="AB2653" s="37">
        <v>1.7613440810874705</v>
      </c>
      <c r="AC2653" s="37">
        <v>2.8857791734789795</v>
      </c>
      <c r="AD2653" s="37">
        <v>3.5204588101227059</v>
      </c>
    </row>
    <row r="2654" spans="27:30" x14ac:dyDescent="0.3">
      <c r="AA2654" s="37">
        <v>2634</v>
      </c>
      <c r="AB2654" s="37">
        <v>1.7415351086958271</v>
      </c>
      <c r="AC2654" s="37">
        <v>2.7773810024932479</v>
      </c>
      <c r="AD2654" s="37">
        <v>3.3228038051071787</v>
      </c>
    </row>
    <row r="2655" spans="27:30" x14ac:dyDescent="0.3">
      <c r="AA2655" s="37">
        <v>2635</v>
      </c>
      <c r="AB2655" s="37">
        <v>1.7158631326903249</v>
      </c>
      <c r="AC2655" s="37">
        <v>2.8994943129914486</v>
      </c>
      <c r="AD2655" s="37">
        <v>3.6298651920456946</v>
      </c>
    </row>
    <row r="2656" spans="27:30" x14ac:dyDescent="0.3">
      <c r="AA2656" s="37">
        <v>2636</v>
      </c>
      <c r="AB2656" s="37">
        <v>1.7153776312993805</v>
      </c>
      <c r="AC2656" s="37">
        <v>2.7520905299804621</v>
      </c>
      <c r="AD2656" s="37">
        <v>3.6366355525903042</v>
      </c>
    </row>
    <row r="2657" spans="27:30" x14ac:dyDescent="0.3">
      <c r="AA2657" s="37">
        <v>2637</v>
      </c>
      <c r="AB2657" s="37">
        <v>1.7652796950110083</v>
      </c>
      <c r="AC2657" s="37">
        <v>2.8477048495688706</v>
      </c>
      <c r="AD2657" s="37">
        <v>3.2515501405589711</v>
      </c>
    </row>
    <row r="2658" spans="27:30" x14ac:dyDescent="0.3">
      <c r="AA2658" s="37">
        <v>2638</v>
      </c>
      <c r="AB2658" s="37">
        <v>1.7417983417345373</v>
      </c>
      <c r="AC2658" s="37">
        <v>3.0109668375024339</v>
      </c>
      <c r="AD2658" s="37">
        <v>3.5072270641392453</v>
      </c>
    </row>
    <row r="2659" spans="27:30" x14ac:dyDescent="0.3">
      <c r="AA2659" s="37">
        <v>2639</v>
      </c>
      <c r="AB2659" s="37">
        <v>1.7422627871510747</v>
      </c>
      <c r="AC2659" s="37">
        <v>2.8456552592550333</v>
      </c>
      <c r="AD2659" s="37">
        <v>3.5135616497853421</v>
      </c>
    </row>
    <row r="2660" spans="27:30" x14ac:dyDescent="0.3">
      <c r="AA2660" s="37">
        <v>2640</v>
      </c>
      <c r="AB2660" s="37">
        <v>1.8548707069485983</v>
      </c>
      <c r="AC2660" s="37">
        <v>2.7953101450732833</v>
      </c>
      <c r="AD2660" s="37">
        <v>3.5180252816828741</v>
      </c>
    </row>
    <row r="2661" spans="27:30" x14ac:dyDescent="0.3">
      <c r="AA2661" s="37">
        <v>2641</v>
      </c>
      <c r="AB2661" s="37">
        <v>1.8100948979133917</v>
      </c>
      <c r="AC2661" s="37">
        <v>2.7839086981032142</v>
      </c>
      <c r="AD2661" s="37">
        <v>3.481429990605716</v>
      </c>
    </row>
    <row r="2662" spans="27:30" x14ac:dyDescent="0.3">
      <c r="AA2662" s="37">
        <v>2642</v>
      </c>
      <c r="AB2662" s="37">
        <v>1.589189317742008</v>
      </c>
      <c r="AC2662" s="37">
        <v>2.826636840894571</v>
      </c>
      <c r="AD2662" s="37">
        <v>3.4329283816553984</v>
      </c>
    </row>
    <row r="2663" spans="27:30" x14ac:dyDescent="0.3">
      <c r="AA2663" s="37">
        <v>2643</v>
      </c>
      <c r="AB2663" s="37">
        <v>1.8054936796133723</v>
      </c>
      <c r="AC2663" s="37">
        <v>2.8985696464185624</v>
      </c>
      <c r="AD2663" s="37">
        <v>3.2168074053589004</v>
      </c>
    </row>
    <row r="2664" spans="27:30" x14ac:dyDescent="0.3">
      <c r="AA2664" s="37">
        <v>2644</v>
      </c>
      <c r="AB2664" s="37">
        <v>1.843212311520898</v>
      </c>
      <c r="AC2664" s="37">
        <v>2.659076666448426</v>
      </c>
      <c r="AD2664" s="37">
        <v>3.2287998137265586</v>
      </c>
    </row>
    <row r="2665" spans="27:30" x14ac:dyDescent="0.3">
      <c r="AA2665" s="37">
        <v>2645</v>
      </c>
      <c r="AB2665" s="37">
        <v>1.904521319456919</v>
      </c>
      <c r="AC2665" s="37">
        <v>2.6226079496994088</v>
      </c>
      <c r="AD2665" s="37">
        <v>3.3779623528833551</v>
      </c>
    </row>
    <row r="2666" spans="27:30" x14ac:dyDescent="0.3">
      <c r="AA2666" s="37">
        <v>2646</v>
      </c>
      <c r="AB2666" s="37">
        <v>1.8043971318281227</v>
      </c>
      <c r="AC2666" s="37">
        <v>2.6491717092254432</v>
      </c>
      <c r="AD2666" s="37">
        <v>3.4817298945301816</v>
      </c>
    </row>
    <row r="2667" spans="27:30" x14ac:dyDescent="0.3">
      <c r="AA2667" s="37">
        <v>2647</v>
      </c>
      <c r="AB2667" s="37">
        <v>1.7498073143356967</v>
      </c>
      <c r="AC2667" s="37">
        <v>3.1135345992036516</v>
      </c>
      <c r="AD2667" s="37">
        <v>3.3206905359530379</v>
      </c>
    </row>
    <row r="2668" spans="27:30" x14ac:dyDescent="0.3">
      <c r="AA2668" s="37">
        <v>2648</v>
      </c>
      <c r="AB2668" s="37">
        <v>1.7783214475587752</v>
      </c>
      <c r="AC2668" s="37">
        <v>2.9075004388177801</v>
      </c>
      <c r="AD2668" s="37">
        <v>3.4022260565144871</v>
      </c>
    </row>
    <row r="2669" spans="27:30" x14ac:dyDescent="0.3">
      <c r="AA2669" s="37">
        <v>2649</v>
      </c>
      <c r="AB2669" s="37">
        <v>1.6626759723270439</v>
      </c>
      <c r="AC2669" s="37">
        <v>2.7902176981052262</v>
      </c>
      <c r="AD2669" s="37">
        <v>3.2948834773255622</v>
      </c>
    </row>
    <row r="2670" spans="27:30" x14ac:dyDescent="0.3">
      <c r="AA2670" s="37">
        <v>2650</v>
      </c>
      <c r="AB2670" s="37">
        <v>1.8508632321557377</v>
      </c>
      <c r="AC2670" s="37">
        <v>2.8453699912679733</v>
      </c>
      <c r="AD2670" s="37">
        <v>3.2772458552073269</v>
      </c>
    </row>
    <row r="2671" spans="27:30" x14ac:dyDescent="0.3">
      <c r="AA2671" s="37">
        <v>2651</v>
      </c>
      <c r="AB2671" s="37">
        <v>1.7709449980427181</v>
      </c>
      <c r="AC2671" s="37">
        <v>2.8080437775445843</v>
      </c>
      <c r="AD2671" s="37">
        <v>3.1991099553659139</v>
      </c>
    </row>
    <row r="2672" spans="27:30" x14ac:dyDescent="0.3">
      <c r="AA2672" s="37">
        <v>2652</v>
      </c>
      <c r="AB2672" s="37">
        <v>1.704188463960129</v>
      </c>
      <c r="AC2672" s="37">
        <v>2.9204796384496983</v>
      </c>
      <c r="AD2672" s="37">
        <v>3.4732822416335578</v>
      </c>
    </row>
    <row r="2673" spans="27:30" x14ac:dyDescent="0.3">
      <c r="AA2673" s="37">
        <v>2653</v>
      </c>
      <c r="AB2673" s="37">
        <v>1.8523151658353276</v>
      </c>
      <c r="AC2673" s="37">
        <v>2.8563323829909169</v>
      </c>
      <c r="AD2673" s="37">
        <v>3.5762203001035693</v>
      </c>
    </row>
    <row r="2674" spans="27:30" x14ac:dyDescent="0.3">
      <c r="AA2674" s="37">
        <v>2654</v>
      </c>
      <c r="AB2674" s="37">
        <v>1.845296933739766</v>
      </c>
      <c r="AC2674" s="37">
        <v>2.8655085394172084</v>
      </c>
      <c r="AD2674" s="37">
        <v>3.2319135196917106</v>
      </c>
    </row>
    <row r="2675" spans="27:30" x14ac:dyDescent="0.3">
      <c r="AA2675" s="37">
        <v>2655</v>
      </c>
      <c r="AB2675" s="37">
        <v>1.8187757418237616</v>
      </c>
      <c r="AC2675" s="37">
        <v>2.9548737372917797</v>
      </c>
      <c r="AD2675" s="37">
        <v>3.1282653510703557</v>
      </c>
    </row>
    <row r="2676" spans="27:30" x14ac:dyDescent="0.3">
      <c r="AA2676" s="37">
        <v>2656</v>
      </c>
      <c r="AB2676" s="37">
        <v>1.8250424897959652</v>
      </c>
      <c r="AC2676" s="37">
        <v>2.7780365718984394</v>
      </c>
      <c r="AD2676" s="37">
        <v>3.2518584459981352</v>
      </c>
    </row>
    <row r="2677" spans="27:30" x14ac:dyDescent="0.3">
      <c r="AA2677" s="37">
        <v>2657</v>
      </c>
      <c r="AB2677" s="37">
        <v>1.9268949250410017</v>
      </c>
      <c r="AC2677" s="37">
        <v>2.6846746834095172</v>
      </c>
      <c r="AD2677" s="37">
        <v>3.4307153545715385</v>
      </c>
    </row>
    <row r="2678" spans="27:30" x14ac:dyDescent="0.3">
      <c r="AA2678" s="37">
        <v>2658</v>
      </c>
      <c r="AB2678" s="37">
        <v>1.7618642595048832</v>
      </c>
      <c r="AC2678" s="37">
        <v>2.8312873357694976</v>
      </c>
      <c r="AD2678" s="37">
        <v>3.1891623637202158</v>
      </c>
    </row>
    <row r="2679" spans="27:30" x14ac:dyDescent="0.3">
      <c r="AA2679" s="37">
        <v>2659</v>
      </c>
      <c r="AB2679" s="37">
        <v>1.7181498592999422</v>
      </c>
      <c r="AC2679" s="37">
        <v>3.0000337683414653</v>
      </c>
      <c r="AD2679" s="37">
        <v>3.3233754600053911</v>
      </c>
    </row>
    <row r="2680" spans="27:30" x14ac:dyDescent="0.3">
      <c r="AA2680" s="37">
        <v>2660</v>
      </c>
      <c r="AB2680" s="37">
        <v>1.7080710988945</v>
      </c>
      <c r="AC2680" s="37">
        <v>2.9322669283884424</v>
      </c>
      <c r="AD2680" s="37">
        <v>3.2288482893712991</v>
      </c>
    </row>
    <row r="2681" spans="27:30" x14ac:dyDescent="0.3">
      <c r="AA2681" s="37">
        <v>2661</v>
      </c>
      <c r="AB2681" s="37">
        <v>1.643158164205569</v>
      </c>
      <c r="AC2681" s="37">
        <v>2.8588444382480582</v>
      </c>
      <c r="AD2681" s="37">
        <v>3.0611609011835661</v>
      </c>
    </row>
    <row r="2682" spans="27:30" x14ac:dyDescent="0.3">
      <c r="AA2682" s="37">
        <v>2662</v>
      </c>
      <c r="AB2682" s="37">
        <v>1.8202490198594448</v>
      </c>
      <c r="AC2682" s="37">
        <v>2.9337762016646876</v>
      </c>
      <c r="AD2682" s="37">
        <v>3.4461678203637525</v>
      </c>
    </row>
    <row r="2683" spans="27:30" x14ac:dyDescent="0.3">
      <c r="AA2683" s="37">
        <v>2663</v>
      </c>
      <c r="AB2683" s="37">
        <v>1.7234466810944546</v>
      </c>
      <c r="AC2683" s="37">
        <v>2.9577210399450093</v>
      </c>
      <c r="AD2683" s="37">
        <v>3.3863259066893763</v>
      </c>
    </row>
    <row r="2684" spans="27:30" x14ac:dyDescent="0.3">
      <c r="AA2684" s="37">
        <v>2664</v>
      </c>
      <c r="AB2684" s="37">
        <v>1.7233592675026002</v>
      </c>
      <c r="AC2684" s="37">
        <v>3.0367909152004349</v>
      </c>
      <c r="AD2684" s="37">
        <v>3.3548905338264188</v>
      </c>
    </row>
    <row r="2685" spans="27:30" x14ac:dyDescent="0.3">
      <c r="AA2685" s="37">
        <v>2665</v>
      </c>
      <c r="AB2685" s="37">
        <v>1.8778750421792532</v>
      </c>
      <c r="AC2685" s="37">
        <v>2.7693511923215293</v>
      </c>
      <c r="AD2685" s="37">
        <v>3.3086511166635915</v>
      </c>
    </row>
    <row r="2686" spans="27:30" x14ac:dyDescent="0.3">
      <c r="AA2686" s="37">
        <v>2666</v>
      </c>
      <c r="AB2686" s="37">
        <v>1.7617715103500815</v>
      </c>
      <c r="AC2686" s="37">
        <v>2.8717280309477053</v>
      </c>
      <c r="AD2686" s="37">
        <v>3.3803581396375089</v>
      </c>
    </row>
    <row r="2687" spans="27:30" x14ac:dyDescent="0.3">
      <c r="AA2687" s="37">
        <v>2667</v>
      </c>
      <c r="AB2687" s="37">
        <v>1.739918128576406</v>
      </c>
      <c r="AC2687" s="37">
        <v>2.9579373133180322</v>
      </c>
      <c r="AD2687" s="37">
        <v>3.3031248390771029</v>
      </c>
    </row>
    <row r="2688" spans="27:30" x14ac:dyDescent="0.3">
      <c r="AA2688" s="37">
        <v>2668</v>
      </c>
      <c r="AB2688" s="37">
        <v>1.773414839532923</v>
      </c>
      <c r="AC2688" s="37">
        <v>2.840471567305789</v>
      </c>
      <c r="AD2688" s="37">
        <v>3.3486939541298679</v>
      </c>
    </row>
    <row r="2689" spans="27:30" x14ac:dyDescent="0.3">
      <c r="AA2689" s="37">
        <v>2669</v>
      </c>
      <c r="AB2689" s="37">
        <v>1.7420735613587777</v>
      </c>
      <c r="AC2689" s="37">
        <v>2.7611179674797164</v>
      </c>
      <c r="AD2689" s="37">
        <v>3.2276124849029815</v>
      </c>
    </row>
    <row r="2690" spans="27:30" x14ac:dyDescent="0.3">
      <c r="AA2690" s="37">
        <v>2670</v>
      </c>
      <c r="AB2690" s="37">
        <v>1.7690043475987129</v>
      </c>
      <c r="AC2690" s="37">
        <v>2.8483863478509099</v>
      </c>
      <c r="AD2690" s="37">
        <v>3.7099562264692905</v>
      </c>
    </row>
    <row r="2691" spans="27:30" x14ac:dyDescent="0.3">
      <c r="AA2691" s="37">
        <v>2671</v>
      </c>
      <c r="AB2691" s="37">
        <v>1.7954205594139827</v>
      </c>
      <c r="AC2691" s="37">
        <v>2.9311291892729923</v>
      </c>
      <c r="AD2691" s="37">
        <v>3.1499616478084635</v>
      </c>
    </row>
    <row r="2692" spans="27:30" x14ac:dyDescent="0.3">
      <c r="AA2692" s="37">
        <v>2672</v>
      </c>
      <c r="AB2692" s="37">
        <v>1.7708361632804333</v>
      </c>
      <c r="AC2692" s="37">
        <v>2.7894757750849162</v>
      </c>
      <c r="AD2692" s="37">
        <v>3.2747572857725467</v>
      </c>
    </row>
    <row r="2693" spans="27:30" x14ac:dyDescent="0.3">
      <c r="AA2693" s="37">
        <v>2673</v>
      </c>
      <c r="AB2693" s="37">
        <v>1.7781283527315757</v>
      </c>
      <c r="AC2693" s="37">
        <v>2.9223588504890805</v>
      </c>
      <c r="AD2693" s="37">
        <v>3.411554182971519</v>
      </c>
    </row>
    <row r="2694" spans="27:30" x14ac:dyDescent="0.3">
      <c r="AA2694" s="37">
        <v>2674</v>
      </c>
      <c r="AB2694" s="37">
        <v>1.8015814176372322</v>
      </c>
      <c r="AC2694" s="37">
        <v>2.7666580346422718</v>
      </c>
      <c r="AD2694" s="37">
        <v>3.117889837125233</v>
      </c>
    </row>
    <row r="2695" spans="27:30" x14ac:dyDescent="0.3">
      <c r="AA2695" s="37">
        <v>2675</v>
      </c>
      <c r="AB2695" s="37">
        <v>1.7980608257281943</v>
      </c>
      <c r="AC2695" s="37">
        <v>2.8209194425752337</v>
      </c>
      <c r="AD2695" s="37">
        <v>3.2228757849559297</v>
      </c>
    </row>
    <row r="2696" spans="27:30" x14ac:dyDescent="0.3">
      <c r="AA2696" s="37">
        <v>2676</v>
      </c>
      <c r="AB2696" s="37">
        <v>1.8545706129331518</v>
      </c>
      <c r="AC2696" s="37">
        <v>2.8449918714939968</v>
      </c>
      <c r="AD2696" s="37">
        <v>3.420075178187004</v>
      </c>
    </row>
    <row r="2697" spans="27:30" x14ac:dyDescent="0.3">
      <c r="AA2697" s="37">
        <v>2677</v>
      </c>
      <c r="AB2697" s="37">
        <v>1.8254545724057956</v>
      </c>
      <c r="AC2697" s="37">
        <v>2.8654984238030887</v>
      </c>
      <c r="AD2697" s="37">
        <v>3.3795817881133488</v>
      </c>
    </row>
    <row r="2698" spans="27:30" x14ac:dyDescent="0.3">
      <c r="AA2698" s="37">
        <v>2678</v>
      </c>
      <c r="AB2698" s="37">
        <v>1.8422097119957925</v>
      </c>
      <c r="AC2698" s="37">
        <v>2.6923491747174859</v>
      </c>
      <c r="AD2698" s="37">
        <v>3.3730363551315201</v>
      </c>
    </row>
    <row r="2699" spans="27:30" x14ac:dyDescent="0.3">
      <c r="AA2699" s="37">
        <v>2679</v>
      </c>
      <c r="AB2699" s="37">
        <v>1.7911691228820195</v>
      </c>
      <c r="AC2699" s="37">
        <v>2.9138265682334006</v>
      </c>
      <c r="AD2699" s="37">
        <v>3.4011775800222805</v>
      </c>
    </row>
    <row r="2700" spans="27:30" x14ac:dyDescent="0.3">
      <c r="AA2700" s="37">
        <v>2680</v>
      </c>
      <c r="AB2700" s="37">
        <v>1.8876546076552898</v>
      </c>
      <c r="AC2700" s="37">
        <v>2.9112076121754122</v>
      </c>
      <c r="AD2700" s="37">
        <v>3.4719612149161838</v>
      </c>
    </row>
    <row r="2701" spans="27:30" x14ac:dyDescent="0.3">
      <c r="AA2701" s="37">
        <v>2681</v>
      </c>
      <c r="AB2701" s="37">
        <v>1.8481576136936542</v>
      </c>
      <c r="AC2701" s="37">
        <v>2.9128234041385226</v>
      </c>
      <c r="AD2701" s="37">
        <v>2.9639228652126102</v>
      </c>
    </row>
    <row r="2702" spans="27:30" x14ac:dyDescent="0.3">
      <c r="AA2702" s="37">
        <v>2682</v>
      </c>
      <c r="AB2702" s="37">
        <v>1.6784684841652953</v>
      </c>
      <c r="AC2702" s="37">
        <v>2.7899419549018303</v>
      </c>
      <c r="AD2702" s="37">
        <v>3.5296982452503385</v>
      </c>
    </row>
    <row r="2703" spans="27:30" x14ac:dyDescent="0.3">
      <c r="AA2703" s="37">
        <v>2683</v>
      </c>
      <c r="AB2703" s="37">
        <v>1.6875327589635942</v>
      </c>
      <c r="AC2703" s="37">
        <v>2.8749120030318722</v>
      </c>
      <c r="AD2703" s="37">
        <v>3.5262907014838878</v>
      </c>
    </row>
    <row r="2704" spans="27:30" x14ac:dyDescent="0.3">
      <c r="AA2704" s="37">
        <v>2684</v>
      </c>
      <c r="AB2704" s="37">
        <v>1.7124700950153329</v>
      </c>
      <c r="AC2704" s="37">
        <v>2.6670489671857269</v>
      </c>
      <c r="AD2704" s="37">
        <v>3.3311848298093056</v>
      </c>
    </row>
    <row r="2705" spans="27:30" x14ac:dyDescent="0.3">
      <c r="AA2705" s="37">
        <v>2685</v>
      </c>
      <c r="AB2705" s="37">
        <v>1.832774847524032</v>
      </c>
      <c r="AC2705" s="37">
        <v>2.8871662863178877</v>
      </c>
      <c r="AD2705" s="37">
        <v>3.4697764958247665</v>
      </c>
    </row>
    <row r="2706" spans="27:30" x14ac:dyDescent="0.3">
      <c r="AA2706" s="37">
        <v>2686</v>
      </c>
      <c r="AB2706" s="37">
        <v>1.7000177267941778</v>
      </c>
      <c r="AC2706" s="37">
        <v>2.6882628149576684</v>
      </c>
      <c r="AD2706" s="37">
        <v>3.3720507760292802</v>
      </c>
    </row>
    <row r="2707" spans="27:30" x14ac:dyDescent="0.3">
      <c r="AA2707" s="37">
        <v>2687</v>
      </c>
      <c r="AB2707" s="37">
        <v>1.7252607865621896</v>
      </c>
      <c r="AC2707" s="37">
        <v>2.9106348067871877</v>
      </c>
      <c r="AD2707" s="37">
        <v>3.1870912626591474</v>
      </c>
    </row>
    <row r="2708" spans="27:30" x14ac:dyDescent="0.3">
      <c r="AA2708" s="37">
        <v>2688</v>
      </c>
      <c r="AB2708" s="37">
        <v>1.8402882961228237</v>
      </c>
      <c r="AC2708" s="37">
        <v>2.6607562445775312</v>
      </c>
      <c r="AD2708" s="37">
        <v>3.3284144427969466</v>
      </c>
    </row>
    <row r="2709" spans="27:30" x14ac:dyDescent="0.3">
      <c r="AA2709" s="37">
        <v>2689</v>
      </c>
      <c r="AB2709" s="37">
        <v>1.7019231827529908</v>
      </c>
      <c r="AC2709" s="37">
        <v>2.8690514016791764</v>
      </c>
      <c r="AD2709" s="37">
        <v>3.3782223516278549</v>
      </c>
    </row>
    <row r="2710" spans="27:30" x14ac:dyDescent="0.3">
      <c r="AA2710" s="37">
        <v>2690</v>
      </c>
      <c r="AB2710" s="37">
        <v>1.9046365421035327</v>
      </c>
      <c r="AC2710" s="37">
        <v>2.952856752058389</v>
      </c>
      <c r="AD2710" s="37">
        <v>3.3112213346881179</v>
      </c>
    </row>
    <row r="2711" spans="27:30" x14ac:dyDescent="0.3">
      <c r="AA2711" s="37">
        <v>2691</v>
      </c>
      <c r="AB2711" s="37">
        <v>1.7874144337951356</v>
      </c>
      <c r="AC2711" s="37">
        <v>2.8397409781324736</v>
      </c>
      <c r="AD2711" s="37">
        <v>3.5126589162711643</v>
      </c>
    </row>
    <row r="2712" spans="27:30" x14ac:dyDescent="0.3">
      <c r="AA2712" s="37">
        <v>2692</v>
      </c>
      <c r="AB2712" s="37">
        <v>1.8727011452783797</v>
      </c>
      <c r="AC2712" s="37">
        <v>2.7678943253513597</v>
      </c>
      <c r="AD2712" s="37">
        <v>3.4011473410228561</v>
      </c>
    </row>
    <row r="2713" spans="27:30" x14ac:dyDescent="0.3">
      <c r="AA2713" s="37">
        <v>2693</v>
      </c>
      <c r="AB2713" s="37">
        <v>1.7812201146757785</v>
      </c>
      <c r="AC2713" s="37">
        <v>3.0149595059463747</v>
      </c>
      <c r="AD2713" s="37">
        <v>3.3716610110824825</v>
      </c>
    </row>
    <row r="2714" spans="27:30" x14ac:dyDescent="0.3">
      <c r="AA2714" s="37">
        <v>2694</v>
      </c>
      <c r="AB2714" s="37">
        <v>1.8180294359343032</v>
      </c>
      <c r="AC2714" s="37">
        <v>2.8221127985391865</v>
      </c>
      <c r="AD2714" s="37">
        <v>3.1873556789351922</v>
      </c>
    </row>
    <row r="2715" spans="27:30" x14ac:dyDescent="0.3">
      <c r="AA2715" s="37">
        <v>2695</v>
      </c>
      <c r="AB2715" s="37">
        <v>1.9633952212779846</v>
      </c>
      <c r="AC2715" s="37">
        <v>2.9913103000195527</v>
      </c>
      <c r="AD2715" s="37">
        <v>3.2043347857719753</v>
      </c>
    </row>
    <row r="2716" spans="27:30" x14ac:dyDescent="0.3">
      <c r="AA2716" s="37">
        <v>2696</v>
      </c>
      <c r="AB2716" s="37">
        <v>1.7186412647326648</v>
      </c>
      <c r="AC2716" s="37">
        <v>3.002148621703824</v>
      </c>
      <c r="AD2716" s="37">
        <v>3.3064572653505917</v>
      </c>
    </row>
    <row r="2717" spans="27:30" x14ac:dyDescent="0.3">
      <c r="AA2717" s="37">
        <v>2697</v>
      </c>
      <c r="AB2717" s="37">
        <v>1.863444184044021</v>
      </c>
      <c r="AC2717" s="37">
        <v>2.7674236119128492</v>
      </c>
      <c r="AD2717" s="37">
        <v>3.3950938568977769</v>
      </c>
    </row>
    <row r="2718" spans="27:30" x14ac:dyDescent="0.3">
      <c r="AA2718" s="37">
        <v>2698</v>
      </c>
      <c r="AB2718" s="37">
        <v>1.802166448423363</v>
      </c>
      <c r="AC2718" s="37">
        <v>3.0433877285513899</v>
      </c>
      <c r="AD2718" s="37">
        <v>3.2835529750095667</v>
      </c>
    </row>
    <row r="2719" spans="27:30" x14ac:dyDescent="0.3">
      <c r="AA2719" s="37">
        <v>2699</v>
      </c>
      <c r="AB2719" s="37">
        <v>1.8360894196320281</v>
      </c>
      <c r="AC2719" s="37">
        <v>2.8642457540087061</v>
      </c>
      <c r="AD2719" s="37">
        <v>3.6694648521036788</v>
      </c>
    </row>
    <row r="2720" spans="27:30" x14ac:dyDescent="0.3">
      <c r="AA2720" s="37">
        <v>2700</v>
      </c>
      <c r="AB2720" s="37">
        <v>1.8625122980440023</v>
      </c>
      <c r="AC2720" s="37">
        <v>2.8507976024380195</v>
      </c>
      <c r="AD2720" s="37">
        <v>3.4331239378704614</v>
      </c>
    </row>
    <row r="2721" spans="27:30" x14ac:dyDescent="0.3">
      <c r="AA2721" s="37">
        <v>2701</v>
      </c>
      <c r="AB2721" s="37">
        <v>1.8107619497458987</v>
      </c>
      <c r="AC2721" s="37">
        <v>2.7678669931206352</v>
      </c>
      <c r="AD2721" s="37">
        <v>3.2582863141165634</v>
      </c>
    </row>
    <row r="2722" spans="27:30" x14ac:dyDescent="0.3">
      <c r="AA2722" s="37">
        <v>2702</v>
      </c>
      <c r="AB2722" s="37">
        <v>1.749294018026667</v>
      </c>
      <c r="AC2722" s="37">
        <v>2.7274919300310132</v>
      </c>
      <c r="AD2722" s="37">
        <v>3.2306586610851866</v>
      </c>
    </row>
    <row r="2723" spans="27:30" x14ac:dyDescent="0.3">
      <c r="AA2723" s="37">
        <v>2703</v>
      </c>
      <c r="AB2723" s="37">
        <v>1.8293937169870915</v>
      </c>
      <c r="AC2723" s="37">
        <v>3.0095394682548533</v>
      </c>
      <c r="AD2723" s="37">
        <v>3.1846979284586414</v>
      </c>
    </row>
    <row r="2724" spans="27:30" x14ac:dyDescent="0.3">
      <c r="AA2724" s="37">
        <v>2704</v>
      </c>
      <c r="AB2724" s="37">
        <v>1.8010187510660054</v>
      </c>
      <c r="AC2724" s="37">
        <v>2.9601791338751635</v>
      </c>
      <c r="AD2724" s="37">
        <v>3.2833225267435191</v>
      </c>
    </row>
    <row r="2725" spans="27:30" x14ac:dyDescent="0.3">
      <c r="AA2725" s="37">
        <v>2705</v>
      </c>
      <c r="AB2725" s="37">
        <v>1.839075915383684</v>
      </c>
      <c r="AC2725" s="37">
        <v>2.9000875250566631</v>
      </c>
      <c r="AD2725" s="37">
        <v>3.2214556482094201</v>
      </c>
    </row>
    <row r="2726" spans="27:30" x14ac:dyDescent="0.3">
      <c r="AA2726" s="37">
        <v>2706</v>
      </c>
      <c r="AB2726" s="37">
        <v>1.9167770284636829</v>
      </c>
      <c r="AC2726" s="37">
        <v>2.8909702853355057</v>
      </c>
      <c r="AD2726" s="37">
        <v>3.4229946557274027</v>
      </c>
    </row>
    <row r="2727" spans="27:30" x14ac:dyDescent="0.3">
      <c r="AA2727" s="37">
        <v>2707</v>
      </c>
      <c r="AB2727" s="37">
        <v>1.8581427261002998</v>
      </c>
      <c r="AC2727" s="37">
        <v>2.7528143306596227</v>
      </c>
      <c r="AD2727" s="37">
        <v>3.3335935570499196</v>
      </c>
    </row>
    <row r="2728" spans="27:30" x14ac:dyDescent="0.3">
      <c r="AA2728" s="37">
        <v>2708</v>
      </c>
      <c r="AB2728" s="37">
        <v>1.7791703393270708</v>
      </c>
      <c r="AC2728" s="37">
        <v>2.9952129659034354</v>
      </c>
      <c r="AD2728" s="37">
        <v>3.3219020146183125</v>
      </c>
    </row>
    <row r="2729" spans="27:30" x14ac:dyDescent="0.3">
      <c r="AA2729" s="37">
        <v>2709</v>
      </c>
      <c r="AB2729" s="37">
        <v>1.7586899685790049</v>
      </c>
      <c r="AC2729" s="37">
        <v>2.8760472559324479</v>
      </c>
      <c r="AD2729" s="37">
        <v>3.3226445330325487</v>
      </c>
    </row>
    <row r="2730" spans="27:30" x14ac:dyDescent="0.3">
      <c r="AA2730" s="37">
        <v>2710</v>
      </c>
      <c r="AB2730" s="37">
        <v>1.7343932263119795</v>
      </c>
      <c r="AC2730" s="37">
        <v>2.6514515584346512</v>
      </c>
      <c r="AD2730" s="37">
        <v>3.3599292747019258</v>
      </c>
    </row>
    <row r="2731" spans="27:30" x14ac:dyDescent="0.3">
      <c r="AA2731" s="37">
        <v>2711</v>
      </c>
      <c r="AB2731" s="37">
        <v>1.7934287914646452</v>
      </c>
      <c r="AC2731" s="37">
        <v>2.790824906068945</v>
      </c>
      <c r="AD2731" s="37">
        <v>3.2372116497667318</v>
      </c>
    </row>
    <row r="2732" spans="27:30" x14ac:dyDescent="0.3">
      <c r="AA2732" s="37">
        <v>2712</v>
      </c>
      <c r="AB2732" s="37">
        <v>1.8595906458089391</v>
      </c>
      <c r="AC2732" s="37">
        <v>2.8246058057393366</v>
      </c>
      <c r="AD2732" s="37">
        <v>3.1779900718982299</v>
      </c>
    </row>
    <row r="2733" spans="27:30" x14ac:dyDescent="0.3">
      <c r="AA2733" s="37">
        <v>2713</v>
      </c>
      <c r="AB2733" s="37">
        <v>1.7961034176472872</v>
      </c>
      <c r="AC2733" s="37">
        <v>2.8496662145305431</v>
      </c>
      <c r="AD2733" s="37">
        <v>3.5464629124181735</v>
      </c>
    </row>
    <row r="2734" spans="27:30" x14ac:dyDescent="0.3">
      <c r="AA2734" s="37">
        <v>2714</v>
      </c>
      <c r="AB2734" s="37">
        <v>1.7855076139790333</v>
      </c>
      <c r="AC2734" s="37">
        <v>2.7895955554967893</v>
      </c>
      <c r="AD2734" s="37">
        <v>3.303173939394672</v>
      </c>
    </row>
    <row r="2735" spans="27:30" x14ac:dyDescent="0.3">
      <c r="AA2735" s="37">
        <v>2715</v>
      </c>
      <c r="AB2735" s="37">
        <v>1.737290890543383</v>
      </c>
      <c r="AC2735" s="37">
        <v>2.9070222031439594</v>
      </c>
      <c r="AD2735" s="37">
        <v>3.3963124478146152</v>
      </c>
    </row>
    <row r="2736" spans="27:30" x14ac:dyDescent="0.3">
      <c r="AA2736" s="37">
        <v>2716</v>
      </c>
      <c r="AB2736" s="37">
        <v>1.7267894177920524</v>
      </c>
      <c r="AC2736" s="37">
        <v>2.7195752578409222</v>
      </c>
      <c r="AD2736" s="37">
        <v>3.4885824379952104</v>
      </c>
    </row>
    <row r="2737" spans="27:30" x14ac:dyDescent="0.3">
      <c r="AA2737" s="37">
        <v>2717</v>
      </c>
      <c r="AB2737" s="37">
        <v>1.7963244794033228</v>
      </c>
      <c r="AC2737" s="37">
        <v>2.8027316212443991</v>
      </c>
      <c r="AD2737" s="37">
        <v>3.2463169712765367</v>
      </c>
    </row>
    <row r="2738" spans="27:30" x14ac:dyDescent="0.3">
      <c r="AA2738" s="37">
        <v>2718</v>
      </c>
      <c r="AB2738" s="37">
        <v>1.7777379201387884</v>
      </c>
      <c r="AC2738" s="37">
        <v>2.7798588501086154</v>
      </c>
      <c r="AD2738" s="37">
        <v>3.2858556869835378</v>
      </c>
    </row>
    <row r="2739" spans="27:30" x14ac:dyDescent="0.3">
      <c r="AA2739" s="37">
        <v>2719</v>
      </c>
      <c r="AB2739" s="37">
        <v>1.6913141045303841</v>
      </c>
      <c r="AC2739" s="37">
        <v>2.7423272290667793</v>
      </c>
      <c r="AD2739" s="37">
        <v>3.2965504417108251</v>
      </c>
    </row>
    <row r="2740" spans="27:30" x14ac:dyDescent="0.3">
      <c r="AA2740" s="37">
        <v>2720</v>
      </c>
      <c r="AB2740" s="37">
        <v>1.7443498433243894</v>
      </c>
      <c r="AC2740" s="37">
        <v>2.8641268014623491</v>
      </c>
      <c r="AD2740" s="37">
        <v>3.2739817160805007</v>
      </c>
    </row>
    <row r="2741" spans="27:30" x14ac:dyDescent="0.3">
      <c r="AA2741" s="37">
        <v>2721</v>
      </c>
      <c r="AB2741" s="37">
        <v>1.8478082795631741</v>
      </c>
      <c r="AC2741" s="37">
        <v>2.8048234883819103</v>
      </c>
      <c r="AD2741" s="37">
        <v>3.3031414059109112</v>
      </c>
    </row>
    <row r="2742" spans="27:30" x14ac:dyDescent="0.3">
      <c r="AA2742" s="37">
        <v>2722</v>
      </c>
      <c r="AB2742" s="37">
        <v>1.926683352638195</v>
      </c>
      <c r="AC2742" s="37">
        <v>2.7756879083527388</v>
      </c>
      <c r="AD2742" s="37">
        <v>3.1583200796790538</v>
      </c>
    </row>
    <row r="2743" spans="27:30" x14ac:dyDescent="0.3">
      <c r="AA2743" s="37">
        <v>2723</v>
      </c>
      <c r="AB2743" s="37">
        <v>1.7576125207264304</v>
      </c>
      <c r="AC2743" s="37">
        <v>2.9587091955412221</v>
      </c>
      <c r="AD2743" s="37">
        <v>3.3008905139140201</v>
      </c>
    </row>
    <row r="2744" spans="27:30" x14ac:dyDescent="0.3">
      <c r="AA2744" s="37">
        <v>2724</v>
      </c>
      <c r="AB2744" s="37">
        <v>1.7294084865192865</v>
      </c>
      <c r="AC2744" s="37">
        <v>2.8845190067546058</v>
      </c>
      <c r="AD2744" s="37">
        <v>3.1097275384216396</v>
      </c>
    </row>
    <row r="2745" spans="27:30" x14ac:dyDescent="0.3">
      <c r="AA2745" s="37">
        <v>2725</v>
      </c>
      <c r="AB2745" s="37">
        <v>1.6928978082243267</v>
      </c>
      <c r="AC2745" s="37">
        <v>2.7291408877060395</v>
      </c>
      <c r="AD2745" s="37">
        <v>3.4736780755424475</v>
      </c>
    </row>
    <row r="2746" spans="27:30" x14ac:dyDescent="0.3">
      <c r="AA2746" s="37">
        <v>2726</v>
      </c>
      <c r="AB2746" s="37">
        <v>1.748735429688633</v>
      </c>
      <c r="AC2746" s="37">
        <v>2.7291747802573165</v>
      </c>
      <c r="AD2746" s="37">
        <v>3.4117423518680701</v>
      </c>
    </row>
    <row r="2747" spans="27:30" x14ac:dyDescent="0.3">
      <c r="AA2747" s="37">
        <v>2727</v>
      </c>
      <c r="AB2747" s="37">
        <v>1.9139713327682164</v>
      </c>
      <c r="AC2747" s="37">
        <v>2.809148938323319</v>
      </c>
      <c r="AD2747" s="37">
        <v>3.7212518336263605</v>
      </c>
    </row>
    <row r="2748" spans="27:30" x14ac:dyDescent="0.3">
      <c r="AA2748" s="37">
        <v>2728</v>
      </c>
      <c r="AB2748" s="37">
        <v>1.9071512156458454</v>
      </c>
      <c r="AC2748" s="37">
        <v>2.9277933777355027</v>
      </c>
      <c r="AD2748" s="37">
        <v>3.2190369293049392</v>
      </c>
    </row>
    <row r="2749" spans="27:30" x14ac:dyDescent="0.3">
      <c r="AA2749" s="37">
        <v>2729</v>
      </c>
      <c r="AB2749" s="37">
        <v>1.9093697083674841</v>
      </c>
      <c r="AC2749" s="37">
        <v>2.8376111066995762</v>
      </c>
      <c r="AD2749" s="37">
        <v>3.3957144019559582</v>
      </c>
    </row>
    <row r="2750" spans="27:30" x14ac:dyDescent="0.3">
      <c r="AA2750" s="37">
        <v>2730</v>
      </c>
      <c r="AB2750" s="37">
        <v>1.7951673974200206</v>
      </c>
      <c r="AC2750" s="37">
        <v>3.0094235902953188</v>
      </c>
      <c r="AD2750" s="37">
        <v>3.1667023380982613</v>
      </c>
    </row>
    <row r="2751" spans="27:30" x14ac:dyDescent="0.3">
      <c r="AA2751" s="37">
        <v>2731</v>
      </c>
      <c r="AB2751" s="37">
        <v>1.7085330476835303</v>
      </c>
      <c r="AC2751" s="37">
        <v>2.7587553953222272</v>
      </c>
      <c r="AD2751" s="37">
        <v>3.4810944490975499</v>
      </c>
    </row>
    <row r="2752" spans="27:30" x14ac:dyDescent="0.3">
      <c r="AA2752" s="37">
        <v>2732</v>
      </c>
      <c r="AB2752" s="37">
        <v>1.7658106497512529</v>
      </c>
      <c r="AC2752" s="37">
        <v>2.8609759852853669</v>
      </c>
      <c r="AD2752" s="37">
        <v>3.3676656886774277</v>
      </c>
    </row>
    <row r="2753" spans="27:30" x14ac:dyDescent="0.3">
      <c r="AA2753" s="37">
        <v>2733</v>
      </c>
      <c r="AB2753" s="37">
        <v>1.7196968528554233</v>
      </c>
      <c r="AC2753" s="37">
        <v>2.8622086202750676</v>
      </c>
      <c r="AD2753" s="37">
        <v>3.3342296692832885</v>
      </c>
    </row>
    <row r="2754" spans="27:30" x14ac:dyDescent="0.3">
      <c r="AA2754" s="37">
        <v>2734</v>
      </c>
      <c r="AB2754" s="37">
        <v>1.837743231845169</v>
      </c>
      <c r="AC2754" s="37">
        <v>2.9254241357828312</v>
      </c>
      <c r="AD2754" s="37">
        <v>3.2991510642983339</v>
      </c>
    </row>
    <row r="2755" spans="27:30" x14ac:dyDescent="0.3">
      <c r="AA2755" s="37">
        <v>2735</v>
      </c>
      <c r="AB2755" s="37">
        <v>1.7925006082492261</v>
      </c>
      <c r="AC2755" s="37">
        <v>2.8641426685885967</v>
      </c>
      <c r="AD2755" s="37">
        <v>3.6093694668996603</v>
      </c>
    </row>
    <row r="2756" spans="27:30" x14ac:dyDescent="0.3">
      <c r="AA2756" s="37">
        <v>2736</v>
      </c>
      <c r="AB2756" s="37">
        <v>1.8361666074777871</v>
      </c>
      <c r="AC2756" s="37">
        <v>2.8991949944498443</v>
      </c>
      <c r="AD2756" s="37">
        <v>3.070216187600693</v>
      </c>
    </row>
    <row r="2757" spans="27:30" x14ac:dyDescent="0.3">
      <c r="AA2757" s="37">
        <v>2737</v>
      </c>
      <c r="AB2757" s="37">
        <v>1.8009888818135273</v>
      </c>
      <c r="AC2757" s="37">
        <v>2.8926213469151971</v>
      </c>
      <c r="AD2757" s="37">
        <v>3.4743621537791811</v>
      </c>
    </row>
    <row r="2758" spans="27:30" x14ac:dyDescent="0.3">
      <c r="AA2758" s="37">
        <v>2738</v>
      </c>
      <c r="AB2758" s="37">
        <v>1.8281733353790048</v>
      </c>
      <c r="AC2758" s="37">
        <v>2.8623492375619075</v>
      </c>
      <c r="AD2758" s="37">
        <v>3.4807207839421435</v>
      </c>
    </row>
    <row r="2759" spans="27:30" x14ac:dyDescent="0.3">
      <c r="AA2759" s="37">
        <v>2739</v>
      </c>
      <c r="AB2759" s="37">
        <v>1.7399611353545879</v>
      </c>
      <c r="AC2759" s="37">
        <v>2.7632433118427224</v>
      </c>
      <c r="AD2759" s="37">
        <v>3.2125484908495232</v>
      </c>
    </row>
    <row r="2760" spans="27:30" x14ac:dyDescent="0.3">
      <c r="AA2760" s="37">
        <v>2740</v>
      </c>
      <c r="AB2760" s="37">
        <v>1.7866797870453712</v>
      </c>
      <c r="AC2760" s="37">
        <v>2.7823487347632261</v>
      </c>
      <c r="AD2760" s="37">
        <v>3.3283327792287429</v>
      </c>
    </row>
    <row r="2761" spans="27:30" x14ac:dyDescent="0.3">
      <c r="AA2761" s="37">
        <v>2741</v>
      </c>
      <c r="AB2761" s="37">
        <v>1.731537509009945</v>
      </c>
      <c r="AC2761" s="37">
        <v>2.8928528278856187</v>
      </c>
      <c r="AD2761" s="37">
        <v>3.3521190741310476</v>
      </c>
    </row>
    <row r="2762" spans="27:30" x14ac:dyDescent="0.3">
      <c r="AA2762" s="37">
        <v>2742</v>
      </c>
      <c r="AB2762" s="37">
        <v>1.7446833507334198</v>
      </c>
      <c r="AC2762" s="37">
        <v>2.737563518511589</v>
      </c>
      <c r="AD2762" s="37">
        <v>3.3154085932851101</v>
      </c>
    </row>
    <row r="2763" spans="27:30" x14ac:dyDescent="0.3">
      <c r="AA2763" s="37">
        <v>2743</v>
      </c>
      <c r="AB2763" s="37">
        <v>1.6938465529071383</v>
      </c>
      <c r="AC2763" s="37">
        <v>2.8195134703295612</v>
      </c>
      <c r="AD2763" s="37">
        <v>3.1468584601526457</v>
      </c>
    </row>
    <row r="2764" spans="27:30" x14ac:dyDescent="0.3">
      <c r="AA2764" s="37">
        <v>2744</v>
      </c>
      <c r="AB2764" s="37">
        <v>1.8364218546837376</v>
      </c>
      <c r="AC2764" s="37">
        <v>2.872390008597999</v>
      </c>
      <c r="AD2764" s="37">
        <v>3.3084006046505983</v>
      </c>
    </row>
    <row r="2765" spans="27:30" x14ac:dyDescent="0.3">
      <c r="AA2765" s="37">
        <v>2745</v>
      </c>
      <c r="AB2765" s="37">
        <v>1.8823483400365071</v>
      </c>
      <c r="AC2765" s="37">
        <v>2.7472910479815971</v>
      </c>
      <c r="AD2765" s="37">
        <v>3.214972592460728</v>
      </c>
    </row>
    <row r="2766" spans="27:30" x14ac:dyDescent="0.3">
      <c r="AA2766" s="37">
        <v>2746</v>
      </c>
      <c r="AB2766" s="37">
        <v>1.8308254869027076</v>
      </c>
      <c r="AC2766" s="37">
        <v>3.0223631320915545</v>
      </c>
      <c r="AD2766" s="37">
        <v>3.2820919741528276</v>
      </c>
    </row>
    <row r="2767" spans="27:30" x14ac:dyDescent="0.3">
      <c r="AA2767" s="37">
        <v>2747</v>
      </c>
      <c r="AB2767" s="37">
        <v>1.8385674961071266</v>
      </c>
      <c r="AC2767" s="37">
        <v>2.980058668261548</v>
      </c>
      <c r="AD2767" s="37">
        <v>3.3700676917051275</v>
      </c>
    </row>
    <row r="2768" spans="27:30" x14ac:dyDescent="0.3">
      <c r="AA2768" s="37">
        <v>2748</v>
      </c>
      <c r="AB2768" s="37">
        <v>1.7085245137232012</v>
      </c>
      <c r="AC2768" s="37">
        <v>3.0204981561241238</v>
      </c>
      <c r="AD2768" s="37">
        <v>3.2838658562269898</v>
      </c>
    </row>
    <row r="2769" spans="27:30" x14ac:dyDescent="0.3">
      <c r="AA2769" s="37">
        <v>2749</v>
      </c>
      <c r="AB2769" s="37">
        <v>1.7600848381361993</v>
      </c>
      <c r="AC2769" s="37">
        <v>2.9159337029067709</v>
      </c>
      <c r="AD2769" s="37">
        <v>3.2692461088985851</v>
      </c>
    </row>
    <row r="2770" spans="27:30" x14ac:dyDescent="0.3">
      <c r="AA2770" s="37">
        <v>2750</v>
      </c>
      <c r="AB2770" s="37">
        <v>1.7871837068320273</v>
      </c>
      <c r="AC2770" s="37">
        <v>2.6768813395367794</v>
      </c>
      <c r="AD2770" s="37">
        <v>3.2580914029136112</v>
      </c>
    </row>
    <row r="2771" spans="27:30" x14ac:dyDescent="0.3">
      <c r="AA2771" s="37">
        <v>2751</v>
      </c>
      <c r="AB2771" s="37">
        <v>1.9263378248401266</v>
      </c>
      <c r="AC2771" s="37">
        <v>2.7937589381383203</v>
      </c>
      <c r="AD2771" s="37">
        <v>3.4723877045962706</v>
      </c>
    </row>
    <row r="2772" spans="27:30" x14ac:dyDescent="0.3">
      <c r="AA2772" s="37">
        <v>2752</v>
      </c>
      <c r="AB2772" s="37">
        <v>1.8211495526184307</v>
      </c>
      <c r="AC2772" s="37">
        <v>2.7360731896149932</v>
      </c>
      <c r="AD2772" s="37">
        <v>3.5252516729717054</v>
      </c>
    </row>
    <row r="2773" spans="27:30" x14ac:dyDescent="0.3">
      <c r="AA2773" s="37">
        <v>2753</v>
      </c>
      <c r="AB2773" s="37">
        <v>1.8481286162260153</v>
      </c>
      <c r="AC2773" s="37">
        <v>2.8587456710456887</v>
      </c>
      <c r="AD2773" s="37">
        <v>3.6223956780689988</v>
      </c>
    </row>
    <row r="2774" spans="27:30" x14ac:dyDescent="0.3">
      <c r="AA2774" s="37">
        <v>2754</v>
      </c>
      <c r="AB2774" s="37">
        <v>1.8742106562464762</v>
      </c>
      <c r="AC2774" s="37">
        <v>2.7637350989127722</v>
      </c>
      <c r="AD2774" s="37">
        <v>3.3830058996810344</v>
      </c>
    </row>
    <row r="2775" spans="27:30" x14ac:dyDescent="0.3">
      <c r="AA2775" s="37">
        <v>2755</v>
      </c>
      <c r="AB2775" s="37">
        <v>1.86164844976762</v>
      </c>
      <c r="AC2775" s="37">
        <v>2.898584774400236</v>
      </c>
      <c r="AD2775" s="37">
        <v>3.3018727899117652</v>
      </c>
    </row>
    <row r="2776" spans="27:30" x14ac:dyDescent="0.3">
      <c r="AA2776" s="37">
        <v>2756</v>
      </c>
      <c r="AB2776" s="37">
        <v>1.7392610962767736</v>
      </c>
      <c r="AC2776" s="37">
        <v>2.9694731229604288</v>
      </c>
      <c r="AD2776" s="37">
        <v>3.2439185430355315</v>
      </c>
    </row>
    <row r="2777" spans="27:30" x14ac:dyDescent="0.3">
      <c r="AA2777" s="37">
        <v>2757</v>
      </c>
      <c r="AB2777" s="37">
        <v>1.7887596203179477</v>
      </c>
      <c r="AC2777" s="37">
        <v>2.7294948028819768</v>
      </c>
      <c r="AD2777" s="37">
        <v>3.4401201509533195</v>
      </c>
    </row>
    <row r="2778" spans="27:30" x14ac:dyDescent="0.3">
      <c r="AA2778" s="37">
        <v>2758</v>
      </c>
      <c r="AB2778" s="37">
        <v>1.6891025156524277</v>
      </c>
      <c r="AC2778" s="37">
        <v>2.7742865504116674</v>
      </c>
      <c r="AD2778" s="37">
        <v>3.4345244964760564</v>
      </c>
    </row>
    <row r="2779" spans="27:30" x14ac:dyDescent="0.3">
      <c r="AA2779" s="37">
        <v>2759</v>
      </c>
      <c r="AB2779" s="37">
        <v>1.6427779514572396</v>
      </c>
      <c r="AC2779" s="37">
        <v>2.8936680878146288</v>
      </c>
      <c r="AD2779" s="37">
        <v>3.3471018939493513</v>
      </c>
    </row>
    <row r="2780" spans="27:30" x14ac:dyDescent="0.3">
      <c r="AA2780" s="37">
        <v>2760</v>
      </c>
      <c r="AB2780" s="37">
        <v>1.7662072751980304</v>
      </c>
      <c r="AC2780" s="37">
        <v>2.8765157305993179</v>
      </c>
      <c r="AD2780" s="37">
        <v>3.2463260472375159</v>
      </c>
    </row>
    <row r="2781" spans="27:30" x14ac:dyDescent="0.3">
      <c r="AA2781" s="37">
        <v>2761</v>
      </c>
      <c r="AB2781" s="37">
        <v>1.7503725442879943</v>
      </c>
      <c r="AC2781" s="37">
        <v>2.7641462929758229</v>
      </c>
      <c r="AD2781" s="37">
        <v>3.5232976259007796</v>
      </c>
    </row>
    <row r="2782" spans="27:30" x14ac:dyDescent="0.3">
      <c r="AA2782" s="37">
        <v>2762</v>
      </c>
      <c r="AB2782" s="37">
        <v>1.7508182744191585</v>
      </c>
      <c r="AC2782" s="37">
        <v>3.0327412532405562</v>
      </c>
      <c r="AD2782" s="37">
        <v>3.4808757484038209</v>
      </c>
    </row>
    <row r="2783" spans="27:30" x14ac:dyDescent="0.3">
      <c r="AA2783" s="37">
        <v>2763</v>
      </c>
      <c r="AB2783" s="37">
        <v>1.7799230381467617</v>
      </c>
      <c r="AC2783" s="37">
        <v>2.6286499989328727</v>
      </c>
      <c r="AD2783" s="37">
        <v>3.619102164806443</v>
      </c>
    </row>
    <row r="2784" spans="27:30" x14ac:dyDescent="0.3">
      <c r="AA2784" s="37">
        <v>2764</v>
      </c>
      <c r="AB2784" s="37">
        <v>1.740262646214336</v>
      </c>
      <c r="AC2784" s="37">
        <v>2.8599334818660984</v>
      </c>
      <c r="AD2784" s="37">
        <v>3.4237615738138465</v>
      </c>
    </row>
    <row r="2785" spans="27:30" x14ac:dyDescent="0.3">
      <c r="AA2785" s="37">
        <v>2765</v>
      </c>
      <c r="AB2785" s="37">
        <v>1.806792961971986</v>
      </c>
      <c r="AC2785" s="37">
        <v>2.8024907743871905</v>
      </c>
      <c r="AD2785" s="37">
        <v>3.4353645905274912</v>
      </c>
    </row>
    <row r="2786" spans="27:30" x14ac:dyDescent="0.3">
      <c r="AA2786" s="37">
        <v>2766</v>
      </c>
      <c r="AB2786" s="37">
        <v>1.9257295325210098</v>
      </c>
      <c r="AC2786" s="37">
        <v>2.8964679802162494</v>
      </c>
      <c r="AD2786" s="37">
        <v>3.3160288514791394</v>
      </c>
    </row>
    <row r="2787" spans="27:30" x14ac:dyDescent="0.3">
      <c r="AA2787" s="37">
        <v>2767</v>
      </c>
      <c r="AB2787" s="37">
        <v>1.8130097749998582</v>
      </c>
      <c r="AC2787" s="37">
        <v>2.5543142407604105</v>
      </c>
      <c r="AD2787" s="37">
        <v>3.1628729412008152</v>
      </c>
    </row>
    <row r="2788" spans="27:30" x14ac:dyDescent="0.3">
      <c r="AA2788" s="37">
        <v>2768</v>
      </c>
      <c r="AB2788" s="37">
        <v>1.8412339112634992</v>
      </c>
      <c r="AC2788" s="37">
        <v>2.884108771077635</v>
      </c>
      <c r="AD2788" s="37">
        <v>3.3763830038670761</v>
      </c>
    </row>
    <row r="2789" spans="27:30" x14ac:dyDescent="0.3">
      <c r="AA2789" s="37">
        <v>2769</v>
      </c>
      <c r="AB2789" s="37">
        <v>1.9223527050176865</v>
      </c>
      <c r="AC2789" s="37">
        <v>3.0792930279099124</v>
      </c>
      <c r="AD2789" s="37">
        <v>3.2697476414231681</v>
      </c>
    </row>
    <row r="2790" spans="27:30" x14ac:dyDescent="0.3">
      <c r="AA2790" s="37">
        <v>2770</v>
      </c>
      <c r="AB2790" s="37">
        <v>1.8543514563063488</v>
      </c>
      <c r="AC2790" s="37">
        <v>2.8685824609045207</v>
      </c>
      <c r="AD2790" s="37">
        <v>3.1866566170509283</v>
      </c>
    </row>
    <row r="2791" spans="27:30" x14ac:dyDescent="0.3">
      <c r="AA2791" s="37">
        <v>2771</v>
      </c>
      <c r="AB2791" s="37">
        <v>1.8115626350331842</v>
      </c>
      <c r="AC2791" s="37">
        <v>2.8111195236308877</v>
      </c>
      <c r="AD2791" s="37">
        <v>3.3716877995278423</v>
      </c>
    </row>
    <row r="2792" spans="27:30" x14ac:dyDescent="0.3">
      <c r="AA2792" s="37">
        <v>2772</v>
      </c>
      <c r="AB2792" s="37">
        <v>1.8627106920775416</v>
      </c>
      <c r="AC2792" s="37">
        <v>2.8934271030272285</v>
      </c>
      <c r="AD2792" s="37">
        <v>3.3592299568578587</v>
      </c>
    </row>
    <row r="2793" spans="27:30" x14ac:dyDescent="0.3">
      <c r="AA2793" s="37">
        <v>2773</v>
      </c>
      <c r="AB2793" s="37">
        <v>1.8084236732909018</v>
      </c>
      <c r="AC2793" s="37">
        <v>2.8290025093722417</v>
      </c>
      <c r="AD2793" s="37">
        <v>3.3901237058534939</v>
      </c>
    </row>
    <row r="2794" spans="27:30" x14ac:dyDescent="0.3">
      <c r="AA2794" s="37">
        <v>2774</v>
      </c>
      <c r="AB2794" s="37">
        <v>1.908781672083993</v>
      </c>
      <c r="AC2794" s="37">
        <v>2.8118177521258541</v>
      </c>
      <c r="AD2794" s="37">
        <v>3.3961581379512342</v>
      </c>
    </row>
    <row r="2795" spans="27:30" x14ac:dyDescent="0.3">
      <c r="AA2795" s="37">
        <v>2775</v>
      </c>
      <c r="AB2795" s="37">
        <v>1.8975340408704608</v>
      </c>
      <c r="AC2795" s="37">
        <v>2.9959701137416843</v>
      </c>
      <c r="AD2795" s="37">
        <v>3.2600968904605003</v>
      </c>
    </row>
    <row r="2796" spans="27:30" x14ac:dyDescent="0.3">
      <c r="AA2796" s="37">
        <v>2776</v>
      </c>
      <c r="AB2796" s="37">
        <v>1.7183481517371493</v>
      </c>
      <c r="AC2796" s="37">
        <v>2.9030331428374145</v>
      </c>
      <c r="AD2796" s="37">
        <v>3.3091239608804353</v>
      </c>
    </row>
    <row r="2797" spans="27:30" x14ac:dyDescent="0.3">
      <c r="AA2797" s="37">
        <v>2777</v>
      </c>
      <c r="AB2797" s="37">
        <v>1.8058554986134907</v>
      </c>
      <c r="AC2797" s="37">
        <v>2.9075192851771878</v>
      </c>
      <c r="AD2797" s="37">
        <v>3.31027905134559</v>
      </c>
    </row>
    <row r="2798" spans="27:30" x14ac:dyDescent="0.3">
      <c r="AA2798" s="37">
        <v>2778</v>
      </c>
      <c r="AB2798" s="37">
        <v>1.6806264108526208</v>
      </c>
      <c r="AC2798" s="37">
        <v>2.8695640967059752</v>
      </c>
      <c r="AD2798" s="37">
        <v>3.4380638147000724</v>
      </c>
    </row>
    <row r="2799" spans="27:30" x14ac:dyDescent="0.3">
      <c r="AA2799" s="37">
        <v>2779</v>
      </c>
      <c r="AB2799" s="37">
        <v>1.8250193578247509</v>
      </c>
      <c r="AC2799" s="37">
        <v>2.9205753440484341</v>
      </c>
      <c r="AD2799" s="37">
        <v>3.2906955789357792</v>
      </c>
    </row>
    <row r="2800" spans="27:30" x14ac:dyDescent="0.3">
      <c r="AA2800" s="37">
        <v>2780</v>
      </c>
      <c r="AB2800" s="37">
        <v>1.7492063760505321</v>
      </c>
      <c r="AC2800" s="37">
        <v>2.8504457693031964</v>
      </c>
      <c r="AD2800" s="37">
        <v>3.411638638079824</v>
      </c>
    </row>
    <row r="2801" spans="27:30" x14ac:dyDescent="0.3">
      <c r="AA2801" s="37">
        <v>2781</v>
      </c>
      <c r="AB2801" s="37">
        <v>1.7903007731576799</v>
      </c>
      <c r="AC2801" s="37">
        <v>2.7733893921804005</v>
      </c>
      <c r="AD2801" s="37">
        <v>3.2453803977510836</v>
      </c>
    </row>
    <row r="2802" spans="27:30" x14ac:dyDescent="0.3">
      <c r="AA2802" s="37">
        <v>2782</v>
      </c>
      <c r="AB2802" s="37">
        <v>1.8009528168502869</v>
      </c>
      <c r="AC2802" s="37">
        <v>2.8248803330840322</v>
      </c>
      <c r="AD2802" s="37">
        <v>3.4474016912842504</v>
      </c>
    </row>
    <row r="2803" spans="27:30" x14ac:dyDescent="0.3">
      <c r="AA2803" s="37">
        <v>2783</v>
      </c>
      <c r="AB2803" s="37">
        <v>1.7734059314623858</v>
      </c>
      <c r="AC2803" s="37">
        <v>2.7343699973803934</v>
      </c>
      <c r="AD2803" s="37">
        <v>3.2276056481027231</v>
      </c>
    </row>
    <row r="2804" spans="27:30" x14ac:dyDescent="0.3">
      <c r="AA2804" s="37">
        <v>2784</v>
      </c>
      <c r="AB2804" s="37">
        <v>1.8566326962568658</v>
      </c>
      <c r="AC2804" s="37">
        <v>2.7656235444717607</v>
      </c>
      <c r="AD2804" s="37">
        <v>3.0641065835458789</v>
      </c>
    </row>
    <row r="2805" spans="27:30" x14ac:dyDescent="0.3">
      <c r="AA2805" s="37">
        <v>2785</v>
      </c>
      <c r="AB2805" s="37">
        <v>1.7621864391353999</v>
      </c>
      <c r="AC2805" s="37">
        <v>2.9629365593465589</v>
      </c>
      <c r="AD2805" s="37">
        <v>3.3721196404850562</v>
      </c>
    </row>
    <row r="2806" spans="27:30" x14ac:dyDescent="0.3">
      <c r="AA2806" s="37">
        <v>2786</v>
      </c>
      <c r="AB2806" s="37">
        <v>1.744667614452369</v>
      </c>
      <c r="AC2806" s="37">
        <v>2.7852195031517692</v>
      </c>
      <c r="AD2806" s="37">
        <v>3.1460369885277095</v>
      </c>
    </row>
    <row r="2807" spans="27:30" x14ac:dyDescent="0.3">
      <c r="AA2807" s="37">
        <v>2787</v>
      </c>
      <c r="AB2807" s="37">
        <v>1.8274813159564158</v>
      </c>
      <c r="AC2807" s="37">
        <v>2.7796199822188932</v>
      </c>
      <c r="AD2807" s="37">
        <v>3.1111939483651758</v>
      </c>
    </row>
    <row r="2808" spans="27:30" x14ac:dyDescent="0.3">
      <c r="AA2808" s="37">
        <v>2788</v>
      </c>
      <c r="AB2808" s="37">
        <v>1.7294605545752597</v>
      </c>
      <c r="AC2808" s="37">
        <v>2.7751961947666701</v>
      </c>
      <c r="AD2808" s="37">
        <v>3.415071970094067</v>
      </c>
    </row>
    <row r="2809" spans="27:30" x14ac:dyDescent="0.3">
      <c r="AA2809" s="37">
        <v>2789</v>
      </c>
      <c r="AB2809" s="37">
        <v>1.7543285320813415</v>
      </c>
      <c r="AC2809" s="37">
        <v>2.7195768130869706</v>
      </c>
      <c r="AD2809" s="37">
        <v>3.6128335348159926</v>
      </c>
    </row>
    <row r="2810" spans="27:30" x14ac:dyDescent="0.3">
      <c r="AA2810" s="37">
        <v>2790</v>
      </c>
      <c r="AB2810" s="37">
        <v>1.7628244159032505</v>
      </c>
      <c r="AC2810" s="37">
        <v>3.095174056249006</v>
      </c>
      <c r="AD2810" s="37">
        <v>3.3604755062425284</v>
      </c>
    </row>
    <row r="2811" spans="27:30" x14ac:dyDescent="0.3">
      <c r="AA2811" s="37">
        <v>2791</v>
      </c>
      <c r="AB2811" s="37">
        <v>1.7678073182934768</v>
      </c>
      <c r="AC2811" s="37">
        <v>2.8363993606939824</v>
      </c>
      <c r="AD2811" s="37">
        <v>3.1667696324890131</v>
      </c>
    </row>
    <row r="2812" spans="27:30" x14ac:dyDescent="0.3">
      <c r="AA2812" s="37">
        <v>2792</v>
      </c>
      <c r="AB2812" s="37">
        <v>1.6934554072072543</v>
      </c>
      <c r="AC2812" s="37">
        <v>2.6449273904145483</v>
      </c>
      <c r="AD2812" s="37">
        <v>3.2756549949479852</v>
      </c>
    </row>
    <row r="2813" spans="27:30" x14ac:dyDescent="0.3">
      <c r="AA2813" s="37">
        <v>2793</v>
      </c>
      <c r="AB2813" s="37">
        <v>1.7102448041131912</v>
      </c>
      <c r="AC2813" s="37">
        <v>2.8254953744314233</v>
      </c>
      <c r="AD2813" s="37">
        <v>3.3878263059804024</v>
      </c>
    </row>
    <row r="2814" spans="27:30" x14ac:dyDescent="0.3">
      <c r="AA2814" s="37">
        <v>2794</v>
      </c>
      <c r="AB2814" s="37">
        <v>1.8766898911830849</v>
      </c>
      <c r="AC2814" s="37">
        <v>2.8720599673461753</v>
      </c>
      <c r="AD2814" s="37">
        <v>3.3514534906168252</v>
      </c>
    </row>
    <row r="2815" spans="27:30" x14ac:dyDescent="0.3">
      <c r="AA2815" s="37">
        <v>2795</v>
      </c>
      <c r="AB2815" s="37">
        <v>1.7431116116866812</v>
      </c>
      <c r="AC2815" s="37">
        <v>2.9837250346684221</v>
      </c>
      <c r="AD2815" s="37">
        <v>3.3425191663927749</v>
      </c>
    </row>
    <row r="2816" spans="27:30" x14ac:dyDescent="0.3">
      <c r="AA2816" s="37">
        <v>2796</v>
      </c>
      <c r="AB2816" s="37">
        <v>1.7582145337858843</v>
      </c>
      <c r="AC2816" s="37">
        <v>2.7434055340201504</v>
      </c>
      <c r="AD2816" s="37">
        <v>3.4213320438106942</v>
      </c>
    </row>
    <row r="2817" spans="27:30" x14ac:dyDescent="0.3">
      <c r="AA2817" s="37">
        <v>2797</v>
      </c>
      <c r="AB2817" s="37">
        <v>1.7696798297863525</v>
      </c>
      <c r="AC2817" s="37">
        <v>2.9283230231137889</v>
      </c>
      <c r="AD2817" s="37">
        <v>3.4018166064232971</v>
      </c>
    </row>
    <row r="2818" spans="27:30" x14ac:dyDescent="0.3">
      <c r="AA2818" s="37">
        <v>2798</v>
      </c>
      <c r="AB2818" s="37">
        <v>1.8239405587244166</v>
      </c>
      <c r="AC2818" s="37">
        <v>2.8739567938852764</v>
      </c>
      <c r="AD2818" s="37">
        <v>3.4043958199083559</v>
      </c>
    </row>
    <row r="2819" spans="27:30" x14ac:dyDescent="0.3">
      <c r="AA2819" s="37">
        <v>2799</v>
      </c>
      <c r="AB2819" s="37">
        <v>1.776687558933763</v>
      </c>
      <c r="AC2819" s="37">
        <v>2.9945822343454522</v>
      </c>
      <c r="AD2819" s="37">
        <v>3.3727279792408522</v>
      </c>
    </row>
    <row r="2820" spans="27:30" x14ac:dyDescent="0.3">
      <c r="AA2820" s="37">
        <v>2800</v>
      </c>
      <c r="AB2820" s="37">
        <v>1.6797663927981896</v>
      </c>
      <c r="AC2820" s="37">
        <v>2.7581656477468512</v>
      </c>
      <c r="AD2820" s="37">
        <v>3.2241193401939139</v>
      </c>
    </row>
    <row r="2821" spans="27:30" x14ac:dyDescent="0.3">
      <c r="AA2821" s="37">
        <v>2801</v>
      </c>
      <c r="AB2821" s="37">
        <v>1.8156440878570448</v>
      </c>
      <c r="AC2821" s="37">
        <v>2.8185555351575973</v>
      </c>
      <c r="AD2821" s="37">
        <v>3.1276395401679329</v>
      </c>
    </row>
    <row r="2822" spans="27:30" x14ac:dyDescent="0.3">
      <c r="AA2822" s="37">
        <v>2802</v>
      </c>
      <c r="AB2822" s="37">
        <v>1.7304136564755783</v>
      </c>
      <c r="AC2822" s="37">
        <v>3.0437066755260673</v>
      </c>
      <c r="AD2822" s="37">
        <v>3.4977141832021372</v>
      </c>
    </row>
    <row r="2823" spans="27:30" x14ac:dyDescent="0.3">
      <c r="AA2823" s="37">
        <v>2803</v>
      </c>
      <c r="AB2823" s="37">
        <v>1.8280676903385085</v>
      </c>
      <c r="AC2823" s="37">
        <v>2.7585611032298001</v>
      </c>
      <c r="AD2823" s="37">
        <v>3.3444742017075808</v>
      </c>
    </row>
    <row r="2824" spans="27:30" x14ac:dyDescent="0.3">
      <c r="AA2824" s="37">
        <v>2804</v>
      </c>
      <c r="AB2824" s="37">
        <v>1.7063175036968985</v>
      </c>
      <c r="AC2824" s="37">
        <v>2.8941774580011241</v>
      </c>
      <c r="AD2824" s="37">
        <v>3.3635351148728696</v>
      </c>
    </row>
    <row r="2825" spans="27:30" x14ac:dyDescent="0.3">
      <c r="AA2825" s="37">
        <v>2805</v>
      </c>
      <c r="AB2825" s="37">
        <v>1.7368440205597813</v>
      </c>
      <c r="AC2825" s="37">
        <v>2.841579617966056</v>
      </c>
      <c r="AD2825" s="37">
        <v>3.1137610034989804</v>
      </c>
    </row>
    <row r="2826" spans="27:30" x14ac:dyDescent="0.3">
      <c r="AA2826" s="37">
        <v>2806</v>
      </c>
      <c r="AB2826" s="37">
        <v>1.8213546967723895</v>
      </c>
      <c r="AC2826" s="37">
        <v>3.1276529704154821</v>
      </c>
      <c r="AD2826" s="37">
        <v>3.3140191360740596</v>
      </c>
    </row>
    <row r="2827" spans="27:30" x14ac:dyDescent="0.3">
      <c r="AA2827" s="37">
        <v>2807</v>
      </c>
      <c r="AB2827" s="37">
        <v>1.7541768202663324</v>
      </c>
      <c r="AC2827" s="37">
        <v>2.9470376848596738</v>
      </c>
      <c r="AD2827" s="37">
        <v>3.2529165365440202</v>
      </c>
    </row>
    <row r="2828" spans="27:30" x14ac:dyDescent="0.3">
      <c r="AA2828" s="37">
        <v>2808</v>
      </c>
      <c r="AB2828" s="37">
        <v>1.8154162015335906</v>
      </c>
      <c r="AC2828" s="37">
        <v>2.7774985158375296</v>
      </c>
      <c r="AD2828" s="37">
        <v>3.5423568906420653</v>
      </c>
    </row>
    <row r="2829" spans="27:30" x14ac:dyDescent="0.3">
      <c r="AA2829" s="37">
        <v>2809</v>
      </c>
      <c r="AB2829" s="37">
        <v>1.9131503274412898</v>
      </c>
      <c r="AC2829" s="37">
        <v>2.9346468453645129</v>
      </c>
      <c r="AD2829" s="37">
        <v>3.395326248035365</v>
      </c>
    </row>
    <row r="2830" spans="27:30" x14ac:dyDescent="0.3">
      <c r="AA2830" s="37">
        <v>2810</v>
      </c>
      <c r="AB2830" s="37">
        <v>1.8361410635764894</v>
      </c>
      <c r="AC2830" s="37">
        <v>2.9665506274637208</v>
      </c>
      <c r="AD2830" s="37">
        <v>3.3362539593210503</v>
      </c>
    </row>
    <row r="2831" spans="27:30" x14ac:dyDescent="0.3">
      <c r="AA2831" s="37">
        <v>2811</v>
      </c>
      <c r="AB2831" s="37">
        <v>1.8016944386915532</v>
      </c>
      <c r="AC2831" s="37">
        <v>2.6698781504271789</v>
      </c>
      <c r="AD2831" s="37">
        <v>3.2075715285084714</v>
      </c>
    </row>
    <row r="2832" spans="27:30" x14ac:dyDescent="0.3">
      <c r="AA2832" s="37">
        <v>2812</v>
      </c>
      <c r="AB2832" s="37">
        <v>1.8206773326623518</v>
      </c>
      <c r="AC2832" s="37">
        <v>2.9407557548201813</v>
      </c>
      <c r="AD2832" s="37">
        <v>3.2709655903157473</v>
      </c>
    </row>
    <row r="2833" spans="27:30" x14ac:dyDescent="0.3">
      <c r="AA2833" s="37">
        <v>2813</v>
      </c>
      <c r="AB2833" s="37">
        <v>1.7513094781331915</v>
      </c>
      <c r="AC2833" s="37">
        <v>2.8699510083336923</v>
      </c>
      <c r="AD2833" s="37">
        <v>3.1728524748846292</v>
      </c>
    </row>
    <row r="2834" spans="27:30" x14ac:dyDescent="0.3">
      <c r="AA2834" s="37">
        <v>2814</v>
      </c>
      <c r="AB2834" s="37">
        <v>1.7438292809345757</v>
      </c>
      <c r="AC2834" s="37">
        <v>2.740315644474272</v>
      </c>
      <c r="AD2834" s="37">
        <v>3.2125211031991574</v>
      </c>
    </row>
    <row r="2835" spans="27:30" x14ac:dyDescent="0.3">
      <c r="AA2835" s="37">
        <v>2815</v>
      </c>
      <c r="AB2835" s="37">
        <v>1.8305452838026068</v>
      </c>
      <c r="AC2835" s="37">
        <v>2.9664028987648932</v>
      </c>
      <c r="AD2835" s="37">
        <v>3.1505004696903174</v>
      </c>
    </row>
    <row r="2836" spans="27:30" x14ac:dyDescent="0.3">
      <c r="AA2836" s="37">
        <v>2816</v>
      </c>
      <c r="AB2836" s="37">
        <v>1.7766476017710855</v>
      </c>
      <c r="AC2836" s="37">
        <v>2.7946723366609003</v>
      </c>
      <c r="AD2836" s="37">
        <v>3.3362535039514203</v>
      </c>
    </row>
    <row r="2837" spans="27:30" x14ac:dyDescent="0.3">
      <c r="AA2837" s="37">
        <v>2817</v>
      </c>
      <c r="AB2837" s="37">
        <v>1.7167075703390988</v>
      </c>
      <c r="AC2837" s="37">
        <v>2.7793057759641724</v>
      </c>
      <c r="AD2837" s="37">
        <v>3.4788884171602064</v>
      </c>
    </row>
    <row r="2838" spans="27:30" x14ac:dyDescent="0.3">
      <c r="AA2838" s="37">
        <v>2818</v>
      </c>
      <c r="AB2838" s="37">
        <v>1.7471003515650323</v>
      </c>
      <c r="AC2838" s="37">
        <v>2.8500219048555842</v>
      </c>
      <c r="AD2838" s="37">
        <v>3.387866588762626</v>
      </c>
    </row>
    <row r="2839" spans="27:30" x14ac:dyDescent="0.3">
      <c r="AA2839" s="37">
        <v>2819</v>
      </c>
      <c r="AB2839" s="37">
        <v>1.8267889377997746</v>
      </c>
      <c r="AC2839" s="37">
        <v>2.8940303756677235</v>
      </c>
      <c r="AD2839" s="37">
        <v>3.3382137099987337</v>
      </c>
    </row>
    <row r="2840" spans="27:30" x14ac:dyDescent="0.3">
      <c r="AA2840" s="37">
        <v>2820</v>
      </c>
      <c r="AB2840" s="37">
        <v>1.8081837293561434</v>
      </c>
      <c r="AC2840" s="37">
        <v>2.7120816618917551</v>
      </c>
      <c r="AD2840" s="37">
        <v>3.3500397244734854</v>
      </c>
    </row>
    <row r="2841" spans="27:30" x14ac:dyDescent="0.3">
      <c r="AA2841" s="37">
        <v>2821</v>
      </c>
      <c r="AB2841" s="37">
        <v>1.7712558156184868</v>
      </c>
      <c r="AC2841" s="37">
        <v>2.8804680989994096</v>
      </c>
      <c r="AD2841" s="37">
        <v>3.568715594690103</v>
      </c>
    </row>
    <row r="2842" spans="27:30" x14ac:dyDescent="0.3">
      <c r="AA2842" s="37">
        <v>2822</v>
      </c>
      <c r="AB2842" s="37">
        <v>1.7732002489622081</v>
      </c>
      <c r="AC2842" s="37">
        <v>2.7741553007073616</v>
      </c>
      <c r="AD2842" s="37">
        <v>3.5451984932537166</v>
      </c>
    </row>
    <row r="2843" spans="27:30" x14ac:dyDescent="0.3">
      <c r="AA2843" s="37">
        <v>2823</v>
      </c>
      <c r="AB2843" s="37">
        <v>1.758878911957954</v>
      </c>
      <c r="AC2843" s="37">
        <v>2.6574690650216395</v>
      </c>
      <c r="AD2843" s="37">
        <v>3.2715069189847474</v>
      </c>
    </row>
    <row r="2844" spans="27:30" x14ac:dyDescent="0.3">
      <c r="AA2844" s="37">
        <v>2824</v>
      </c>
      <c r="AB2844" s="37">
        <v>1.7846842944506232</v>
      </c>
      <c r="AC2844" s="37">
        <v>2.7729235504767047</v>
      </c>
      <c r="AD2844" s="37">
        <v>3.3312031702150744</v>
      </c>
    </row>
    <row r="2845" spans="27:30" x14ac:dyDescent="0.3">
      <c r="AA2845" s="37">
        <v>2825</v>
      </c>
      <c r="AB2845" s="37">
        <v>1.7235427947144235</v>
      </c>
      <c r="AC2845" s="37">
        <v>2.9442203122705304</v>
      </c>
      <c r="AD2845" s="37">
        <v>3.5613343858148636</v>
      </c>
    </row>
    <row r="2846" spans="27:30" x14ac:dyDescent="0.3">
      <c r="AA2846" s="37">
        <v>2826</v>
      </c>
      <c r="AB2846" s="37">
        <v>1.9198429804797299</v>
      </c>
      <c r="AC2846" s="37">
        <v>3.1809095487393155</v>
      </c>
      <c r="AD2846" s="37">
        <v>3.3175971061331415</v>
      </c>
    </row>
    <row r="2847" spans="27:30" x14ac:dyDescent="0.3">
      <c r="AA2847" s="37">
        <v>2827</v>
      </c>
      <c r="AB2847" s="37">
        <v>1.768011995573084</v>
      </c>
      <c r="AC2847" s="37">
        <v>2.8587844654734424</v>
      </c>
      <c r="AD2847" s="37">
        <v>3.4259350329075069</v>
      </c>
    </row>
    <row r="2848" spans="27:30" x14ac:dyDescent="0.3">
      <c r="AA2848" s="37">
        <v>2828</v>
      </c>
      <c r="AB2848" s="37">
        <v>1.8071296315423238</v>
      </c>
      <c r="AC2848" s="37">
        <v>3.0201021018721064</v>
      </c>
      <c r="AD2848" s="37">
        <v>3.5392754703386786</v>
      </c>
    </row>
    <row r="2849" spans="27:30" x14ac:dyDescent="0.3">
      <c r="AA2849" s="37">
        <v>2829</v>
      </c>
      <c r="AB2849" s="37">
        <v>1.7485850409358077</v>
      </c>
      <c r="AC2849" s="37">
        <v>2.7914630582559492</v>
      </c>
      <c r="AD2849" s="37">
        <v>3.169920326494736</v>
      </c>
    </row>
    <row r="2850" spans="27:30" x14ac:dyDescent="0.3">
      <c r="AA2850" s="37">
        <v>2830</v>
      </c>
      <c r="AB2850" s="37">
        <v>1.9025639348429002</v>
      </c>
      <c r="AC2850" s="37">
        <v>2.7647116782554759</v>
      </c>
      <c r="AD2850" s="37">
        <v>3.5397592229018526</v>
      </c>
    </row>
    <row r="2851" spans="27:30" x14ac:dyDescent="0.3">
      <c r="AA2851" s="37">
        <v>2831</v>
      </c>
      <c r="AB2851" s="37">
        <v>1.8139456283832323</v>
      </c>
      <c r="AC2851" s="37">
        <v>2.8439048805997915</v>
      </c>
      <c r="AD2851" s="37">
        <v>3.4253998301788293</v>
      </c>
    </row>
    <row r="2852" spans="27:30" x14ac:dyDescent="0.3">
      <c r="AA2852" s="37">
        <v>2832</v>
      </c>
      <c r="AB2852" s="37">
        <v>1.8017037269997853</v>
      </c>
      <c r="AC2852" s="37">
        <v>2.9019202755384761</v>
      </c>
      <c r="AD2852" s="37">
        <v>3.310475909972475</v>
      </c>
    </row>
    <row r="2853" spans="27:30" x14ac:dyDescent="0.3">
      <c r="AA2853" s="37">
        <v>2833</v>
      </c>
      <c r="AB2853" s="37">
        <v>1.8354143179083318</v>
      </c>
      <c r="AC2853" s="37">
        <v>2.8154382144292254</v>
      </c>
      <c r="AD2853" s="37">
        <v>3.4807653888274817</v>
      </c>
    </row>
    <row r="2854" spans="27:30" x14ac:dyDescent="0.3">
      <c r="AA2854" s="37">
        <v>2834</v>
      </c>
      <c r="AB2854" s="37">
        <v>1.883380448069917</v>
      </c>
      <c r="AC2854" s="37">
        <v>2.8985792250603137</v>
      </c>
      <c r="AD2854" s="37">
        <v>3.4264059876729474</v>
      </c>
    </row>
    <row r="2855" spans="27:30" x14ac:dyDescent="0.3">
      <c r="AA2855" s="37">
        <v>2835</v>
      </c>
      <c r="AB2855" s="37">
        <v>1.7996097534023026</v>
      </c>
      <c r="AC2855" s="37">
        <v>2.8870365985447206</v>
      </c>
      <c r="AD2855" s="37">
        <v>3.4623677090080349</v>
      </c>
    </row>
    <row r="2856" spans="27:30" x14ac:dyDescent="0.3">
      <c r="AA2856" s="37">
        <v>2836</v>
      </c>
      <c r="AB2856" s="37">
        <v>1.7099095581413304</v>
      </c>
      <c r="AC2856" s="37">
        <v>2.7336335214272918</v>
      </c>
      <c r="AD2856" s="37">
        <v>3.1911528687177562</v>
      </c>
    </row>
    <row r="2857" spans="27:30" x14ac:dyDescent="0.3">
      <c r="AA2857" s="37">
        <v>2837</v>
      </c>
      <c r="AB2857" s="37">
        <v>1.7139648151964357</v>
      </c>
      <c r="AC2857" s="37">
        <v>2.6746391309482145</v>
      </c>
      <c r="AD2857" s="37">
        <v>3.142834567808118</v>
      </c>
    </row>
    <row r="2858" spans="27:30" x14ac:dyDescent="0.3">
      <c r="AA2858" s="37">
        <v>2838</v>
      </c>
      <c r="AB2858" s="37">
        <v>1.8403471967982907</v>
      </c>
      <c r="AC2858" s="37">
        <v>2.9849888569308218</v>
      </c>
      <c r="AD2858" s="37">
        <v>3.4457254617242787</v>
      </c>
    </row>
    <row r="2859" spans="27:30" x14ac:dyDescent="0.3">
      <c r="AA2859" s="37">
        <v>2839</v>
      </c>
      <c r="AB2859" s="37">
        <v>1.7970367758118939</v>
      </c>
      <c r="AC2859" s="37">
        <v>2.5507431395828917</v>
      </c>
      <c r="AD2859" s="37">
        <v>3.3516973663634815</v>
      </c>
    </row>
    <row r="2860" spans="27:30" x14ac:dyDescent="0.3">
      <c r="AA2860" s="37">
        <v>2840</v>
      </c>
      <c r="AB2860" s="37">
        <v>1.8237421877708422</v>
      </c>
      <c r="AC2860" s="37">
        <v>2.8267293181917776</v>
      </c>
      <c r="AD2860" s="37">
        <v>3.6247734513169041</v>
      </c>
    </row>
    <row r="2861" spans="27:30" x14ac:dyDescent="0.3">
      <c r="AA2861" s="37">
        <v>2841</v>
      </c>
      <c r="AB2861" s="37">
        <v>1.7184446492365522</v>
      </c>
      <c r="AC2861" s="37">
        <v>2.8766064846667931</v>
      </c>
      <c r="AD2861" s="37">
        <v>3.4145950856278176</v>
      </c>
    </row>
    <row r="2862" spans="27:30" x14ac:dyDescent="0.3">
      <c r="AA2862" s="37">
        <v>2842</v>
      </c>
      <c r="AB2862" s="37">
        <v>1.8273594831832745</v>
      </c>
      <c r="AC2862" s="37">
        <v>2.7953548299368278</v>
      </c>
      <c r="AD2862" s="37">
        <v>3.4129906975424156</v>
      </c>
    </row>
    <row r="2863" spans="27:30" x14ac:dyDescent="0.3">
      <c r="AA2863" s="37">
        <v>2843</v>
      </c>
      <c r="AB2863" s="37">
        <v>1.7555207820685328</v>
      </c>
      <c r="AC2863" s="37">
        <v>2.7772655158673532</v>
      </c>
      <c r="AD2863" s="37">
        <v>3.3875084356090803</v>
      </c>
    </row>
    <row r="2864" spans="27:30" x14ac:dyDescent="0.3">
      <c r="AA2864" s="37">
        <v>2844</v>
      </c>
      <c r="AB2864" s="37">
        <v>1.832028129548688</v>
      </c>
      <c r="AC2864" s="37">
        <v>2.8751219496160298</v>
      </c>
      <c r="AD2864" s="37">
        <v>3.448516304767177</v>
      </c>
    </row>
    <row r="2865" spans="27:30" x14ac:dyDescent="0.3">
      <c r="AA2865" s="37">
        <v>2845</v>
      </c>
      <c r="AB2865" s="37">
        <v>1.9294356215079655</v>
      </c>
      <c r="AC2865" s="37">
        <v>2.8305010753191508</v>
      </c>
      <c r="AD2865" s="37">
        <v>3.4103843274917356</v>
      </c>
    </row>
    <row r="2866" spans="27:30" x14ac:dyDescent="0.3">
      <c r="AA2866" s="37">
        <v>2846</v>
      </c>
      <c r="AB2866" s="37">
        <v>1.727009838303101</v>
      </c>
      <c r="AC2866" s="37">
        <v>2.9269093669548965</v>
      </c>
      <c r="AD2866" s="37">
        <v>3.3141958784574039</v>
      </c>
    </row>
    <row r="2867" spans="27:30" x14ac:dyDescent="0.3">
      <c r="AA2867" s="37">
        <v>2847</v>
      </c>
      <c r="AB2867" s="37">
        <v>1.9386816619326865</v>
      </c>
      <c r="AC2867" s="37">
        <v>2.8955954794725152</v>
      </c>
      <c r="AD2867" s="37">
        <v>3.4157856724165923</v>
      </c>
    </row>
    <row r="2868" spans="27:30" x14ac:dyDescent="0.3">
      <c r="AA2868" s="37">
        <v>2848</v>
      </c>
      <c r="AB2868" s="37">
        <v>1.7724754732528238</v>
      </c>
      <c r="AC2868" s="37">
        <v>2.7564766294398426</v>
      </c>
      <c r="AD2868" s="37">
        <v>3.33982604709266</v>
      </c>
    </row>
    <row r="2869" spans="27:30" x14ac:dyDescent="0.3">
      <c r="AA2869" s="37">
        <v>2849</v>
      </c>
      <c r="AB2869" s="37">
        <v>1.71366397329458</v>
      </c>
      <c r="AC2869" s="37">
        <v>2.8499672407560062</v>
      </c>
      <c r="AD2869" s="37">
        <v>3.4500923154061671</v>
      </c>
    </row>
    <row r="2870" spans="27:30" x14ac:dyDescent="0.3">
      <c r="AA2870" s="37">
        <v>2850</v>
      </c>
      <c r="AB2870" s="37">
        <v>1.8461861731065712</v>
      </c>
      <c r="AC2870" s="37">
        <v>2.7847400539837985</v>
      </c>
      <c r="AD2870" s="37">
        <v>3.2676237339055954</v>
      </c>
    </row>
    <row r="2871" spans="27:30" x14ac:dyDescent="0.3">
      <c r="AA2871" s="37">
        <v>2851</v>
      </c>
      <c r="AB2871" s="37">
        <v>1.8673829036784511</v>
      </c>
      <c r="AC2871" s="37">
        <v>2.9239695787194164</v>
      </c>
      <c r="AD2871" s="37">
        <v>3.4519755223982642</v>
      </c>
    </row>
    <row r="2872" spans="27:30" x14ac:dyDescent="0.3">
      <c r="AA2872" s="37">
        <v>2852</v>
      </c>
      <c r="AB2872" s="37">
        <v>1.7856607957570132</v>
      </c>
      <c r="AC2872" s="37">
        <v>2.8320595248527707</v>
      </c>
      <c r="AD2872" s="37">
        <v>3.456310121191875</v>
      </c>
    </row>
    <row r="2873" spans="27:30" x14ac:dyDescent="0.3">
      <c r="AA2873" s="37">
        <v>2853</v>
      </c>
      <c r="AB2873" s="37">
        <v>1.8851544317296989</v>
      </c>
      <c r="AC2873" s="37">
        <v>2.9562681534195607</v>
      </c>
      <c r="AD2873" s="37">
        <v>3.4187232466044044</v>
      </c>
    </row>
    <row r="2874" spans="27:30" x14ac:dyDescent="0.3">
      <c r="AA2874" s="37">
        <v>2854</v>
      </c>
      <c r="AB2874" s="37">
        <v>1.8343509077032698</v>
      </c>
      <c r="AC2874" s="37">
        <v>2.8392045097239604</v>
      </c>
      <c r="AD2874" s="37">
        <v>3.2035743550375364</v>
      </c>
    </row>
    <row r="2875" spans="27:30" x14ac:dyDescent="0.3">
      <c r="AA2875" s="37">
        <v>2855</v>
      </c>
      <c r="AB2875" s="37">
        <v>1.7162824915337433</v>
      </c>
      <c r="AC2875" s="37">
        <v>2.6721621705636625</v>
      </c>
      <c r="AD2875" s="37">
        <v>3.4665400212464692</v>
      </c>
    </row>
    <row r="2876" spans="27:30" x14ac:dyDescent="0.3">
      <c r="AA2876" s="37">
        <v>2856</v>
      </c>
      <c r="AB2876" s="37">
        <v>1.8315410399426442</v>
      </c>
      <c r="AC2876" s="37">
        <v>2.9221298105975193</v>
      </c>
      <c r="AD2876" s="37">
        <v>3.3221514238076795</v>
      </c>
    </row>
    <row r="2877" spans="27:30" x14ac:dyDescent="0.3">
      <c r="AA2877" s="37">
        <v>2857</v>
      </c>
      <c r="AB2877" s="37">
        <v>1.8296002563421814</v>
      </c>
      <c r="AC2877" s="37">
        <v>2.7323469768667898</v>
      </c>
      <c r="AD2877" s="37">
        <v>3.3118675488609823</v>
      </c>
    </row>
    <row r="2878" spans="27:30" x14ac:dyDescent="0.3">
      <c r="AA2878" s="37">
        <v>2858</v>
      </c>
      <c r="AB2878" s="37">
        <v>1.7716518860465871</v>
      </c>
      <c r="AC2878" s="37">
        <v>2.8194766694346005</v>
      </c>
      <c r="AD2878" s="37">
        <v>3.2784125971740847</v>
      </c>
    </row>
    <row r="2879" spans="27:30" x14ac:dyDescent="0.3">
      <c r="AA2879" s="37">
        <v>2859</v>
      </c>
      <c r="AB2879" s="37">
        <v>1.8673551061351763</v>
      </c>
      <c r="AC2879" s="37">
        <v>2.9947024433783591</v>
      </c>
      <c r="AD2879" s="37">
        <v>3.3427190743631523</v>
      </c>
    </row>
    <row r="2880" spans="27:30" x14ac:dyDescent="0.3">
      <c r="AA2880" s="37">
        <v>2860</v>
      </c>
      <c r="AB2880" s="37">
        <v>1.8411601294802968</v>
      </c>
      <c r="AC2880" s="37">
        <v>2.7898135527700232</v>
      </c>
      <c r="AD2880" s="37">
        <v>3.5303566114856837</v>
      </c>
    </row>
    <row r="2881" spans="27:30" x14ac:dyDescent="0.3">
      <c r="AA2881" s="37">
        <v>2861</v>
      </c>
      <c r="AB2881" s="37">
        <v>1.7236150094142815</v>
      </c>
      <c r="AC2881" s="37">
        <v>2.7627022857756316</v>
      </c>
      <c r="AD2881" s="37">
        <v>3.0921624070448099</v>
      </c>
    </row>
    <row r="2882" spans="27:30" x14ac:dyDescent="0.3">
      <c r="AA2882" s="37">
        <v>2862</v>
      </c>
      <c r="AB2882" s="37">
        <v>1.7684343780153051</v>
      </c>
      <c r="AC2882" s="37">
        <v>2.8564183135198276</v>
      </c>
      <c r="AD2882" s="37">
        <v>3.5536088018281444</v>
      </c>
    </row>
    <row r="2883" spans="27:30" x14ac:dyDescent="0.3">
      <c r="AA2883" s="37">
        <v>2863</v>
      </c>
      <c r="AB2883" s="37">
        <v>1.6735766618162762</v>
      </c>
      <c r="AC2883" s="37">
        <v>2.8779846289841431</v>
      </c>
      <c r="AD2883" s="37">
        <v>3.2854218667079613</v>
      </c>
    </row>
    <row r="2884" spans="27:30" x14ac:dyDescent="0.3">
      <c r="AA2884" s="37">
        <v>2864</v>
      </c>
      <c r="AB2884" s="37">
        <v>1.8314839517257346</v>
      </c>
      <c r="AC2884" s="37">
        <v>2.7220529427088107</v>
      </c>
      <c r="AD2884" s="37">
        <v>3.3646901835621406</v>
      </c>
    </row>
    <row r="2885" spans="27:30" x14ac:dyDescent="0.3">
      <c r="AA2885" s="37">
        <v>2865</v>
      </c>
      <c r="AB2885" s="37">
        <v>1.6307343642268128</v>
      </c>
      <c r="AC2885" s="37">
        <v>2.9641780688653756</v>
      </c>
      <c r="AD2885" s="37">
        <v>3.2142345785539281</v>
      </c>
    </row>
    <row r="2886" spans="27:30" x14ac:dyDescent="0.3">
      <c r="AA2886" s="37">
        <v>2866</v>
      </c>
      <c r="AB2886" s="37">
        <v>1.7603271727314529</v>
      </c>
      <c r="AC2886" s="37">
        <v>2.7930370785361642</v>
      </c>
      <c r="AD2886" s="37">
        <v>3.5452733910615732</v>
      </c>
    </row>
    <row r="2887" spans="27:30" x14ac:dyDescent="0.3">
      <c r="AA2887" s="37">
        <v>2867</v>
      </c>
      <c r="AB2887" s="37">
        <v>1.6554269875939513</v>
      </c>
      <c r="AC2887" s="37">
        <v>2.9507960106955449</v>
      </c>
      <c r="AD2887" s="37">
        <v>3.4688377067301177</v>
      </c>
    </row>
    <row r="2888" spans="27:30" x14ac:dyDescent="0.3">
      <c r="AA2888" s="37">
        <v>2868</v>
      </c>
      <c r="AB2888" s="37">
        <v>1.8343004278966901</v>
      </c>
      <c r="AC2888" s="37">
        <v>2.7694536771646994</v>
      </c>
      <c r="AD2888" s="37">
        <v>3.5982798719770646</v>
      </c>
    </row>
    <row r="2889" spans="27:30" x14ac:dyDescent="0.3">
      <c r="AA2889" s="37">
        <v>2869</v>
      </c>
      <c r="AB2889" s="37">
        <v>1.7815829803043359</v>
      </c>
      <c r="AC2889" s="37">
        <v>2.9081708258575514</v>
      </c>
      <c r="AD2889" s="37">
        <v>3.0694124638114899</v>
      </c>
    </row>
    <row r="2890" spans="27:30" x14ac:dyDescent="0.3">
      <c r="AA2890" s="37">
        <v>2870</v>
      </c>
      <c r="AB2890" s="37">
        <v>1.8671132361230345</v>
      </c>
      <c r="AC2890" s="37">
        <v>2.6681928088282398</v>
      </c>
      <c r="AD2890" s="37">
        <v>3.4976016903935068</v>
      </c>
    </row>
    <row r="2891" spans="27:30" x14ac:dyDescent="0.3">
      <c r="AA2891" s="37">
        <v>2871</v>
      </c>
      <c r="AB2891" s="37">
        <v>1.8711286644475398</v>
      </c>
      <c r="AC2891" s="37">
        <v>2.8309954057308384</v>
      </c>
      <c r="AD2891" s="37">
        <v>3.3986981929348636</v>
      </c>
    </row>
    <row r="2892" spans="27:30" x14ac:dyDescent="0.3">
      <c r="AA2892" s="37">
        <v>2872</v>
      </c>
      <c r="AB2892" s="37">
        <v>1.7658847540692397</v>
      </c>
      <c r="AC2892" s="37">
        <v>2.7172798103996767</v>
      </c>
      <c r="AD2892" s="37">
        <v>3.2324363864140486</v>
      </c>
    </row>
    <row r="2893" spans="27:30" x14ac:dyDescent="0.3">
      <c r="AA2893" s="37">
        <v>2873</v>
      </c>
      <c r="AB2893" s="37">
        <v>1.6787463334786457</v>
      </c>
      <c r="AC2893" s="37">
        <v>2.8812429323020603</v>
      </c>
      <c r="AD2893" s="37">
        <v>3.4642448111641788</v>
      </c>
    </row>
    <row r="2894" spans="27:30" x14ac:dyDescent="0.3">
      <c r="AA2894" s="37">
        <v>2874</v>
      </c>
      <c r="AB2894" s="37">
        <v>1.7544428662580085</v>
      </c>
      <c r="AC2894" s="37">
        <v>3.0119056245023059</v>
      </c>
      <c r="AD2894" s="37">
        <v>3.2106281689433849</v>
      </c>
    </row>
    <row r="2895" spans="27:30" x14ac:dyDescent="0.3">
      <c r="AA2895" s="37">
        <v>2875</v>
      </c>
      <c r="AB2895" s="37">
        <v>1.8083948583780951</v>
      </c>
      <c r="AC2895" s="37">
        <v>2.8718597610139622</v>
      </c>
      <c r="AD2895" s="37">
        <v>3.1590217659859241</v>
      </c>
    </row>
    <row r="2896" spans="27:30" x14ac:dyDescent="0.3">
      <c r="AA2896" s="37">
        <v>2876</v>
      </c>
      <c r="AB2896" s="37">
        <v>1.8259920612935361</v>
      </c>
      <c r="AC2896" s="37">
        <v>2.5891208962687497</v>
      </c>
      <c r="AD2896" s="37">
        <v>3.0978109755985339</v>
      </c>
    </row>
    <row r="2897" spans="27:30" x14ac:dyDescent="0.3">
      <c r="AA2897" s="37">
        <v>2877</v>
      </c>
      <c r="AB2897" s="37">
        <v>1.6528638389815944</v>
      </c>
      <c r="AC2897" s="37">
        <v>2.8130160816647996</v>
      </c>
      <c r="AD2897" s="37">
        <v>3.379201661449446</v>
      </c>
    </row>
    <row r="2898" spans="27:30" x14ac:dyDescent="0.3">
      <c r="AA2898" s="37">
        <v>2878</v>
      </c>
      <c r="AB2898" s="37">
        <v>1.9173019412169103</v>
      </c>
      <c r="AC2898" s="37">
        <v>2.8960260813319194</v>
      </c>
      <c r="AD2898" s="37">
        <v>3.5100076323366527</v>
      </c>
    </row>
    <row r="2899" spans="27:30" x14ac:dyDescent="0.3">
      <c r="AA2899" s="37">
        <v>2879</v>
      </c>
      <c r="AB2899" s="37">
        <v>1.8807093079462824</v>
      </c>
      <c r="AC2899" s="37">
        <v>2.7567641681016291</v>
      </c>
      <c r="AD2899" s="37">
        <v>3.280675194639505</v>
      </c>
    </row>
    <row r="2900" spans="27:30" x14ac:dyDescent="0.3">
      <c r="AA2900" s="37">
        <v>2880</v>
      </c>
      <c r="AB2900" s="37">
        <v>1.7623079631931837</v>
      </c>
      <c r="AC2900" s="37">
        <v>2.6687090704986818</v>
      </c>
      <c r="AD2900" s="37">
        <v>3.2595187804303114</v>
      </c>
    </row>
    <row r="2901" spans="27:30" x14ac:dyDescent="0.3">
      <c r="AA2901" s="37">
        <v>2881</v>
      </c>
      <c r="AB2901" s="37">
        <v>1.7971765788600023</v>
      </c>
      <c r="AC2901" s="37">
        <v>2.8369494006561733</v>
      </c>
      <c r="AD2901" s="37">
        <v>3.5042110810156788</v>
      </c>
    </row>
    <row r="2902" spans="27:30" x14ac:dyDescent="0.3">
      <c r="AA2902" s="37">
        <v>2882</v>
      </c>
      <c r="AB2902" s="37">
        <v>1.736249622788004</v>
      </c>
      <c r="AC2902" s="37">
        <v>2.904086257369598</v>
      </c>
      <c r="AD2902" s="37">
        <v>3.2238473100978067</v>
      </c>
    </row>
    <row r="2903" spans="27:30" x14ac:dyDescent="0.3">
      <c r="AA2903" s="37">
        <v>2883</v>
      </c>
      <c r="AB2903" s="37">
        <v>1.6666684456666647</v>
      </c>
      <c r="AC2903" s="37">
        <v>3.0594151517892825</v>
      </c>
      <c r="AD2903" s="37">
        <v>3.1607492053437665</v>
      </c>
    </row>
    <row r="2904" spans="27:30" x14ac:dyDescent="0.3">
      <c r="AA2904" s="37">
        <v>2884</v>
      </c>
      <c r="AB2904" s="37">
        <v>1.7988817286152849</v>
      </c>
      <c r="AC2904" s="37">
        <v>2.8319231694460933</v>
      </c>
      <c r="AD2904" s="37">
        <v>3.1409172466360431</v>
      </c>
    </row>
    <row r="2905" spans="27:30" x14ac:dyDescent="0.3">
      <c r="AA2905" s="37">
        <v>2885</v>
      </c>
      <c r="AB2905" s="37">
        <v>1.8222912806193707</v>
      </c>
      <c r="AC2905" s="37">
        <v>2.9555539724134197</v>
      </c>
      <c r="AD2905" s="37">
        <v>3.2035838322838157</v>
      </c>
    </row>
    <row r="2906" spans="27:30" x14ac:dyDescent="0.3">
      <c r="AA2906" s="37">
        <v>2886</v>
      </c>
      <c r="AB2906" s="37">
        <v>1.7825541465887058</v>
      </c>
      <c r="AC2906" s="37">
        <v>2.920782186284256</v>
      </c>
      <c r="AD2906" s="37">
        <v>3.369942024590189</v>
      </c>
    </row>
    <row r="2907" spans="27:30" x14ac:dyDescent="0.3">
      <c r="AA2907" s="37">
        <v>2887</v>
      </c>
      <c r="AB2907" s="37">
        <v>1.7683779124251093</v>
      </c>
      <c r="AC2907" s="37">
        <v>2.9227669202415196</v>
      </c>
      <c r="AD2907" s="37">
        <v>3.4325366922605522</v>
      </c>
    </row>
    <row r="2908" spans="27:30" x14ac:dyDescent="0.3">
      <c r="AA2908" s="37">
        <v>2888</v>
      </c>
      <c r="AB2908" s="37">
        <v>1.6960690916463528</v>
      </c>
      <c r="AC2908" s="37">
        <v>2.7870938334727109</v>
      </c>
      <c r="AD2908" s="37">
        <v>3.3372331689949921</v>
      </c>
    </row>
    <row r="2909" spans="27:30" x14ac:dyDescent="0.3">
      <c r="AA2909" s="37">
        <v>2889</v>
      </c>
      <c r="AB2909" s="37">
        <v>1.6691689315442428</v>
      </c>
      <c r="AC2909" s="37">
        <v>2.8031446189220719</v>
      </c>
      <c r="AD2909" s="37">
        <v>3.4622628888646325</v>
      </c>
    </row>
    <row r="2910" spans="27:30" x14ac:dyDescent="0.3">
      <c r="AA2910" s="37">
        <v>2890</v>
      </c>
      <c r="AB2910" s="37">
        <v>1.8297540780059327</v>
      </c>
      <c r="AC2910" s="37">
        <v>2.9035548395211772</v>
      </c>
      <c r="AD2910" s="37">
        <v>3.3581528091753907</v>
      </c>
    </row>
    <row r="2911" spans="27:30" x14ac:dyDescent="0.3">
      <c r="AA2911" s="37">
        <v>2891</v>
      </c>
      <c r="AB2911" s="37">
        <v>1.8834470415874722</v>
      </c>
      <c r="AC2911" s="37">
        <v>2.9256390570008368</v>
      </c>
      <c r="AD2911" s="37">
        <v>3.4329326725663023</v>
      </c>
    </row>
    <row r="2912" spans="27:30" x14ac:dyDescent="0.3">
      <c r="AA2912" s="37">
        <v>2892</v>
      </c>
      <c r="AB2912" s="37">
        <v>1.8304562953267218</v>
      </c>
      <c r="AC2912" s="37">
        <v>2.9745161917840144</v>
      </c>
      <c r="AD2912" s="37">
        <v>3.1987252670340887</v>
      </c>
    </row>
    <row r="2913" spans="27:30" x14ac:dyDescent="0.3">
      <c r="AA2913" s="37">
        <v>2893</v>
      </c>
      <c r="AB2913" s="37">
        <v>1.7970832425259644</v>
      </c>
      <c r="AC2913" s="37">
        <v>2.8263125188789227</v>
      </c>
      <c r="AD2913" s="37">
        <v>3.2807206279434489</v>
      </c>
    </row>
    <row r="2914" spans="27:30" x14ac:dyDescent="0.3">
      <c r="AA2914" s="37">
        <v>2894</v>
      </c>
      <c r="AB2914" s="37">
        <v>1.7967210781710079</v>
      </c>
      <c r="AC2914" s="37">
        <v>2.9757408211028031</v>
      </c>
      <c r="AD2914" s="37">
        <v>3.2096120136105588</v>
      </c>
    </row>
    <row r="2915" spans="27:30" x14ac:dyDescent="0.3">
      <c r="AA2915" s="37">
        <v>2895</v>
      </c>
      <c r="AB2915" s="37">
        <v>1.7088975337200556</v>
      </c>
      <c r="AC2915" s="37">
        <v>2.7942828054258433</v>
      </c>
      <c r="AD2915" s="37">
        <v>3.3803866426859108</v>
      </c>
    </row>
    <row r="2916" spans="27:30" x14ac:dyDescent="0.3">
      <c r="AA2916" s="37">
        <v>2896</v>
      </c>
      <c r="AB2916" s="37">
        <v>1.8669722200368795</v>
      </c>
      <c r="AC2916" s="37">
        <v>2.7651090936551252</v>
      </c>
      <c r="AD2916" s="37">
        <v>3.4730254017099407</v>
      </c>
    </row>
    <row r="2917" spans="27:30" x14ac:dyDescent="0.3">
      <c r="AA2917" s="37">
        <v>2897</v>
      </c>
      <c r="AB2917" s="37">
        <v>1.8516195540278972</v>
      </c>
      <c r="AC2917" s="37">
        <v>2.821733293684658</v>
      </c>
      <c r="AD2917" s="37">
        <v>3.2012999596940706</v>
      </c>
    </row>
    <row r="2918" spans="27:30" x14ac:dyDescent="0.3">
      <c r="AA2918" s="37">
        <v>2898</v>
      </c>
      <c r="AB2918" s="37">
        <v>1.8194293377647404</v>
      </c>
      <c r="AC2918" s="37">
        <v>3.0253917156056072</v>
      </c>
      <c r="AD2918" s="37">
        <v>3.2260043719754106</v>
      </c>
    </row>
    <row r="2919" spans="27:30" x14ac:dyDescent="0.3">
      <c r="AA2919" s="37">
        <v>2899</v>
      </c>
      <c r="AB2919" s="37">
        <v>1.7456862266256017</v>
      </c>
      <c r="AC2919" s="37">
        <v>2.6875055008473638</v>
      </c>
      <c r="AD2919" s="37">
        <v>3.3384153435364499</v>
      </c>
    </row>
    <row r="2920" spans="27:30" x14ac:dyDescent="0.3">
      <c r="AA2920" s="37">
        <v>2900</v>
      </c>
      <c r="AB2920" s="37">
        <v>1.7283186409186615</v>
      </c>
      <c r="AC2920" s="37">
        <v>2.8908815784580981</v>
      </c>
      <c r="AD2920" s="37">
        <v>3.3793726208994741</v>
      </c>
    </row>
    <row r="2921" spans="27:30" x14ac:dyDescent="0.3">
      <c r="AA2921" s="37">
        <v>2901</v>
      </c>
      <c r="AB2921" s="37">
        <v>1.8810640385984425</v>
      </c>
      <c r="AC2921" s="37">
        <v>2.682242008625678</v>
      </c>
      <c r="AD2921" s="37">
        <v>3.2018674101359186</v>
      </c>
    </row>
    <row r="2922" spans="27:30" x14ac:dyDescent="0.3">
      <c r="AA2922" s="37">
        <v>2902</v>
      </c>
      <c r="AB2922" s="37">
        <v>1.8055617011373166</v>
      </c>
      <c r="AC2922" s="37">
        <v>2.8236401734191823</v>
      </c>
      <c r="AD2922" s="37">
        <v>3.1558647209799897</v>
      </c>
    </row>
    <row r="2923" spans="27:30" x14ac:dyDescent="0.3">
      <c r="AA2923" s="37">
        <v>2903</v>
      </c>
      <c r="AB2923" s="37">
        <v>1.7659249999553974</v>
      </c>
      <c r="AC2923" s="37">
        <v>2.8342606124751342</v>
      </c>
      <c r="AD2923" s="37">
        <v>3.30807900270222</v>
      </c>
    </row>
    <row r="2924" spans="27:30" x14ac:dyDescent="0.3">
      <c r="AA2924" s="37">
        <v>2904</v>
      </c>
      <c r="AB2924" s="37">
        <v>1.7936433748382261</v>
      </c>
      <c r="AC2924" s="37">
        <v>2.7160153250331209</v>
      </c>
      <c r="AD2924" s="37">
        <v>3.3547019906768267</v>
      </c>
    </row>
    <row r="2925" spans="27:30" x14ac:dyDescent="0.3">
      <c r="AA2925" s="37">
        <v>2905</v>
      </c>
      <c r="AB2925" s="37">
        <v>1.6963879123631571</v>
      </c>
      <c r="AC2925" s="37">
        <v>2.9766712033882654</v>
      </c>
      <c r="AD2925" s="37">
        <v>3.3677097569377876</v>
      </c>
    </row>
    <row r="2926" spans="27:30" x14ac:dyDescent="0.3">
      <c r="AA2926" s="37">
        <v>2906</v>
      </c>
      <c r="AB2926" s="37">
        <v>1.8616182471884184</v>
      </c>
      <c r="AC2926" s="37">
        <v>2.9701322345140708</v>
      </c>
      <c r="AD2926" s="37">
        <v>3.2847045796291576</v>
      </c>
    </row>
    <row r="2927" spans="27:30" x14ac:dyDescent="0.3">
      <c r="AA2927" s="37">
        <v>2907</v>
      </c>
      <c r="AB2927" s="37">
        <v>1.7891914236069626</v>
      </c>
      <c r="AC2927" s="37">
        <v>2.8562880902800227</v>
      </c>
      <c r="AD2927" s="37">
        <v>3.4715995417392462</v>
      </c>
    </row>
    <row r="2928" spans="27:30" x14ac:dyDescent="0.3">
      <c r="AA2928" s="37">
        <v>2908</v>
      </c>
      <c r="AB2928" s="37">
        <v>1.8678339891263986</v>
      </c>
      <c r="AC2928" s="37">
        <v>2.8055046839728215</v>
      </c>
      <c r="AD2928" s="37">
        <v>3.0925403622049661</v>
      </c>
    </row>
    <row r="2929" spans="27:30" x14ac:dyDescent="0.3">
      <c r="AA2929" s="37">
        <v>2909</v>
      </c>
      <c r="AB2929" s="37">
        <v>1.7960503426620256</v>
      </c>
      <c r="AC2929" s="37">
        <v>2.8348251581299717</v>
      </c>
      <c r="AD2929" s="37">
        <v>3.3720703162142938</v>
      </c>
    </row>
    <row r="2930" spans="27:30" x14ac:dyDescent="0.3">
      <c r="AA2930" s="37">
        <v>2910</v>
      </c>
      <c r="AB2930" s="37">
        <v>1.8381797320791573</v>
      </c>
      <c r="AC2930" s="37">
        <v>2.8982534787555441</v>
      </c>
      <c r="AD2930" s="37">
        <v>3.3626619903905466</v>
      </c>
    </row>
    <row r="2931" spans="27:30" x14ac:dyDescent="0.3">
      <c r="AA2931" s="37">
        <v>2911</v>
      </c>
      <c r="AB2931" s="37">
        <v>1.8289180941602925</v>
      </c>
      <c r="AC2931" s="37">
        <v>3.0077305351247245</v>
      </c>
      <c r="AD2931" s="37">
        <v>3.3391036556777132</v>
      </c>
    </row>
    <row r="2932" spans="27:30" x14ac:dyDescent="0.3">
      <c r="AA2932" s="37">
        <v>2912</v>
      </c>
      <c r="AB2932" s="37">
        <v>1.7998018990087103</v>
      </c>
      <c r="AC2932" s="37">
        <v>2.6763771921385637</v>
      </c>
      <c r="AD2932" s="37">
        <v>3.2785858204417853</v>
      </c>
    </row>
    <row r="2933" spans="27:30" x14ac:dyDescent="0.3">
      <c r="AA2933" s="37">
        <v>2913</v>
      </c>
      <c r="AB2933" s="37">
        <v>1.7481640768769944</v>
      </c>
      <c r="AC2933" s="37">
        <v>2.7249662547108766</v>
      </c>
      <c r="AD2933" s="37">
        <v>3.4814647341258209</v>
      </c>
    </row>
    <row r="2934" spans="27:30" x14ac:dyDescent="0.3">
      <c r="AA2934" s="37">
        <v>2914</v>
      </c>
      <c r="AB2934" s="37">
        <v>1.7348757538356914</v>
      </c>
      <c r="AC2934" s="37">
        <v>2.7392791107468084</v>
      </c>
      <c r="AD2934" s="37">
        <v>3.3830612851053301</v>
      </c>
    </row>
    <row r="2935" spans="27:30" x14ac:dyDescent="0.3">
      <c r="AA2935" s="37">
        <v>2915</v>
      </c>
      <c r="AB2935" s="37">
        <v>1.7829188856449474</v>
      </c>
      <c r="AC2935" s="37">
        <v>2.8850440904043606</v>
      </c>
      <c r="AD2935" s="37">
        <v>3.3265930039239184</v>
      </c>
    </row>
    <row r="2936" spans="27:30" x14ac:dyDescent="0.3">
      <c r="AA2936" s="37">
        <v>2916</v>
      </c>
      <c r="AB2936" s="37">
        <v>1.7600979526979281</v>
      </c>
      <c r="AC2936" s="37">
        <v>2.7980666809509862</v>
      </c>
      <c r="AD2936" s="37">
        <v>3.21432756345712</v>
      </c>
    </row>
    <row r="2937" spans="27:30" x14ac:dyDescent="0.3">
      <c r="AA2937" s="37">
        <v>2917</v>
      </c>
      <c r="AB2937" s="37">
        <v>1.867016576091197</v>
      </c>
      <c r="AC2937" s="37">
        <v>2.888592481552696</v>
      </c>
      <c r="AD2937" s="37">
        <v>3.5676234115392269</v>
      </c>
    </row>
    <row r="2938" spans="27:30" x14ac:dyDescent="0.3">
      <c r="AA2938" s="37">
        <v>2918</v>
      </c>
      <c r="AB2938" s="37">
        <v>1.7659103691652176</v>
      </c>
      <c r="AC2938" s="37">
        <v>2.7891359645027762</v>
      </c>
      <c r="AD2938" s="37">
        <v>3.267452241358523</v>
      </c>
    </row>
    <row r="2939" spans="27:30" x14ac:dyDescent="0.3">
      <c r="AA2939" s="37">
        <v>2919</v>
      </c>
      <c r="AB2939" s="37">
        <v>1.8096935321524019</v>
      </c>
      <c r="AC2939" s="37">
        <v>2.6602669777405805</v>
      </c>
      <c r="AD2939" s="37">
        <v>3.2274458855374673</v>
      </c>
    </row>
    <row r="2940" spans="27:30" x14ac:dyDescent="0.3">
      <c r="AA2940" s="37">
        <v>2920</v>
      </c>
      <c r="AB2940" s="37">
        <v>1.7702680219106113</v>
      </c>
      <c r="AC2940" s="37">
        <v>2.8409274928145725</v>
      </c>
      <c r="AD2940" s="37">
        <v>3.2565973283287426</v>
      </c>
    </row>
    <row r="2941" spans="27:30" x14ac:dyDescent="0.3">
      <c r="AA2941" s="37">
        <v>2921</v>
      </c>
      <c r="AB2941" s="37">
        <v>1.6972935024963056</v>
      </c>
      <c r="AC2941" s="37">
        <v>2.9286127381673288</v>
      </c>
      <c r="AD2941" s="37">
        <v>3.3396649407804651</v>
      </c>
    </row>
    <row r="2942" spans="27:30" x14ac:dyDescent="0.3">
      <c r="AA2942" s="37">
        <v>2922</v>
      </c>
      <c r="AB2942" s="37">
        <v>1.7953194207698762</v>
      </c>
      <c r="AC2942" s="37">
        <v>2.6697299806377157</v>
      </c>
      <c r="AD2942" s="37">
        <v>3.3095078073684738</v>
      </c>
    </row>
    <row r="2943" spans="27:30" x14ac:dyDescent="0.3">
      <c r="AA2943" s="37">
        <v>2923</v>
      </c>
      <c r="AB2943" s="37">
        <v>1.7825526508690634</v>
      </c>
      <c r="AC2943" s="37">
        <v>2.9336959659814008</v>
      </c>
      <c r="AD2943" s="37">
        <v>3.3652253524500648</v>
      </c>
    </row>
    <row r="2944" spans="27:30" x14ac:dyDescent="0.3">
      <c r="AA2944" s="37">
        <v>2924</v>
      </c>
      <c r="AB2944" s="37">
        <v>1.8473308179094248</v>
      </c>
      <c r="AC2944" s="37">
        <v>2.7593424329761285</v>
      </c>
      <c r="AD2944" s="37">
        <v>3.3557913107243182</v>
      </c>
    </row>
    <row r="2945" spans="27:30" x14ac:dyDescent="0.3">
      <c r="AA2945" s="37">
        <v>2925</v>
      </c>
      <c r="AB2945" s="37">
        <v>1.8139958739464608</v>
      </c>
      <c r="AC2945" s="37">
        <v>2.7851927702389703</v>
      </c>
      <c r="AD2945" s="37">
        <v>3.2584134040908515</v>
      </c>
    </row>
    <row r="2946" spans="27:30" x14ac:dyDescent="0.3">
      <c r="AA2946" s="37">
        <v>2926</v>
      </c>
      <c r="AB2946" s="37">
        <v>1.8496884172731816</v>
      </c>
      <c r="AC2946" s="37">
        <v>2.9223925249743217</v>
      </c>
      <c r="AD2946" s="37">
        <v>3.4215876132150846</v>
      </c>
    </row>
    <row r="2947" spans="27:30" x14ac:dyDescent="0.3">
      <c r="AA2947" s="37">
        <v>2927</v>
      </c>
      <c r="AB2947" s="37">
        <v>1.8836395307371587</v>
      </c>
      <c r="AC2947" s="37">
        <v>2.6303012897624201</v>
      </c>
      <c r="AD2947" s="37">
        <v>3.4058791454301143</v>
      </c>
    </row>
    <row r="2948" spans="27:30" x14ac:dyDescent="0.3">
      <c r="AA2948" s="37">
        <v>2928</v>
      </c>
      <c r="AB2948" s="37">
        <v>1.6995394120803615</v>
      </c>
      <c r="AC2948" s="37">
        <v>2.8073847125348226</v>
      </c>
      <c r="AD2948" s="37">
        <v>3.4066269370684714</v>
      </c>
    </row>
    <row r="2949" spans="27:30" x14ac:dyDescent="0.3">
      <c r="AA2949" s="37">
        <v>2929</v>
      </c>
      <c r="AB2949" s="37">
        <v>1.8751357380724401</v>
      </c>
      <c r="AC2949" s="37">
        <v>2.8533087041047152</v>
      </c>
      <c r="AD2949" s="37">
        <v>3.3018519851133079</v>
      </c>
    </row>
    <row r="2950" spans="27:30" x14ac:dyDescent="0.3">
      <c r="AA2950" s="37">
        <v>2930</v>
      </c>
      <c r="AB2950" s="37">
        <v>1.798850005534085</v>
      </c>
      <c r="AC2950" s="37">
        <v>2.8632287539065242</v>
      </c>
      <c r="AD2950" s="37">
        <v>3.4092264427280807</v>
      </c>
    </row>
    <row r="2951" spans="27:30" x14ac:dyDescent="0.3">
      <c r="AA2951" s="37">
        <v>2931</v>
      </c>
      <c r="AB2951" s="37">
        <v>1.9099605837573554</v>
      </c>
      <c r="AC2951" s="37">
        <v>2.908174493344819</v>
      </c>
      <c r="AD2951" s="37">
        <v>3.4092027279038133</v>
      </c>
    </row>
    <row r="2952" spans="27:30" x14ac:dyDescent="0.3">
      <c r="AA2952" s="37">
        <v>2932</v>
      </c>
      <c r="AB2952" s="37">
        <v>1.7918254944120824</v>
      </c>
      <c r="AC2952" s="37">
        <v>2.9400431947597752</v>
      </c>
      <c r="AD2952" s="37">
        <v>3.5089450371120914</v>
      </c>
    </row>
    <row r="2953" spans="27:30" x14ac:dyDescent="0.3">
      <c r="AA2953" s="37">
        <v>2933</v>
      </c>
      <c r="AB2953" s="37">
        <v>1.8220688122642743</v>
      </c>
      <c r="AC2953" s="37">
        <v>2.8244697266730405</v>
      </c>
      <c r="AD2953" s="37">
        <v>3.2747216849693417</v>
      </c>
    </row>
    <row r="2954" spans="27:30" x14ac:dyDescent="0.3">
      <c r="AA2954" s="37">
        <v>2934</v>
      </c>
      <c r="AB2954" s="37">
        <v>1.6558021617368024</v>
      </c>
      <c r="AC2954" s="37">
        <v>2.6617377933757891</v>
      </c>
      <c r="AD2954" s="37">
        <v>3.2317089202735327</v>
      </c>
    </row>
    <row r="2955" spans="27:30" x14ac:dyDescent="0.3">
      <c r="AA2955" s="37">
        <v>2935</v>
      </c>
      <c r="AB2955" s="37">
        <v>1.7659142375687926</v>
      </c>
      <c r="AC2955" s="37">
        <v>2.9069898836842833</v>
      </c>
      <c r="AD2955" s="37">
        <v>3.4668957375903373</v>
      </c>
    </row>
    <row r="2956" spans="27:30" x14ac:dyDescent="0.3">
      <c r="AA2956" s="37">
        <v>2936</v>
      </c>
      <c r="AB2956" s="37">
        <v>1.7435982530383645</v>
      </c>
      <c r="AC2956" s="37">
        <v>3.054960350094984</v>
      </c>
      <c r="AD2956" s="37">
        <v>3.2922229559735801</v>
      </c>
    </row>
    <row r="2957" spans="27:30" x14ac:dyDescent="0.3">
      <c r="AA2957" s="37">
        <v>2937</v>
      </c>
      <c r="AB2957" s="37">
        <v>1.757322468496515</v>
      </c>
      <c r="AC2957" s="37">
        <v>2.8398900132297356</v>
      </c>
      <c r="AD2957" s="37">
        <v>3.2416728156497552</v>
      </c>
    </row>
    <row r="2958" spans="27:30" x14ac:dyDescent="0.3">
      <c r="AA2958" s="37">
        <v>2938</v>
      </c>
      <c r="AB2958" s="37">
        <v>1.7862578514504517</v>
      </c>
      <c r="AC2958" s="37">
        <v>2.8858216998814714</v>
      </c>
      <c r="AD2958" s="37">
        <v>3.3349699082046236</v>
      </c>
    </row>
    <row r="2959" spans="27:30" x14ac:dyDescent="0.3">
      <c r="AA2959" s="37">
        <v>2939</v>
      </c>
      <c r="AB2959" s="37">
        <v>1.6104977394255653</v>
      </c>
      <c r="AC2959" s="37">
        <v>2.7214035135446735</v>
      </c>
      <c r="AD2959" s="37">
        <v>3.2702969497889489</v>
      </c>
    </row>
    <row r="2960" spans="27:30" x14ac:dyDescent="0.3">
      <c r="AA2960" s="37">
        <v>2940</v>
      </c>
      <c r="AB2960" s="37">
        <v>1.7427958855804202</v>
      </c>
      <c r="AC2960" s="37">
        <v>2.9317018097901704</v>
      </c>
      <c r="AD2960" s="37">
        <v>3.4564404978247345</v>
      </c>
    </row>
    <row r="2961" spans="27:30" x14ac:dyDescent="0.3">
      <c r="AA2961" s="37">
        <v>2941</v>
      </c>
      <c r="AB2961" s="37">
        <v>1.8437455172299397</v>
      </c>
      <c r="AC2961" s="37">
        <v>2.799146316451596</v>
      </c>
      <c r="AD2961" s="37">
        <v>3.1329602219670201</v>
      </c>
    </row>
    <row r="2962" spans="27:30" x14ac:dyDescent="0.3">
      <c r="AA2962" s="37">
        <v>2942</v>
      </c>
      <c r="AB2962" s="37">
        <v>1.7589704433019397</v>
      </c>
      <c r="AC2962" s="37">
        <v>2.7781668299471649</v>
      </c>
      <c r="AD2962" s="37">
        <v>3.2697273577593178</v>
      </c>
    </row>
    <row r="2963" spans="27:30" x14ac:dyDescent="0.3">
      <c r="AA2963" s="37">
        <v>2943</v>
      </c>
      <c r="AB2963" s="37">
        <v>1.7838829251411976</v>
      </c>
      <c r="AC2963" s="37">
        <v>2.832412044686079</v>
      </c>
      <c r="AD2963" s="37">
        <v>3.4878930605106744</v>
      </c>
    </row>
    <row r="2964" spans="27:30" x14ac:dyDescent="0.3">
      <c r="AA2964" s="37">
        <v>2944</v>
      </c>
      <c r="AB2964" s="37">
        <v>1.8698254115157047</v>
      </c>
      <c r="AC2964" s="37">
        <v>2.9365241615553352</v>
      </c>
      <c r="AD2964" s="37">
        <v>3.5159810724458813</v>
      </c>
    </row>
    <row r="2965" spans="27:30" x14ac:dyDescent="0.3">
      <c r="AA2965" s="37">
        <v>2945</v>
      </c>
      <c r="AB2965" s="37">
        <v>1.9086481338038708</v>
      </c>
      <c r="AC2965" s="37">
        <v>2.7164060696502332</v>
      </c>
      <c r="AD2965" s="37">
        <v>3.3009362541400744</v>
      </c>
    </row>
    <row r="2966" spans="27:30" x14ac:dyDescent="0.3">
      <c r="AA2966" s="37">
        <v>2946</v>
      </c>
      <c r="AB2966" s="37">
        <v>1.9494285660201789</v>
      </c>
      <c r="AC2966" s="37">
        <v>2.7287915176419233</v>
      </c>
      <c r="AD2966" s="37">
        <v>3.1520049013125822</v>
      </c>
    </row>
    <row r="2967" spans="27:30" x14ac:dyDescent="0.3">
      <c r="AA2967" s="37">
        <v>2947</v>
      </c>
      <c r="AB2967" s="37">
        <v>1.8170155643334849</v>
      </c>
      <c r="AC2967" s="37">
        <v>2.8618603781705483</v>
      </c>
      <c r="AD2967" s="37">
        <v>3.4833853064238665</v>
      </c>
    </row>
    <row r="2968" spans="27:30" x14ac:dyDescent="0.3">
      <c r="AA2968" s="37">
        <v>2948</v>
      </c>
      <c r="AB2968" s="37">
        <v>1.727278099342443</v>
      </c>
      <c r="AC2968" s="37">
        <v>2.764049821062184</v>
      </c>
      <c r="AD2968" s="37">
        <v>3.308621080564774</v>
      </c>
    </row>
    <row r="2969" spans="27:30" x14ac:dyDescent="0.3">
      <c r="AA2969" s="37">
        <v>2949</v>
      </c>
      <c r="AB2969" s="37">
        <v>1.7846284927846801</v>
      </c>
      <c r="AC2969" s="37">
        <v>2.7261940455771363</v>
      </c>
      <c r="AD2969" s="37">
        <v>3.3753050105855751</v>
      </c>
    </row>
    <row r="2970" spans="27:30" x14ac:dyDescent="0.3">
      <c r="AA2970" s="37">
        <v>2950</v>
      </c>
      <c r="AB2970" s="37">
        <v>1.7322825913921942</v>
      </c>
      <c r="AC2970" s="37">
        <v>2.892211915125682</v>
      </c>
      <c r="AD2970" s="37">
        <v>3.3941093283474242</v>
      </c>
    </row>
    <row r="2971" spans="27:30" x14ac:dyDescent="0.3">
      <c r="AA2971" s="37">
        <v>2951</v>
      </c>
      <c r="AB2971" s="37">
        <v>1.796610990454383</v>
      </c>
      <c r="AC2971" s="37">
        <v>2.7607523426347735</v>
      </c>
      <c r="AD2971" s="37">
        <v>3.3471931286828784</v>
      </c>
    </row>
    <row r="2972" spans="27:30" x14ac:dyDescent="0.3">
      <c r="AA2972" s="37">
        <v>2952</v>
      </c>
      <c r="AB2972" s="37">
        <v>1.8745664268303917</v>
      </c>
      <c r="AC2972" s="37">
        <v>2.7261906937946856</v>
      </c>
      <c r="AD2972" s="37">
        <v>3.1208012327921253</v>
      </c>
    </row>
    <row r="2973" spans="27:30" x14ac:dyDescent="0.3">
      <c r="AA2973" s="37">
        <v>2953</v>
      </c>
      <c r="AB2973" s="37">
        <v>1.7318282657375264</v>
      </c>
      <c r="AC2973" s="37">
        <v>2.7949704063374865</v>
      </c>
      <c r="AD2973" s="37">
        <v>3.2694195158315527</v>
      </c>
    </row>
    <row r="2974" spans="27:30" x14ac:dyDescent="0.3">
      <c r="AA2974" s="37">
        <v>2954</v>
      </c>
      <c r="AB2974" s="37">
        <v>1.8378749891562072</v>
      </c>
      <c r="AC2974" s="37">
        <v>2.817679612485243</v>
      </c>
      <c r="AD2974" s="37">
        <v>3.407096070782381</v>
      </c>
    </row>
    <row r="2975" spans="27:30" x14ac:dyDescent="0.3">
      <c r="AA2975" s="37">
        <v>2955</v>
      </c>
      <c r="AB2975" s="37">
        <v>1.7627219175692619</v>
      </c>
      <c r="AC2975" s="37">
        <v>2.7825186260707153</v>
      </c>
      <c r="AD2975" s="37">
        <v>3.4382117042953095</v>
      </c>
    </row>
    <row r="2976" spans="27:30" x14ac:dyDescent="0.3">
      <c r="AA2976" s="37">
        <v>2956</v>
      </c>
      <c r="AB2976" s="37">
        <v>1.8076623295884797</v>
      </c>
      <c r="AC2976" s="37">
        <v>2.9733373255543594</v>
      </c>
      <c r="AD2976" s="37">
        <v>3.5237001507315</v>
      </c>
    </row>
    <row r="2977" spans="27:30" x14ac:dyDescent="0.3">
      <c r="AA2977" s="37">
        <v>2957</v>
      </c>
      <c r="AB2977" s="37">
        <v>1.7756997392808349</v>
      </c>
      <c r="AC2977" s="37">
        <v>2.8996246340140654</v>
      </c>
      <c r="AD2977" s="37">
        <v>3.2981271534013263</v>
      </c>
    </row>
    <row r="2978" spans="27:30" x14ac:dyDescent="0.3">
      <c r="AA2978" s="37">
        <v>2958</v>
      </c>
      <c r="AB2978" s="37">
        <v>1.809477019819222</v>
      </c>
      <c r="AC2978" s="37">
        <v>2.8502537884886601</v>
      </c>
      <c r="AD2978" s="37">
        <v>3.4291383357673531</v>
      </c>
    </row>
    <row r="2979" spans="27:30" x14ac:dyDescent="0.3">
      <c r="AA2979" s="37">
        <v>2959</v>
      </c>
      <c r="AB2979" s="37">
        <v>1.6679772546017984</v>
      </c>
      <c r="AC2979" s="37">
        <v>2.8190785812661168</v>
      </c>
      <c r="AD2979" s="37">
        <v>3.5876411558302936</v>
      </c>
    </row>
    <row r="2980" spans="27:30" x14ac:dyDescent="0.3">
      <c r="AA2980" s="37">
        <v>2960</v>
      </c>
      <c r="AB2980" s="37">
        <v>1.732179502866495</v>
      </c>
      <c r="AC2980" s="37">
        <v>2.8806457382783717</v>
      </c>
      <c r="AD2980" s="37">
        <v>3.3428210707080765</v>
      </c>
    </row>
    <row r="2981" spans="27:30" x14ac:dyDescent="0.3">
      <c r="AA2981" s="37">
        <v>2961</v>
      </c>
      <c r="AB2981" s="37">
        <v>1.9487393574888605</v>
      </c>
      <c r="AC2981" s="37">
        <v>2.8332996647622974</v>
      </c>
      <c r="AD2981" s="37">
        <v>3.3663318346655786</v>
      </c>
    </row>
    <row r="2982" spans="27:30" x14ac:dyDescent="0.3">
      <c r="AA2982" s="37">
        <v>2962</v>
      </c>
      <c r="AB2982" s="37">
        <v>1.8165882085257625</v>
      </c>
      <c r="AC2982" s="37">
        <v>2.8427717031677355</v>
      </c>
      <c r="AD2982" s="37">
        <v>3.3638404202089158</v>
      </c>
    </row>
    <row r="2983" spans="27:30" x14ac:dyDescent="0.3">
      <c r="AA2983" s="37">
        <v>2963</v>
      </c>
      <c r="AB2983" s="37">
        <v>1.8315684049916277</v>
      </c>
      <c r="AC2983" s="37">
        <v>2.8041499612381799</v>
      </c>
      <c r="AD2983" s="37">
        <v>3.185491985469981</v>
      </c>
    </row>
    <row r="2984" spans="27:30" x14ac:dyDescent="0.3">
      <c r="AA2984" s="37">
        <v>2964</v>
      </c>
      <c r="AB2984" s="37">
        <v>1.8065768644257707</v>
      </c>
      <c r="AC2984" s="37">
        <v>2.8821020041634693</v>
      </c>
      <c r="AD2984" s="37">
        <v>3.3553391116262254</v>
      </c>
    </row>
    <row r="2985" spans="27:30" x14ac:dyDescent="0.3">
      <c r="AA2985" s="37">
        <v>2965</v>
      </c>
      <c r="AB2985" s="37">
        <v>1.816741286238563</v>
      </c>
      <c r="AC2985" s="37">
        <v>2.8233964760814998</v>
      </c>
      <c r="AD2985" s="37">
        <v>3.5232810700356691</v>
      </c>
    </row>
    <row r="2986" spans="27:30" x14ac:dyDescent="0.3">
      <c r="AA2986" s="37">
        <v>2966</v>
      </c>
      <c r="AB2986" s="37">
        <v>1.74481083313952</v>
      </c>
      <c r="AC2986" s="37">
        <v>2.7762321354219472</v>
      </c>
      <c r="AD2986" s="37">
        <v>3.2851051668462818</v>
      </c>
    </row>
    <row r="2987" spans="27:30" x14ac:dyDescent="0.3">
      <c r="AA2987" s="37">
        <v>2967</v>
      </c>
      <c r="AB2987" s="37">
        <v>1.8327108834268819</v>
      </c>
      <c r="AC2987" s="37">
        <v>2.7073664540008737</v>
      </c>
      <c r="AD2987" s="37">
        <v>3.2650394600220927</v>
      </c>
    </row>
    <row r="2988" spans="27:30" x14ac:dyDescent="0.3">
      <c r="AA2988" s="37">
        <v>2968</v>
      </c>
      <c r="AB2988" s="37">
        <v>1.7650122879760639</v>
      </c>
      <c r="AC2988" s="37">
        <v>2.7987174476989405</v>
      </c>
      <c r="AD2988" s="37">
        <v>3.3666037287776507</v>
      </c>
    </row>
    <row r="2989" spans="27:30" x14ac:dyDescent="0.3">
      <c r="AA2989" s="37">
        <v>2969</v>
      </c>
      <c r="AB2989" s="37">
        <v>1.8393726126957406</v>
      </c>
      <c r="AC2989" s="37">
        <v>2.8664259582686054</v>
      </c>
      <c r="AD2989" s="37">
        <v>3.3098090669876714</v>
      </c>
    </row>
    <row r="2990" spans="27:30" x14ac:dyDescent="0.3">
      <c r="AA2990" s="37">
        <v>2970</v>
      </c>
      <c r="AB2990" s="37">
        <v>1.7244705820452451</v>
      </c>
      <c r="AC2990" s="37">
        <v>2.868704464027402</v>
      </c>
      <c r="AD2990" s="37">
        <v>3.4201097510211746</v>
      </c>
    </row>
    <row r="2991" spans="27:30" x14ac:dyDescent="0.3">
      <c r="AA2991" s="37">
        <v>2971</v>
      </c>
      <c r="AB2991" s="37">
        <v>1.8160004389116131</v>
      </c>
      <c r="AC2991" s="37">
        <v>2.8545983675533164</v>
      </c>
      <c r="AD2991" s="37">
        <v>3.4745090564418604</v>
      </c>
    </row>
    <row r="2992" spans="27:30" x14ac:dyDescent="0.3">
      <c r="AA2992" s="37">
        <v>2972</v>
      </c>
      <c r="AB2992" s="37">
        <v>1.7482914590594372</v>
      </c>
      <c r="AC2992" s="37">
        <v>2.7527478126809992</v>
      </c>
      <c r="AD2992" s="37">
        <v>3.1288603318610622</v>
      </c>
    </row>
    <row r="2993" spans="27:30" x14ac:dyDescent="0.3">
      <c r="AA2993" s="37">
        <v>2973</v>
      </c>
      <c r="AB2993" s="37">
        <v>1.6529769757219019</v>
      </c>
      <c r="AC2993" s="37">
        <v>2.9025535569028902</v>
      </c>
      <c r="AD2993" s="37">
        <v>3.2912278395139665</v>
      </c>
    </row>
    <row r="2994" spans="27:30" x14ac:dyDescent="0.3">
      <c r="AA2994" s="37">
        <v>2974</v>
      </c>
      <c r="AB2994" s="37">
        <v>1.7829800118839454</v>
      </c>
      <c r="AC2994" s="37">
        <v>2.8547758849802212</v>
      </c>
      <c r="AD2994" s="37">
        <v>3.354440418718784</v>
      </c>
    </row>
    <row r="2995" spans="27:30" x14ac:dyDescent="0.3">
      <c r="AA2995" s="37">
        <v>2975</v>
      </c>
      <c r="AB2995" s="37">
        <v>1.7401873178729297</v>
      </c>
      <c r="AC2995" s="37">
        <v>2.7102599769505411</v>
      </c>
      <c r="AD2995" s="37">
        <v>3.2789871023108748</v>
      </c>
    </row>
    <row r="2996" spans="27:30" x14ac:dyDescent="0.3">
      <c r="AA2996" s="37">
        <v>2976</v>
      </c>
      <c r="AB2996" s="37">
        <v>1.674590307003103</v>
      </c>
      <c r="AC2996" s="37">
        <v>2.8967272003053046</v>
      </c>
      <c r="AD2996" s="37">
        <v>3.4031669928539077</v>
      </c>
    </row>
    <row r="2997" spans="27:30" x14ac:dyDescent="0.3">
      <c r="AA2997" s="37">
        <v>2977</v>
      </c>
      <c r="AB2997" s="37">
        <v>1.7343642357367215</v>
      </c>
      <c r="AC2997" s="37">
        <v>2.9766518164045435</v>
      </c>
      <c r="AD2997" s="37">
        <v>3.2561320979239521</v>
      </c>
    </row>
    <row r="2998" spans="27:30" x14ac:dyDescent="0.3">
      <c r="AA2998" s="37">
        <v>2978</v>
      </c>
      <c r="AB2998" s="37">
        <v>1.7712103504535743</v>
      </c>
      <c r="AC2998" s="37">
        <v>2.7249497870657025</v>
      </c>
      <c r="AD2998" s="37">
        <v>3.3393996626693681</v>
      </c>
    </row>
    <row r="2999" spans="27:30" x14ac:dyDescent="0.3">
      <c r="AA2999" s="37">
        <v>2979</v>
      </c>
      <c r="AB2999" s="37">
        <v>1.7624263432420637</v>
      </c>
      <c r="AC2999" s="37">
        <v>2.9879393182978502</v>
      </c>
      <c r="AD2999" s="37">
        <v>3.458526475741122</v>
      </c>
    </row>
    <row r="3000" spans="27:30" x14ac:dyDescent="0.3">
      <c r="AA3000" s="37">
        <v>2980</v>
      </c>
      <c r="AB3000" s="37">
        <v>1.8436016611693713</v>
      </c>
      <c r="AC3000" s="37">
        <v>2.7369988800801188</v>
      </c>
      <c r="AD3000" s="37">
        <v>3.4454934115507689</v>
      </c>
    </row>
    <row r="3001" spans="27:30" x14ac:dyDescent="0.3">
      <c r="AA3001" s="37">
        <v>2981</v>
      </c>
      <c r="AB3001" s="37">
        <v>1.8135402752157175</v>
      </c>
      <c r="AC3001" s="37">
        <v>2.7230650958033022</v>
      </c>
      <c r="AD3001" s="37">
        <v>3.2823568753277752</v>
      </c>
    </row>
    <row r="3002" spans="27:30" x14ac:dyDescent="0.3">
      <c r="AA3002" s="37">
        <v>2982</v>
      </c>
      <c r="AB3002" s="37">
        <v>1.7915818874047627</v>
      </c>
      <c r="AC3002" s="37">
        <v>2.7916283944235643</v>
      </c>
      <c r="AD3002" s="37">
        <v>3.6056997129497899</v>
      </c>
    </row>
    <row r="3003" spans="27:30" x14ac:dyDescent="0.3">
      <c r="AA3003" s="37">
        <v>2983</v>
      </c>
      <c r="AB3003" s="37">
        <v>1.679564316775197</v>
      </c>
      <c r="AC3003" s="37">
        <v>2.6580525452707113</v>
      </c>
      <c r="AD3003" s="37">
        <v>3.42327955511128</v>
      </c>
    </row>
    <row r="3004" spans="27:30" x14ac:dyDescent="0.3">
      <c r="AA3004" s="37">
        <v>2984</v>
      </c>
      <c r="AB3004" s="37">
        <v>1.9022559055704209</v>
      </c>
      <c r="AC3004" s="37">
        <v>2.847087197601275</v>
      </c>
      <c r="AD3004" s="37">
        <v>3.2804857734797648</v>
      </c>
    </row>
    <row r="3005" spans="27:30" x14ac:dyDescent="0.3">
      <c r="AA3005" s="37">
        <v>2985</v>
      </c>
      <c r="AB3005" s="37">
        <v>1.7715774119568353</v>
      </c>
      <c r="AC3005" s="37">
        <v>2.8142064685413102</v>
      </c>
      <c r="AD3005" s="37">
        <v>3.2359676196124108</v>
      </c>
    </row>
    <row r="3006" spans="27:30" x14ac:dyDescent="0.3">
      <c r="AA3006" s="37">
        <v>2986</v>
      </c>
      <c r="AB3006" s="37">
        <v>1.8996250796513343</v>
      </c>
      <c r="AC3006" s="37">
        <v>2.8129911871470097</v>
      </c>
      <c r="AD3006" s="37">
        <v>3.2650623518969928</v>
      </c>
    </row>
    <row r="3007" spans="27:30" x14ac:dyDescent="0.3">
      <c r="AA3007" s="37">
        <v>2987</v>
      </c>
      <c r="AB3007" s="37">
        <v>1.7877198215282262</v>
      </c>
      <c r="AC3007" s="37">
        <v>2.7592706918106202</v>
      </c>
      <c r="AD3007" s="37">
        <v>3.2176814792667945</v>
      </c>
    </row>
    <row r="3008" spans="27:30" x14ac:dyDescent="0.3">
      <c r="AA3008" s="37">
        <v>2988</v>
      </c>
      <c r="AB3008" s="37">
        <v>1.7620950227002514</v>
      </c>
      <c r="AC3008" s="37">
        <v>2.8657596921047137</v>
      </c>
      <c r="AD3008" s="37">
        <v>3.0573552615423294</v>
      </c>
    </row>
    <row r="3009" spans="27:30" x14ac:dyDescent="0.3">
      <c r="AA3009" s="37">
        <v>2989</v>
      </c>
      <c r="AB3009" s="37">
        <v>1.7433642313342439</v>
      </c>
      <c r="AC3009" s="37">
        <v>2.7285783875991312</v>
      </c>
      <c r="AD3009" s="37">
        <v>3.2864108302322319</v>
      </c>
    </row>
    <row r="3010" spans="27:30" x14ac:dyDescent="0.3">
      <c r="AA3010" s="37">
        <v>2990</v>
      </c>
      <c r="AB3010" s="37">
        <v>1.8262236482281116</v>
      </c>
      <c r="AC3010" s="37">
        <v>3.0576655490210554</v>
      </c>
      <c r="AD3010" s="37">
        <v>3.5135818113314934</v>
      </c>
    </row>
    <row r="3011" spans="27:30" x14ac:dyDescent="0.3">
      <c r="AA3011" s="37">
        <v>2991</v>
      </c>
      <c r="AB3011" s="37">
        <v>1.8609930172294991</v>
      </c>
      <c r="AC3011" s="37">
        <v>2.8422188936065846</v>
      </c>
      <c r="AD3011" s="37">
        <v>3.2251668458748597</v>
      </c>
    </row>
    <row r="3012" spans="27:30" x14ac:dyDescent="0.3">
      <c r="AA3012" s="37">
        <v>2992</v>
      </c>
      <c r="AB3012" s="37">
        <v>1.7123758817369881</v>
      </c>
      <c r="AC3012" s="37">
        <v>2.8709555506617317</v>
      </c>
      <c r="AD3012" s="37">
        <v>3.350118361947175</v>
      </c>
    </row>
    <row r="3013" spans="27:30" x14ac:dyDescent="0.3">
      <c r="AA3013" s="37">
        <v>2993</v>
      </c>
      <c r="AB3013" s="37">
        <v>1.6809745936524965</v>
      </c>
      <c r="AC3013" s="37">
        <v>2.823801440342784</v>
      </c>
      <c r="AD3013" s="37">
        <v>3.6528799641013308</v>
      </c>
    </row>
    <row r="3014" spans="27:30" x14ac:dyDescent="0.3">
      <c r="AA3014" s="37">
        <v>2994</v>
      </c>
      <c r="AB3014" s="37">
        <v>1.9004488282207359</v>
      </c>
      <c r="AC3014" s="37">
        <v>2.5999061211110037</v>
      </c>
      <c r="AD3014" s="37">
        <v>3.3617172353438951</v>
      </c>
    </row>
    <row r="3015" spans="27:30" x14ac:dyDescent="0.3">
      <c r="AA3015" s="37">
        <v>2995</v>
      </c>
      <c r="AB3015" s="37">
        <v>1.8387428655210136</v>
      </c>
      <c r="AC3015" s="37">
        <v>2.9665442522708969</v>
      </c>
      <c r="AD3015" s="37">
        <v>3.3321167430717384</v>
      </c>
    </row>
    <row r="3016" spans="27:30" x14ac:dyDescent="0.3">
      <c r="AA3016" s="37">
        <v>2996</v>
      </c>
      <c r="AB3016" s="37">
        <v>1.7710533036744618</v>
      </c>
      <c r="AC3016" s="37">
        <v>2.7040139396690428</v>
      </c>
      <c r="AD3016" s="37">
        <v>3.4395530644818466</v>
      </c>
    </row>
    <row r="3017" spans="27:30" x14ac:dyDescent="0.3">
      <c r="AA3017" s="37">
        <v>2997</v>
      </c>
      <c r="AB3017" s="37">
        <v>1.7189528687884923</v>
      </c>
      <c r="AC3017" s="37">
        <v>2.7364452573552369</v>
      </c>
      <c r="AD3017" s="37">
        <v>3.182920334317398</v>
      </c>
    </row>
    <row r="3018" spans="27:30" x14ac:dyDescent="0.3">
      <c r="AA3018" s="37">
        <v>2998</v>
      </c>
      <c r="AB3018" s="37">
        <v>1.7977761382359818</v>
      </c>
      <c r="AC3018" s="37">
        <v>2.8601683104679307</v>
      </c>
      <c r="AD3018" s="37">
        <v>3.2776626136482965</v>
      </c>
    </row>
    <row r="3019" spans="27:30" x14ac:dyDescent="0.3">
      <c r="AA3019" s="37">
        <v>2999</v>
      </c>
      <c r="AB3019" s="37">
        <v>1.8303414652024841</v>
      </c>
      <c r="AC3019" s="37">
        <v>2.7675917368808114</v>
      </c>
      <c r="AD3019" s="37">
        <v>3.396123625622399</v>
      </c>
    </row>
    <row r="3020" spans="27:30" x14ac:dyDescent="0.3">
      <c r="AA3020" s="37">
        <v>3000</v>
      </c>
      <c r="AB3020" s="37">
        <v>1.7136758575319415</v>
      </c>
      <c r="AC3020" s="37">
        <v>2.7320622404359205</v>
      </c>
      <c r="AD3020" s="37">
        <v>3.4473489341629389</v>
      </c>
    </row>
    <row r="3021" spans="27:30" x14ac:dyDescent="0.3">
      <c r="AA3021" s="37">
        <v>3001</v>
      </c>
      <c r="AB3021" s="37">
        <v>1.8276458700590814</v>
      </c>
      <c r="AC3021" s="37">
        <v>3.021981806459038</v>
      </c>
      <c r="AD3021" s="37">
        <v>3.303211349567694</v>
      </c>
    </row>
    <row r="3022" spans="27:30" x14ac:dyDescent="0.3">
      <c r="AA3022" s="37">
        <v>3002</v>
      </c>
      <c r="AB3022" s="37">
        <v>1.8216303975794326</v>
      </c>
      <c r="AC3022" s="37">
        <v>2.9200642732655782</v>
      </c>
      <c r="AD3022" s="37">
        <v>3.4042822856900226</v>
      </c>
    </row>
    <row r="3023" spans="27:30" x14ac:dyDescent="0.3">
      <c r="AA3023" s="37">
        <v>3003</v>
      </c>
      <c r="AB3023" s="37">
        <v>1.7084360946928379</v>
      </c>
      <c r="AC3023" s="37">
        <v>2.813837898976169</v>
      </c>
      <c r="AD3023" s="37">
        <v>3.3589067045316048</v>
      </c>
    </row>
    <row r="3024" spans="27:30" x14ac:dyDescent="0.3">
      <c r="AA3024" s="37">
        <v>3004</v>
      </c>
      <c r="AB3024" s="37">
        <v>1.8747906657924303</v>
      </c>
      <c r="AC3024" s="37">
        <v>2.8204755438851903</v>
      </c>
      <c r="AD3024" s="37">
        <v>3.3719952426026727</v>
      </c>
    </row>
    <row r="3025" spans="27:30" x14ac:dyDescent="0.3">
      <c r="AA3025" s="37">
        <v>3005</v>
      </c>
      <c r="AB3025" s="37">
        <v>1.8300169788540848</v>
      </c>
      <c r="AC3025" s="37">
        <v>2.7669428555242361</v>
      </c>
      <c r="AD3025" s="37">
        <v>3.2775851018998146</v>
      </c>
    </row>
    <row r="3026" spans="27:30" x14ac:dyDescent="0.3">
      <c r="AA3026" s="37">
        <v>3006</v>
      </c>
      <c r="AB3026" s="37">
        <v>1.8139909262508822</v>
      </c>
      <c r="AC3026" s="37">
        <v>2.6094254223435525</v>
      </c>
      <c r="AD3026" s="37">
        <v>3.3159131345297435</v>
      </c>
    </row>
    <row r="3027" spans="27:30" x14ac:dyDescent="0.3">
      <c r="AA3027" s="37">
        <v>3007</v>
      </c>
      <c r="AB3027" s="37">
        <v>1.8621268657498202</v>
      </c>
      <c r="AC3027" s="37">
        <v>2.783552563551515</v>
      </c>
      <c r="AD3027" s="37">
        <v>3.6645455095762784</v>
      </c>
    </row>
    <row r="3028" spans="27:30" x14ac:dyDescent="0.3">
      <c r="AA3028" s="37">
        <v>3008</v>
      </c>
      <c r="AB3028" s="37">
        <v>1.7089658832809183</v>
      </c>
      <c r="AC3028" s="37">
        <v>2.8918210098738779</v>
      </c>
      <c r="AD3028" s="37">
        <v>3.5398726778075527</v>
      </c>
    </row>
    <row r="3029" spans="27:30" x14ac:dyDescent="0.3">
      <c r="AA3029" s="37">
        <v>3009</v>
      </c>
      <c r="AB3029" s="37">
        <v>1.7688004484476672</v>
      </c>
      <c r="AC3029" s="37">
        <v>2.9515302385926176</v>
      </c>
      <c r="AD3029" s="37">
        <v>3.3083542878180596</v>
      </c>
    </row>
    <row r="3030" spans="27:30" x14ac:dyDescent="0.3">
      <c r="AA3030" s="37">
        <v>3010</v>
      </c>
      <c r="AB3030" s="37">
        <v>1.826059292705696</v>
      </c>
      <c r="AC3030" s="37">
        <v>2.9243335466027727</v>
      </c>
      <c r="AD3030" s="37">
        <v>3.3829786617567859</v>
      </c>
    </row>
    <row r="3031" spans="27:30" x14ac:dyDescent="0.3">
      <c r="AA3031" s="37">
        <v>3011</v>
      </c>
      <c r="AB3031" s="37">
        <v>1.67756168213818</v>
      </c>
      <c r="AC3031" s="37">
        <v>2.7250262595906318</v>
      </c>
      <c r="AD3031" s="37">
        <v>3.1437959663368997</v>
      </c>
    </row>
    <row r="3032" spans="27:30" x14ac:dyDescent="0.3">
      <c r="AA3032" s="37">
        <v>3012</v>
      </c>
      <c r="AB3032" s="37">
        <v>1.8374687853738789</v>
      </c>
      <c r="AC3032" s="37">
        <v>2.7714604635193352</v>
      </c>
      <c r="AD3032" s="37">
        <v>3.3887829610210733</v>
      </c>
    </row>
    <row r="3033" spans="27:30" x14ac:dyDescent="0.3">
      <c r="AA3033" s="37">
        <v>3013</v>
      </c>
      <c r="AB3033" s="37">
        <v>1.880861513431489</v>
      </c>
      <c r="AC3033" s="37">
        <v>2.7800607925362311</v>
      </c>
      <c r="AD3033" s="37">
        <v>3.3336044742638542</v>
      </c>
    </row>
    <row r="3034" spans="27:30" x14ac:dyDescent="0.3">
      <c r="AA3034" s="37">
        <v>3014</v>
      </c>
      <c r="AB3034" s="37">
        <v>1.670806300011147</v>
      </c>
      <c r="AC3034" s="37">
        <v>2.5974589223074682</v>
      </c>
      <c r="AD3034" s="37">
        <v>3.3681662978302378</v>
      </c>
    </row>
    <row r="3035" spans="27:30" x14ac:dyDescent="0.3">
      <c r="AA3035" s="37">
        <v>3015</v>
      </c>
      <c r="AB3035" s="37">
        <v>1.8256974274321045</v>
      </c>
      <c r="AC3035" s="37">
        <v>3.0086098723277264</v>
      </c>
      <c r="AD3035" s="37">
        <v>3.3144451593143862</v>
      </c>
    </row>
    <row r="3036" spans="27:30" x14ac:dyDescent="0.3">
      <c r="AA3036" s="37">
        <v>3016</v>
      </c>
      <c r="AB3036" s="37">
        <v>1.9479696957294532</v>
      </c>
      <c r="AC3036" s="37">
        <v>2.8336789961192221</v>
      </c>
      <c r="AD3036" s="37">
        <v>3.5695205173039652</v>
      </c>
    </row>
    <row r="3037" spans="27:30" x14ac:dyDescent="0.3">
      <c r="AA3037" s="37">
        <v>3017</v>
      </c>
      <c r="AB3037" s="37">
        <v>1.8124744007399411</v>
      </c>
      <c r="AC3037" s="37">
        <v>2.8616528306463573</v>
      </c>
      <c r="AD3037" s="37">
        <v>3.1510917862616807</v>
      </c>
    </row>
    <row r="3038" spans="27:30" x14ac:dyDescent="0.3">
      <c r="AA3038" s="37">
        <v>3018</v>
      </c>
      <c r="AB3038" s="37">
        <v>1.7370594560827071</v>
      </c>
      <c r="AC3038" s="37">
        <v>2.9781430550280645</v>
      </c>
      <c r="AD3038" s="37">
        <v>3.0288201618723898</v>
      </c>
    </row>
    <row r="3039" spans="27:30" x14ac:dyDescent="0.3">
      <c r="AA3039" s="37">
        <v>3019</v>
      </c>
      <c r="AB3039" s="37">
        <v>1.6939553462134647</v>
      </c>
      <c r="AC3039" s="37">
        <v>2.8324850913496746</v>
      </c>
      <c r="AD3039" s="37">
        <v>3.4011479351524203</v>
      </c>
    </row>
    <row r="3040" spans="27:30" x14ac:dyDescent="0.3">
      <c r="AA3040" s="37">
        <v>3020</v>
      </c>
      <c r="AB3040" s="37">
        <v>1.734856362000422</v>
      </c>
      <c r="AC3040" s="37">
        <v>2.8777233242022779</v>
      </c>
      <c r="AD3040" s="37">
        <v>3.2161333104740555</v>
      </c>
    </row>
    <row r="3041" spans="27:30" x14ac:dyDescent="0.3">
      <c r="AA3041" s="37">
        <v>3021</v>
      </c>
      <c r="AB3041" s="37">
        <v>1.7511260642261977</v>
      </c>
      <c r="AC3041" s="37">
        <v>2.88635837728485</v>
      </c>
      <c r="AD3041" s="37">
        <v>3.3815004227813752</v>
      </c>
    </row>
    <row r="3042" spans="27:30" x14ac:dyDescent="0.3">
      <c r="AA3042" s="37">
        <v>3022</v>
      </c>
      <c r="AB3042" s="37">
        <v>1.7693327155413865</v>
      </c>
      <c r="AC3042" s="37">
        <v>2.7052697273383717</v>
      </c>
      <c r="AD3042" s="37">
        <v>3.5899277708330737</v>
      </c>
    </row>
    <row r="3043" spans="27:30" x14ac:dyDescent="0.3">
      <c r="AA3043" s="37">
        <v>3023</v>
      </c>
      <c r="AB3043" s="37">
        <v>1.8654800128899864</v>
      </c>
      <c r="AC3043" s="37">
        <v>2.7707289753904276</v>
      </c>
      <c r="AD3043" s="37">
        <v>3.5328400405957332</v>
      </c>
    </row>
    <row r="3044" spans="27:30" x14ac:dyDescent="0.3">
      <c r="AA3044" s="37">
        <v>3024</v>
      </c>
      <c r="AB3044" s="37">
        <v>1.876548320236143</v>
      </c>
      <c r="AC3044" s="37">
        <v>2.8622697854639467</v>
      </c>
      <c r="AD3044" s="37">
        <v>3.339466831997759</v>
      </c>
    </row>
    <row r="3045" spans="27:30" x14ac:dyDescent="0.3">
      <c r="AA3045" s="37">
        <v>3025</v>
      </c>
      <c r="AB3045" s="37">
        <v>1.844864746483327</v>
      </c>
      <c r="AC3045" s="37">
        <v>2.6767036883381756</v>
      </c>
      <c r="AD3045" s="37">
        <v>3.3639293780038613</v>
      </c>
    </row>
    <row r="3046" spans="27:30" x14ac:dyDescent="0.3">
      <c r="AA3046" s="37">
        <v>3026</v>
      </c>
      <c r="AB3046" s="37">
        <v>1.8459839326029395</v>
      </c>
      <c r="AC3046" s="37">
        <v>3.0620971395154459</v>
      </c>
      <c r="AD3046" s="37">
        <v>3.2366625917691616</v>
      </c>
    </row>
    <row r="3047" spans="27:30" x14ac:dyDescent="0.3">
      <c r="AA3047" s="37">
        <v>3027</v>
      </c>
      <c r="AB3047" s="37">
        <v>1.8405414446295889</v>
      </c>
      <c r="AC3047" s="37">
        <v>2.8844404336179692</v>
      </c>
      <c r="AD3047" s="37">
        <v>3.3371996194337004</v>
      </c>
    </row>
    <row r="3048" spans="27:30" x14ac:dyDescent="0.3">
      <c r="AA3048" s="37">
        <v>3028</v>
      </c>
      <c r="AB3048" s="37">
        <v>1.7935107216693584</v>
      </c>
      <c r="AC3048" s="37">
        <v>2.8528612256744119</v>
      </c>
      <c r="AD3048" s="37">
        <v>3.3745775893172412</v>
      </c>
    </row>
    <row r="3049" spans="27:30" x14ac:dyDescent="0.3">
      <c r="AA3049" s="37">
        <v>3029</v>
      </c>
      <c r="AB3049" s="37">
        <v>1.7913123096289147</v>
      </c>
      <c r="AC3049" s="37">
        <v>2.8060080032650729</v>
      </c>
      <c r="AD3049" s="37">
        <v>3.3168810256174526</v>
      </c>
    </row>
    <row r="3050" spans="27:30" x14ac:dyDescent="0.3">
      <c r="AA3050" s="37">
        <v>3030</v>
      </c>
      <c r="AB3050" s="37">
        <v>1.843130340246645</v>
      </c>
      <c r="AC3050" s="37">
        <v>2.7751544530116274</v>
      </c>
      <c r="AD3050" s="37">
        <v>3.3304815063506288</v>
      </c>
    </row>
    <row r="3051" spans="27:30" x14ac:dyDescent="0.3">
      <c r="AA3051" s="37">
        <v>3031</v>
      </c>
      <c r="AB3051" s="37">
        <v>1.85557067661437</v>
      </c>
      <c r="AC3051" s="37">
        <v>2.7308451839608248</v>
      </c>
      <c r="AD3051" s="37">
        <v>3.392370222796429</v>
      </c>
    </row>
    <row r="3052" spans="27:30" x14ac:dyDescent="0.3">
      <c r="AA3052" s="37">
        <v>3032</v>
      </c>
      <c r="AB3052" s="37">
        <v>1.7702284574334981</v>
      </c>
      <c r="AC3052" s="37">
        <v>2.7958529950527469</v>
      </c>
      <c r="AD3052" s="37">
        <v>3.4356902626307058</v>
      </c>
    </row>
    <row r="3053" spans="27:30" x14ac:dyDescent="0.3">
      <c r="AA3053" s="37">
        <v>3033</v>
      </c>
      <c r="AB3053" s="37">
        <v>1.797479550752014</v>
      </c>
      <c r="AC3053" s="37">
        <v>2.7300885553503642</v>
      </c>
      <c r="AD3053" s="37">
        <v>3.2051389794875136</v>
      </c>
    </row>
    <row r="3054" spans="27:30" x14ac:dyDescent="0.3">
      <c r="AA3054" s="37">
        <v>3034</v>
      </c>
      <c r="AB3054" s="37">
        <v>1.769250713294978</v>
      </c>
      <c r="AC3054" s="37">
        <v>2.7445664548171211</v>
      </c>
      <c r="AD3054" s="37">
        <v>3.3120324421865139</v>
      </c>
    </row>
    <row r="3055" spans="27:30" x14ac:dyDescent="0.3">
      <c r="AA3055" s="37">
        <v>3035</v>
      </c>
      <c r="AB3055" s="37">
        <v>1.7927352051349303</v>
      </c>
      <c r="AC3055" s="37">
        <v>2.8108691188363646</v>
      </c>
      <c r="AD3055" s="37">
        <v>3.2677007871007557</v>
      </c>
    </row>
    <row r="3056" spans="27:30" x14ac:dyDescent="0.3">
      <c r="AA3056" s="37">
        <v>3036</v>
      </c>
      <c r="AB3056" s="37">
        <v>1.6957928053913074</v>
      </c>
      <c r="AC3056" s="37">
        <v>2.8176760354288248</v>
      </c>
      <c r="AD3056" s="37">
        <v>3.3968419252215498</v>
      </c>
    </row>
    <row r="3057" spans="27:30" x14ac:dyDescent="0.3">
      <c r="AA3057" s="37">
        <v>3037</v>
      </c>
      <c r="AB3057" s="37">
        <v>1.825433495491513</v>
      </c>
      <c r="AC3057" s="37">
        <v>3.0083025942241304</v>
      </c>
      <c r="AD3057" s="37">
        <v>3.508470269175044</v>
      </c>
    </row>
    <row r="3058" spans="27:30" x14ac:dyDescent="0.3">
      <c r="AA3058" s="37">
        <v>3038</v>
      </c>
      <c r="AB3058" s="37">
        <v>1.7774984387112411</v>
      </c>
      <c r="AC3058" s="37">
        <v>2.795132707913579</v>
      </c>
      <c r="AD3058" s="37">
        <v>3.5162607639020171</v>
      </c>
    </row>
    <row r="3059" spans="27:30" x14ac:dyDescent="0.3">
      <c r="AA3059" s="37">
        <v>3039</v>
      </c>
      <c r="AB3059" s="37">
        <v>1.6855912826795059</v>
      </c>
      <c r="AC3059" s="37">
        <v>2.7649851797209108</v>
      </c>
      <c r="AD3059" s="37">
        <v>3.4031364842056244</v>
      </c>
    </row>
    <row r="3060" spans="27:30" x14ac:dyDescent="0.3">
      <c r="AA3060" s="37">
        <v>3040</v>
      </c>
      <c r="AB3060" s="37">
        <v>1.6943752913538355</v>
      </c>
      <c r="AC3060" s="37">
        <v>2.8252283445775084</v>
      </c>
      <c r="AD3060" s="37">
        <v>3.0629680461020241</v>
      </c>
    </row>
    <row r="3061" spans="27:30" x14ac:dyDescent="0.3">
      <c r="AA3061" s="37">
        <v>3041</v>
      </c>
      <c r="AB3061" s="37">
        <v>1.7954334235439628</v>
      </c>
      <c r="AC3061" s="37">
        <v>2.7590143439746324</v>
      </c>
      <c r="AD3061" s="37">
        <v>3.1402919220502108</v>
      </c>
    </row>
    <row r="3062" spans="27:30" x14ac:dyDescent="0.3">
      <c r="AA3062" s="37">
        <v>3042</v>
      </c>
      <c r="AB3062" s="37">
        <v>1.789649960801531</v>
      </c>
      <c r="AC3062" s="37">
        <v>3.0128921129810644</v>
      </c>
      <c r="AD3062" s="37">
        <v>3.4527823476701514</v>
      </c>
    </row>
    <row r="3063" spans="27:30" x14ac:dyDescent="0.3">
      <c r="AA3063" s="37">
        <v>3043</v>
      </c>
      <c r="AB3063" s="37">
        <v>1.757624222113942</v>
      </c>
      <c r="AC3063" s="37">
        <v>3.1072974262354078</v>
      </c>
      <c r="AD3063" s="37">
        <v>3.4889326162446106</v>
      </c>
    </row>
    <row r="3064" spans="27:30" x14ac:dyDescent="0.3">
      <c r="AA3064" s="37">
        <v>3044</v>
      </c>
      <c r="AB3064" s="37">
        <v>1.7628183428019035</v>
      </c>
      <c r="AC3064" s="37">
        <v>2.7092959370212366</v>
      </c>
      <c r="AD3064" s="37">
        <v>3.4767132008489243</v>
      </c>
    </row>
    <row r="3065" spans="27:30" x14ac:dyDescent="0.3">
      <c r="AA3065" s="37">
        <v>3045</v>
      </c>
      <c r="AB3065" s="37">
        <v>1.7719796101589824</v>
      </c>
      <c r="AC3065" s="37">
        <v>2.7718659172471312</v>
      </c>
      <c r="AD3065" s="37">
        <v>3.3792877674078508</v>
      </c>
    </row>
    <row r="3066" spans="27:30" x14ac:dyDescent="0.3">
      <c r="AA3066" s="37">
        <v>3046</v>
      </c>
      <c r="AB3066" s="37">
        <v>1.858065086072028</v>
      </c>
      <c r="AC3066" s="37">
        <v>2.8280710299465497</v>
      </c>
      <c r="AD3066" s="37">
        <v>3.2318643186790519</v>
      </c>
    </row>
    <row r="3067" spans="27:30" x14ac:dyDescent="0.3">
      <c r="AA3067" s="37">
        <v>3047</v>
      </c>
      <c r="AB3067" s="37">
        <v>1.6559534082242995</v>
      </c>
      <c r="AC3067" s="37">
        <v>3.0400850368819219</v>
      </c>
      <c r="AD3067" s="37">
        <v>3.3468645082621364</v>
      </c>
    </row>
    <row r="3068" spans="27:30" x14ac:dyDescent="0.3">
      <c r="AA3068" s="37">
        <v>3048</v>
      </c>
      <c r="AB3068" s="37">
        <v>1.7320449012628918</v>
      </c>
      <c r="AC3068" s="37">
        <v>2.8490020275293393</v>
      </c>
      <c r="AD3068" s="37">
        <v>3.185153946128505</v>
      </c>
    </row>
    <row r="3069" spans="27:30" x14ac:dyDescent="0.3">
      <c r="AA3069" s="37">
        <v>3049</v>
      </c>
      <c r="AB3069" s="37">
        <v>1.7498774468029248</v>
      </c>
      <c r="AC3069" s="37">
        <v>2.9113114045175035</v>
      </c>
      <c r="AD3069" s="37">
        <v>3.1993125105786118</v>
      </c>
    </row>
    <row r="3070" spans="27:30" x14ac:dyDescent="0.3">
      <c r="AA3070" s="37">
        <v>3050</v>
      </c>
      <c r="AB3070" s="37">
        <v>1.7229894399201817</v>
      </c>
      <c r="AC3070" s="37">
        <v>2.9541965942871</v>
      </c>
      <c r="AD3070" s="37">
        <v>3.3195178047575209</v>
      </c>
    </row>
    <row r="3071" spans="27:30" x14ac:dyDescent="0.3">
      <c r="AA3071" s="37">
        <v>3051</v>
      </c>
      <c r="AB3071" s="37">
        <v>1.8386659419791442</v>
      </c>
      <c r="AC3071" s="37">
        <v>2.7650712977401311</v>
      </c>
      <c r="AD3071" s="37">
        <v>3.1982144484932729</v>
      </c>
    </row>
    <row r="3072" spans="27:30" x14ac:dyDescent="0.3">
      <c r="AA3072" s="37">
        <v>3052</v>
      </c>
      <c r="AB3072" s="37">
        <v>1.7549622492935533</v>
      </c>
      <c r="AC3072" s="37">
        <v>2.9133915908698009</v>
      </c>
      <c r="AD3072" s="37">
        <v>3.3942240248673667</v>
      </c>
    </row>
    <row r="3073" spans="27:30" x14ac:dyDescent="0.3">
      <c r="AA3073" s="37">
        <v>3053</v>
      </c>
      <c r="AB3073" s="37">
        <v>1.7641589011001038</v>
      </c>
      <c r="AC3073" s="37">
        <v>3.0476833397654186</v>
      </c>
      <c r="AD3073" s="37">
        <v>3.3069097592187773</v>
      </c>
    </row>
    <row r="3074" spans="27:30" x14ac:dyDescent="0.3">
      <c r="AA3074" s="37">
        <v>3054</v>
      </c>
      <c r="AB3074" s="37">
        <v>1.7262071642919676</v>
      </c>
      <c r="AC3074" s="37">
        <v>2.9622941853229348</v>
      </c>
      <c r="AD3074" s="37">
        <v>3.1900463111245649</v>
      </c>
    </row>
    <row r="3075" spans="27:30" x14ac:dyDescent="0.3">
      <c r="AA3075" s="37">
        <v>3055</v>
      </c>
      <c r="AB3075" s="37">
        <v>1.7359854383496418</v>
      </c>
      <c r="AC3075" s="37">
        <v>2.9869012619579984</v>
      </c>
      <c r="AD3075" s="37">
        <v>3.1926430829570291</v>
      </c>
    </row>
    <row r="3076" spans="27:30" x14ac:dyDescent="0.3">
      <c r="AA3076" s="37">
        <v>3056</v>
      </c>
      <c r="AB3076" s="37">
        <v>1.8000201535959206</v>
      </c>
      <c r="AC3076" s="37">
        <v>2.8600305586063137</v>
      </c>
      <c r="AD3076" s="37">
        <v>3.3726549761306992</v>
      </c>
    </row>
    <row r="3077" spans="27:30" x14ac:dyDescent="0.3">
      <c r="AA3077" s="37">
        <v>3057</v>
      </c>
      <c r="AB3077" s="37">
        <v>1.7789225916582649</v>
      </c>
      <c r="AC3077" s="37">
        <v>2.953415339513028</v>
      </c>
      <c r="AD3077" s="37">
        <v>3.1610379014926666</v>
      </c>
    </row>
    <row r="3078" spans="27:30" x14ac:dyDescent="0.3">
      <c r="AA3078" s="37">
        <v>3058</v>
      </c>
      <c r="AB3078" s="37">
        <v>1.7578063334864118</v>
      </c>
      <c r="AC3078" s="37">
        <v>2.8086595044275748</v>
      </c>
      <c r="AD3078" s="37">
        <v>3.3728842906142926</v>
      </c>
    </row>
    <row r="3079" spans="27:30" x14ac:dyDescent="0.3">
      <c r="AA3079" s="37">
        <v>3059</v>
      </c>
      <c r="AB3079" s="37">
        <v>1.8293653924553097</v>
      </c>
      <c r="AC3079" s="37">
        <v>2.9566926126960587</v>
      </c>
      <c r="AD3079" s="37">
        <v>3.2848086548310698</v>
      </c>
    </row>
    <row r="3080" spans="27:30" x14ac:dyDescent="0.3">
      <c r="AA3080" s="37">
        <v>3060</v>
      </c>
      <c r="AB3080" s="37">
        <v>1.7720340743176903</v>
      </c>
      <c r="AC3080" s="37">
        <v>2.9393892074687082</v>
      </c>
      <c r="AD3080" s="37">
        <v>3.3271551230671301</v>
      </c>
    </row>
    <row r="3081" spans="27:30" x14ac:dyDescent="0.3">
      <c r="AA3081" s="37">
        <v>3061</v>
      </c>
      <c r="AB3081" s="37">
        <v>1.8343443791603622</v>
      </c>
      <c r="AC3081" s="37">
        <v>2.8740691237371867</v>
      </c>
      <c r="AD3081" s="37">
        <v>3.4113035430974725</v>
      </c>
    </row>
    <row r="3082" spans="27:30" x14ac:dyDescent="0.3">
      <c r="AA3082" s="37">
        <v>3062</v>
      </c>
      <c r="AB3082" s="37">
        <v>1.7993719105875554</v>
      </c>
      <c r="AC3082" s="37">
        <v>2.662313213970787</v>
      </c>
      <c r="AD3082" s="37">
        <v>3.179320648779759</v>
      </c>
    </row>
    <row r="3083" spans="27:30" x14ac:dyDescent="0.3">
      <c r="AA3083" s="37">
        <v>3063</v>
      </c>
      <c r="AB3083" s="37">
        <v>1.6881922324949554</v>
      </c>
      <c r="AC3083" s="37">
        <v>2.7978843389775445</v>
      </c>
      <c r="AD3083" s="37">
        <v>3.3504527725929805</v>
      </c>
    </row>
    <row r="3084" spans="27:30" x14ac:dyDescent="0.3">
      <c r="AA3084" s="37">
        <v>3064</v>
      </c>
      <c r="AB3084" s="37">
        <v>1.844649776341734</v>
      </c>
      <c r="AC3084" s="37">
        <v>2.8297712956968892</v>
      </c>
      <c r="AD3084" s="37">
        <v>3.2721323588674829</v>
      </c>
    </row>
    <row r="3085" spans="27:30" x14ac:dyDescent="0.3">
      <c r="AA3085" s="37">
        <v>3065</v>
      </c>
      <c r="AB3085" s="37">
        <v>1.7164781885237168</v>
      </c>
      <c r="AC3085" s="37">
        <v>2.8575421919416901</v>
      </c>
      <c r="AD3085" s="37">
        <v>3.4082468154747954</v>
      </c>
    </row>
    <row r="3086" spans="27:30" x14ac:dyDescent="0.3">
      <c r="AA3086" s="37">
        <v>3066</v>
      </c>
      <c r="AB3086" s="37">
        <v>1.7268092909609079</v>
      </c>
      <c r="AC3086" s="37">
        <v>3.0318891520984419</v>
      </c>
      <c r="AD3086" s="37">
        <v>3.2156967877372584</v>
      </c>
    </row>
    <row r="3087" spans="27:30" x14ac:dyDescent="0.3">
      <c r="AA3087" s="37">
        <v>3067</v>
      </c>
      <c r="AB3087" s="37">
        <v>1.818340647652833</v>
      </c>
      <c r="AC3087" s="37">
        <v>2.8483740474719355</v>
      </c>
      <c r="AD3087" s="37">
        <v>3.1758645824629359</v>
      </c>
    </row>
    <row r="3088" spans="27:30" x14ac:dyDescent="0.3">
      <c r="AA3088" s="37">
        <v>3068</v>
      </c>
      <c r="AB3088" s="37">
        <v>1.7898231060260528</v>
      </c>
      <c r="AC3088" s="37">
        <v>2.7479393024403289</v>
      </c>
      <c r="AD3088" s="37">
        <v>3.2681176928631879</v>
      </c>
    </row>
    <row r="3089" spans="27:30" x14ac:dyDescent="0.3">
      <c r="AA3089" s="37">
        <v>3069</v>
      </c>
      <c r="AB3089" s="37">
        <v>1.7610290121044898</v>
      </c>
      <c r="AC3089" s="37">
        <v>2.7333062579812246</v>
      </c>
      <c r="AD3089" s="37">
        <v>3.3633479501392363</v>
      </c>
    </row>
    <row r="3090" spans="27:30" x14ac:dyDescent="0.3">
      <c r="AA3090" s="37">
        <v>3070</v>
      </c>
      <c r="AB3090" s="37">
        <v>1.836881248361993</v>
      </c>
      <c r="AC3090" s="37">
        <v>2.9454357501759842</v>
      </c>
      <c r="AD3090" s="37">
        <v>3.4015255037382746</v>
      </c>
    </row>
    <row r="3091" spans="27:30" x14ac:dyDescent="0.3">
      <c r="AA3091" s="37">
        <v>3071</v>
      </c>
      <c r="AB3091" s="37">
        <v>1.7868293759509217</v>
      </c>
      <c r="AC3091" s="37">
        <v>2.7830539558377652</v>
      </c>
      <c r="AD3091" s="37">
        <v>3.2302731904862614</v>
      </c>
    </row>
    <row r="3092" spans="27:30" x14ac:dyDescent="0.3">
      <c r="AA3092" s="37">
        <v>3072</v>
      </c>
      <c r="AB3092" s="37">
        <v>1.7573720687322325</v>
      </c>
      <c r="AC3092" s="37">
        <v>2.8471037899684037</v>
      </c>
      <c r="AD3092" s="37">
        <v>3.2869831278540276</v>
      </c>
    </row>
    <row r="3093" spans="27:30" x14ac:dyDescent="0.3">
      <c r="AA3093" s="37">
        <v>3073</v>
      </c>
      <c r="AB3093" s="37">
        <v>1.8459699655708437</v>
      </c>
      <c r="AC3093" s="37">
        <v>2.8554519852165168</v>
      </c>
      <c r="AD3093" s="37">
        <v>3.1896509160180253</v>
      </c>
    </row>
    <row r="3094" spans="27:30" x14ac:dyDescent="0.3">
      <c r="AA3094" s="37">
        <v>3074</v>
      </c>
      <c r="AB3094" s="37">
        <v>1.6680798735362952</v>
      </c>
      <c r="AC3094" s="37">
        <v>3.0099464637382933</v>
      </c>
      <c r="AD3094" s="37">
        <v>3.332688515438877</v>
      </c>
    </row>
    <row r="3095" spans="27:30" x14ac:dyDescent="0.3">
      <c r="AA3095" s="37">
        <v>3075</v>
      </c>
      <c r="AB3095" s="37">
        <v>1.8356251855973638</v>
      </c>
      <c r="AC3095" s="37">
        <v>3.0400542875725445</v>
      </c>
      <c r="AD3095" s="37">
        <v>3.5072172395171393</v>
      </c>
    </row>
    <row r="3096" spans="27:30" x14ac:dyDescent="0.3">
      <c r="AA3096" s="37">
        <v>3076</v>
      </c>
      <c r="AB3096" s="37">
        <v>1.8300360952541623</v>
      </c>
      <c r="AC3096" s="37">
        <v>2.9489412788706759</v>
      </c>
      <c r="AD3096" s="37">
        <v>3.3759997561463773</v>
      </c>
    </row>
    <row r="3097" spans="27:30" x14ac:dyDescent="0.3">
      <c r="AA3097" s="37">
        <v>3077</v>
      </c>
      <c r="AB3097" s="37">
        <v>1.6695872174681894</v>
      </c>
      <c r="AC3097" s="37">
        <v>2.9046931244368079</v>
      </c>
      <c r="AD3097" s="37">
        <v>3.2603849449890725</v>
      </c>
    </row>
    <row r="3098" spans="27:30" x14ac:dyDescent="0.3">
      <c r="AA3098" s="37">
        <v>3078</v>
      </c>
      <c r="AB3098" s="37">
        <v>1.7896031654164097</v>
      </c>
      <c r="AC3098" s="37">
        <v>2.7873447068826804</v>
      </c>
      <c r="AD3098" s="37">
        <v>3.2935994898827001</v>
      </c>
    </row>
    <row r="3099" spans="27:30" x14ac:dyDescent="0.3">
      <c r="AA3099" s="37">
        <v>3079</v>
      </c>
      <c r="AB3099" s="37">
        <v>1.7985901691222432</v>
      </c>
      <c r="AC3099" s="37">
        <v>2.8243840943831984</v>
      </c>
      <c r="AD3099" s="37">
        <v>3.3751888570552926</v>
      </c>
    </row>
    <row r="3100" spans="27:30" x14ac:dyDescent="0.3">
      <c r="AA3100" s="37">
        <v>3080</v>
      </c>
      <c r="AB3100" s="37">
        <v>1.8127276889521815</v>
      </c>
      <c r="AC3100" s="37">
        <v>2.8514098761996176</v>
      </c>
      <c r="AD3100" s="37">
        <v>3.2219647548674026</v>
      </c>
    </row>
    <row r="3101" spans="27:30" x14ac:dyDescent="0.3">
      <c r="AA3101" s="37">
        <v>3081</v>
      </c>
      <c r="AB3101" s="37">
        <v>1.8199235098299191</v>
      </c>
      <c r="AC3101" s="37">
        <v>2.7774720332347083</v>
      </c>
      <c r="AD3101" s="37">
        <v>3.3523561929163481</v>
      </c>
    </row>
    <row r="3102" spans="27:30" x14ac:dyDescent="0.3">
      <c r="AA3102" s="37">
        <v>3082</v>
      </c>
      <c r="AB3102" s="37">
        <v>1.73304531224025</v>
      </c>
      <c r="AC3102" s="37">
        <v>2.7690051987790247</v>
      </c>
      <c r="AD3102" s="37">
        <v>3.350014068433429</v>
      </c>
    </row>
    <row r="3103" spans="27:30" x14ac:dyDescent="0.3">
      <c r="AA3103" s="37">
        <v>3083</v>
      </c>
      <c r="AB3103" s="37">
        <v>1.7775885646919538</v>
      </c>
      <c r="AC3103" s="37">
        <v>2.6985153898796375</v>
      </c>
      <c r="AD3103" s="37">
        <v>3.2306532358264244</v>
      </c>
    </row>
    <row r="3104" spans="27:30" x14ac:dyDescent="0.3">
      <c r="AA3104" s="37">
        <v>3084</v>
      </c>
      <c r="AB3104" s="37">
        <v>1.876178934745478</v>
      </c>
      <c r="AC3104" s="37">
        <v>2.858721507908168</v>
      </c>
      <c r="AD3104" s="37">
        <v>3.3017758198171547</v>
      </c>
    </row>
    <row r="3105" spans="27:30" x14ac:dyDescent="0.3">
      <c r="AA3105" s="37">
        <v>3085</v>
      </c>
      <c r="AB3105" s="37">
        <v>1.8386122516939145</v>
      </c>
      <c r="AC3105" s="37">
        <v>3.035995478545642</v>
      </c>
      <c r="AD3105" s="37">
        <v>3.4725161071598567</v>
      </c>
    </row>
    <row r="3106" spans="27:30" x14ac:dyDescent="0.3">
      <c r="AA3106" s="37">
        <v>3086</v>
      </c>
      <c r="AB3106" s="37">
        <v>1.7123547492587798</v>
      </c>
      <c r="AC3106" s="37">
        <v>2.8052567500571723</v>
      </c>
      <c r="AD3106" s="37">
        <v>3.3354445960007748</v>
      </c>
    </row>
    <row r="3107" spans="27:30" x14ac:dyDescent="0.3">
      <c r="AA3107" s="37">
        <v>3087</v>
      </c>
      <c r="AB3107" s="37">
        <v>1.8603545848124654</v>
      </c>
      <c r="AC3107" s="37">
        <v>2.7630416113182008</v>
      </c>
      <c r="AD3107" s="37">
        <v>3.3003721474639001</v>
      </c>
    </row>
    <row r="3108" spans="27:30" x14ac:dyDescent="0.3">
      <c r="AA3108" s="37">
        <v>3088</v>
      </c>
      <c r="AB3108" s="37">
        <v>1.7535291468915837</v>
      </c>
      <c r="AC3108" s="37">
        <v>2.7249366878271313</v>
      </c>
      <c r="AD3108" s="37">
        <v>3.0235884690025459</v>
      </c>
    </row>
    <row r="3109" spans="27:30" x14ac:dyDescent="0.3">
      <c r="AA3109" s="37">
        <v>3089</v>
      </c>
      <c r="AB3109" s="37">
        <v>1.8096869312144832</v>
      </c>
      <c r="AC3109" s="37">
        <v>2.9926515521437649</v>
      </c>
      <c r="AD3109" s="37">
        <v>3.3646289230794166</v>
      </c>
    </row>
    <row r="3110" spans="27:30" x14ac:dyDescent="0.3">
      <c r="AA3110" s="37">
        <v>3090</v>
      </c>
      <c r="AB3110" s="37">
        <v>1.7218919069734309</v>
      </c>
      <c r="AC3110" s="37">
        <v>2.9290569802479949</v>
      </c>
      <c r="AD3110" s="37">
        <v>3.4650958099135427</v>
      </c>
    </row>
    <row r="3111" spans="27:30" x14ac:dyDescent="0.3">
      <c r="AA3111" s="37">
        <v>3091</v>
      </c>
      <c r="AB3111" s="37">
        <v>1.8389385273963763</v>
      </c>
      <c r="AC3111" s="37">
        <v>2.8119249928274934</v>
      </c>
      <c r="AD3111" s="37">
        <v>3.4916639756640566</v>
      </c>
    </row>
    <row r="3112" spans="27:30" x14ac:dyDescent="0.3">
      <c r="AA3112" s="37">
        <v>3092</v>
      </c>
      <c r="AB3112" s="37">
        <v>1.8059112294483244</v>
      </c>
      <c r="AC3112" s="37">
        <v>2.7710858651374437</v>
      </c>
      <c r="AD3112" s="37">
        <v>3.5109928280342504</v>
      </c>
    </row>
    <row r="3113" spans="27:30" x14ac:dyDescent="0.3">
      <c r="AA3113" s="37">
        <v>3093</v>
      </c>
      <c r="AB3113" s="37">
        <v>1.8540323863750789</v>
      </c>
      <c r="AC3113" s="37">
        <v>2.8882127919220619</v>
      </c>
      <c r="AD3113" s="37">
        <v>3.3502770556446704</v>
      </c>
    </row>
    <row r="3114" spans="27:30" x14ac:dyDescent="0.3">
      <c r="AA3114" s="37">
        <v>3094</v>
      </c>
      <c r="AB3114" s="37">
        <v>1.8813190407694336</v>
      </c>
      <c r="AC3114" s="37">
        <v>2.9302911893218404</v>
      </c>
      <c r="AD3114" s="37">
        <v>3.3042016466729436</v>
      </c>
    </row>
    <row r="3115" spans="27:30" x14ac:dyDescent="0.3">
      <c r="AA3115" s="37">
        <v>3095</v>
      </c>
      <c r="AB3115" s="37">
        <v>1.9046734271144099</v>
      </c>
      <c r="AC3115" s="37">
        <v>2.7517456174435577</v>
      </c>
      <c r="AD3115" s="37">
        <v>3.3750656111620922</v>
      </c>
    </row>
    <row r="3116" spans="27:30" x14ac:dyDescent="0.3">
      <c r="AA3116" s="37">
        <v>3096</v>
      </c>
      <c r="AB3116" s="37">
        <v>1.6978336247910588</v>
      </c>
      <c r="AC3116" s="37">
        <v>2.9710077211060861</v>
      </c>
      <c r="AD3116" s="37">
        <v>3.5710262801763206</v>
      </c>
    </row>
    <row r="3117" spans="27:30" x14ac:dyDescent="0.3">
      <c r="AA3117" s="37">
        <v>3097</v>
      </c>
      <c r="AB3117" s="37">
        <v>1.7556875400851695</v>
      </c>
      <c r="AC3117" s="37">
        <v>2.9001703015607752</v>
      </c>
      <c r="AD3117" s="37">
        <v>3.1514608285287804</v>
      </c>
    </row>
    <row r="3118" spans="27:30" x14ac:dyDescent="0.3">
      <c r="AA3118" s="37">
        <v>3098</v>
      </c>
      <c r="AB3118" s="37">
        <v>1.7711086477795743</v>
      </c>
      <c r="AC3118" s="37">
        <v>2.8339250487080503</v>
      </c>
      <c r="AD3118" s="37">
        <v>3.4491964497456373</v>
      </c>
    </row>
    <row r="3119" spans="27:30" x14ac:dyDescent="0.3">
      <c r="AA3119" s="37">
        <v>3099</v>
      </c>
      <c r="AB3119" s="37">
        <v>1.794429236351945</v>
      </c>
      <c r="AC3119" s="37">
        <v>2.927420749605826</v>
      </c>
      <c r="AD3119" s="37">
        <v>3.4184344625235497</v>
      </c>
    </row>
    <row r="3120" spans="27:30" x14ac:dyDescent="0.3">
      <c r="AA3120" s="37">
        <v>3100</v>
      </c>
      <c r="AB3120" s="37">
        <v>1.8510455466674158</v>
      </c>
      <c r="AC3120" s="37">
        <v>2.652887037395625</v>
      </c>
      <c r="AD3120" s="37">
        <v>3.3546636163795291</v>
      </c>
    </row>
    <row r="3121" spans="27:30" x14ac:dyDescent="0.3">
      <c r="AA3121" s="37">
        <v>3101</v>
      </c>
      <c r="AB3121" s="37">
        <v>1.930558352053424</v>
      </c>
      <c r="AC3121" s="37">
        <v>2.7719097864644877</v>
      </c>
      <c r="AD3121" s="37">
        <v>3.3236690320792577</v>
      </c>
    </row>
    <row r="3122" spans="27:30" x14ac:dyDescent="0.3">
      <c r="AA3122" s="37">
        <v>3102</v>
      </c>
      <c r="AB3122" s="37">
        <v>1.8169580390896385</v>
      </c>
      <c r="AC3122" s="37">
        <v>2.7402853431049379</v>
      </c>
      <c r="AD3122" s="37">
        <v>3.4466323956490732</v>
      </c>
    </row>
    <row r="3123" spans="27:30" x14ac:dyDescent="0.3">
      <c r="AA3123" s="37">
        <v>3103</v>
      </c>
      <c r="AB3123" s="37">
        <v>1.7170318414934254</v>
      </c>
      <c r="AC3123" s="37">
        <v>2.9338016556315036</v>
      </c>
      <c r="AD3123" s="37">
        <v>3.3322875297987222</v>
      </c>
    </row>
    <row r="3124" spans="27:30" x14ac:dyDescent="0.3">
      <c r="AA3124" s="37">
        <v>3104</v>
      </c>
      <c r="AB3124" s="37">
        <v>1.7177246204329397</v>
      </c>
      <c r="AC3124" s="37">
        <v>2.8954190145609884</v>
      </c>
      <c r="AD3124" s="37">
        <v>3.4949287720459257</v>
      </c>
    </row>
    <row r="3125" spans="27:30" x14ac:dyDescent="0.3">
      <c r="AA3125" s="37">
        <v>3105</v>
      </c>
      <c r="AB3125" s="37">
        <v>1.8593177498810263</v>
      </c>
      <c r="AC3125" s="37">
        <v>2.7577315361736883</v>
      </c>
      <c r="AD3125" s="37">
        <v>3.2514774212337301</v>
      </c>
    </row>
    <row r="3126" spans="27:30" x14ac:dyDescent="0.3">
      <c r="AA3126" s="37">
        <v>3106</v>
      </c>
      <c r="AB3126" s="37">
        <v>1.787985681154052</v>
      </c>
      <c r="AC3126" s="37">
        <v>3.0189331650360698</v>
      </c>
      <c r="AD3126" s="37">
        <v>3.3026637672545536</v>
      </c>
    </row>
    <row r="3127" spans="27:30" x14ac:dyDescent="0.3">
      <c r="AA3127" s="37">
        <v>3107</v>
      </c>
      <c r="AB3127" s="37">
        <v>1.7915111472303393</v>
      </c>
      <c r="AC3127" s="37">
        <v>2.6853019435053525</v>
      </c>
      <c r="AD3127" s="37">
        <v>3.2105425285725619</v>
      </c>
    </row>
    <row r="3128" spans="27:30" x14ac:dyDescent="0.3">
      <c r="AA3128" s="37">
        <v>3108</v>
      </c>
      <c r="AB3128" s="37">
        <v>1.7012256349470061</v>
      </c>
      <c r="AC3128" s="37">
        <v>2.8094473198889971</v>
      </c>
      <c r="AD3128" s="37">
        <v>3.301884416608829</v>
      </c>
    </row>
    <row r="3129" spans="27:30" x14ac:dyDescent="0.3">
      <c r="AA3129" s="37">
        <v>3109</v>
      </c>
      <c r="AB3129" s="37">
        <v>1.7763803038552004</v>
      </c>
      <c r="AC3129" s="37">
        <v>2.7798313099934742</v>
      </c>
      <c r="AD3129" s="37">
        <v>3.7078505091784373</v>
      </c>
    </row>
    <row r="3130" spans="27:30" x14ac:dyDescent="0.3">
      <c r="AA3130" s="37">
        <v>3110</v>
      </c>
      <c r="AB3130" s="37">
        <v>1.6574415064811794</v>
      </c>
      <c r="AC3130" s="37">
        <v>2.6231496227214661</v>
      </c>
      <c r="AD3130" s="37">
        <v>3.3632702818311433</v>
      </c>
    </row>
    <row r="3131" spans="27:30" x14ac:dyDescent="0.3">
      <c r="AA3131" s="37">
        <v>3111</v>
      </c>
      <c r="AB3131" s="37">
        <v>1.8233232231714982</v>
      </c>
      <c r="AC3131" s="37">
        <v>2.9127304525883542</v>
      </c>
      <c r="AD3131" s="37">
        <v>3.353602371171486</v>
      </c>
    </row>
    <row r="3132" spans="27:30" x14ac:dyDescent="0.3">
      <c r="AA3132" s="37">
        <v>3112</v>
      </c>
      <c r="AB3132" s="37">
        <v>1.7957048175853974</v>
      </c>
      <c r="AC3132" s="37">
        <v>2.9974046234930314</v>
      </c>
      <c r="AD3132" s="37">
        <v>3.2312698845526437</v>
      </c>
    </row>
    <row r="3133" spans="27:30" x14ac:dyDescent="0.3">
      <c r="AA3133" s="37">
        <v>3113</v>
      </c>
      <c r="AB3133" s="37">
        <v>1.8210780350408731</v>
      </c>
      <c r="AC3133" s="37">
        <v>2.9107230819227907</v>
      </c>
      <c r="AD3133" s="37">
        <v>3.338488844287316</v>
      </c>
    </row>
    <row r="3134" spans="27:30" x14ac:dyDescent="0.3">
      <c r="AA3134" s="37">
        <v>3114</v>
      </c>
      <c r="AB3134" s="37">
        <v>1.9343071549443658</v>
      </c>
      <c r="AC3134" s="37">
        <v>2.8330803697952196</v>
      </c>
      <c r="AD3134" s="37">
        <v>3.4301813495415172</v>
      </c>
    </row>
    <row r="3135" spans="27:30" x14ac:dyDescent="0.3">
      <c r="AA3135" s="37">
        <v>3115</v>
      </c>
      <c r="AB3135" s="37">
        <v>1.6909923568471312</v>
      </c>
      <c r="AC3135" s="37">
        <v>2.9133623758382656</v>
      </c>
      <c r="AD3135" s="37">
        <v>3.6115121965266481</v>
      </c>
    </row>
    <row r="3136" spans="27:30" x14ac:dyDescent="0.3">
      <c r="AA3136" s="37">
        <v>3116</v>
      </c>
      <c r="AB3136" s="37">
        <v>1.9265625311849097</v>
      </c>
      <c r="AC3136" s="37">
        <v>2.9754041641546789</v>
      </c>
      <c r="AD3136" s="37">
        <v>3.1891278658028304</v>
      </c>
    </row>
    <row r="3137" spans="27:30" x14ac:dyDescent="0.3">
      <c r="AA3137" s="37">
        <v>3117</v>
      </c>
      <c r="AB3137" s="37">
        <v>1.7812289499620839</v>
      </c>
      <c r="AC3137" s="37">
        <v>2.8048102935799379</v>
      </c>
      <c r="AD3137" s="37">
        <v>3.3026608541350235</v>
      </c>
    </row>
    <row r="3138" spans="27:30" x14ac:dyDescent="0.3">
      <c r="AA3138" s="37">
        <v>3118</v>
      </c>
      <c r="AB3138" s="37">
        <v>1.8342135610402732</v>
      </c>
      <c r="AC3138" s="37">
        <v>2.8022411047314191</v>
      </c>
      <c r="AD3138" s="37">
        <v>3.1351083692820549</v>
      </c>
    </row>
    <row r="3139" spans="27:30" x14ac:dyDescent="0.3">
      <c r="AA3139" s="37">
        <v>3119</v>
      </c>
      <c r="AB3139" s="37">
        <v>1.7504257608964029</v>
      </c>
      <c r="AC3139" s="37">
        <v>2.7136383368844967</v>
      </c>
      <c r="AD3139" s="37">
        <v>3.2616022632872821</v>
      </c>
    </row>
    <row r="3140" spans="27:30" x14ac:dyDescent="0.3">
      <c r="AA3140" s="37">
        <v>3120</v>
      </c>
      <c r="AB3140" s="37">
        <v>1.7782631737293095</v>
      </c>
      <c r="AC3140" s="37">
        <v>2.754016767787697</v>
      </c>
      <c r="AD3140" s="37">
        <v>3.2050382180278429</v>
      </c>
    </row>
    <row r="3141" spans="27:30" x14ac:dyDescent="0.3">
      <c r="AA3141" s="37">
        <v>3121</v>
      </c>
      <c r="AB3141" s="37">
        <v>1.8356245157326845</v>
      </c>
      <c r="AC3141" s="37">
        <v>2.8032761240437556</v>
      </c>
      <c r="AD3141" s="37">
        <v>3.4276746273844556</v>
      </c>
    </row>
    <row r="3142" spans="27:30" x14ac:dyDescent="0.3">
      <c r="AA3142" s="37">
        <v>3122</v>
      </c>
      <c r="AB3142" s="37">
        <v>1.743019194845737</v>
      </c>
      <c r="AC3142" s="37">
        <v>2.7463329824916425</v>
      </c>
      <c r="AD3142" s="37">
        <v>3.3440896753053653</v>
      </c>
    </row>
    <row r="3143" spans="27:30" x14ac:dyDescent="0.3">
      <c r="AA3143" s="37">
        <v>3123</v>
      </c>
      <c r="AB3143" s="37">
        <v>1.9087196752654685</v>
      </c>
      <c r="AC3143" s="37">
        <v>2.9874034202384938</v>
      </c>
      <c r="AD3143" s="37">
        <v>3.4045865133948849</v>
      </c>
    </row>
    <row r="3144" spans="27:30" x14ac:dyDescent="0.3">
      <c r="AA3144" s="37">
        <v>3124</v>
      </c>
      <c r="AB3144" s="37">
        <v>1.7793707664643308</v>
      </c>
      <c r="AC3144" s="37">
        <v>2.7615247200330142</v>
      </c>
      <c r="AD3144" s="37">
        <v>3.4681170034351094</v>
      </c>
    </row>
    <row r="3145" spans="27:30" x14ac:dyDescent="0.3">
      <c r="AA3145" s="37">
        <v>3125</v>
      </c>
      <c r="AB3145" s="37">
        <v>1.8292715059610158</v>
      </c>
      <c r="AC3145" s="37">
        <v>2.9660424502706837</v>
      </c>
      <c r="AD3145" s="37">
        <v>3.3461121308289137</v>
      </c>
    </row>
    <row r="3146" spans="27:30" x14ac:dyDescent="0.3">
      <c r="AA3146" s="37">
        <v>3126</v>
      </c>
      <c r="AB3146" s="37">
        <v>1.882345463420708</v>
      </c>
      <c r="AC3146" s="37">
        <v>2.9523713127063895</v>
      </c>
      <c r="AD3146" s="37">
        <v>3.4111974310697586</v>
      </c>
    </row>
    <row r="3147" spans="27:30" x14ac:dyDescent="0.3">
      <c r="AA3147" s="37">
        <v>3127</v>
      </c>
      <c r="AB3147" s="37">
        <v>1.8823906586209145</v>
      </c>
      <c r="AC3147" s="37">
        <v>2.9527822233826457</v>
      </c>
      <c r="AD3147" s="37">
        <v>3.4730628633873679</v>
      </c>
    </row>
    <row r="3148" spans="27:30" x14ac:dyDescent="0.3">
      <c r="AA3148" s="37">
        <v>3128</v>
      </c>
      <c r="AB3148" s="37">
        <v>1.718150389049389</v>
      </c>
      <c r="AC3148" s="37">
        <v>2.8619514267071398</v>
      </c>
      <c r="AD3148" s="37">
        <v>3.2488261019109403</v>
      </c>
    </row>
    <row r="3149" spans="27:30" x14ac:dyDescent="0.3">
      <c r="AA3149" s="37">
        <v>3129</v>
      </c>
      <c r="AB3149" s="37">
        <v>1.8627567403905585</v>
      </c>
      <c r="AC3149" s="37">
        <v>3.0058079941225118</v>
      </c>
      <c r="AD3149" s="37">
        <v>3.2600475176683621</v>
      </c>
    </row>
    <row r="3150" spans="27:30" x14ac:dyDescent="0.3">
      <c r="AA3150" s="37">
        <v>3130</v>
      </c>
      <c r="AB3150" s="37">
        <v>1.77164166399788</v>
      </c>
      <c r="AC3150" s="37">
        <v>2.781861190273959</v>
      </c>
      <c r="AD3150" s="37">
        <v>3.2260188945023525</v>
      </c>
    </row>
    <row r="3151" spans="27:30" x14ac:dyDescent="0.3">
      <c r="AA3151" s="37">
        <v>3131</v>
      </c>
      <c r="AB3151" s="37">
        <v>1.9225439069331813</v>
      </c>
      <c r="AC3151" s="37">
        <v>2.7232264301912958</v>
      </c>
      <c r="AD3151" s="37">
        <v>3.4309218887560506</v>
      </c>
    </row>
    <row r="3152" spans="27:30" x14ac:dyDescent="0.3">
      <c r="AA3152" s="37">
        <v>3132</v>
      </c>
      <c r="AB3152" s="37">
        <v>1.7742964211182941</v>
      </c>
      <c r="AC3152" s="37">
        <v>2.7658048815724028</v>
      </c>
      <c r="AD3152" s="37">
        <v>3.4174908802019983</v>
      </c>
    </row>
    <row r="3153" spans="27:30" x14ac:dyDescent="0.3">
      <c r="AA3153" s="37">
        <v>3133</v>
      </c>
      <c r="AB3153" s="37">
        <v>1.8737674763155459</v>
      </c>
      <c r="AC3153" s="37">
        <v>2.6693718302433549</v>
      </c>
      <c r="AD3153" s="37">
        <v>3.4542526349570406</v>
      </c>
    </row>
    <row r="3154" spans="27:30" x14ac:dyDescent="0.3">
      <c r="AA3154" s="37">
        <v>3134</v>
      </c>
      <c r="AB3154" s="37">
        <v>1.736699817383256</v>
      </c>
      <c r="AC3154" s="37">
        <v>3.01602366333996</v>
      </c>
      <c r="AD3154" s="37">
        <v>3.4717881810312741</v>
      </c>
    </row>
    <row r="3155" spans="27:30" x14ac:dyDescent="0.3">
      <c r="AA3155" s="37">
        <v>3135</v>
      </c>
      <c r="AB3155" s="37">
        <v>1.7356538195481583</v>
      </c>
      <c r="AC3155" s="37">
        <v>2.6035851342363108</v>
      </c>
      <c r="AD3155" s="37">
        <v>3.50511090149263</v>
      </c>
    </row>
    <row r="3156" spans="27:30" x14ac:dyDescent="0.3">
      <c r="AA3156" s="37">
        <v>3136</v>
      </c>
      <c r="AB3156" s="37">
        <v>1.7106284896173882</v>
      </c>
      <c r="AC3156" s="37">
        <v>2.9069497949604424</v>
      </c>
      <c r="AD3156" s="37">
        <v>3.3691135279544864</v>
      </c>
    </row>
    <row r="3157" spans="27:30" x14ac:dyDescent="0.3">
      <c r="AA3157" s="37">
        <v>3137</v>
      </c>
      <c r="AB3157" s="37">
        <v>1.8196901956862044</v>
      </c>
      <c r="AC3157" s="37">
        <v>2.9296511985128397</v>
      </c>
      <c r="AD3157" s="37">
        <v>3.2995229046912358</v>
      </c>
    </row>
    <row r="3158" spans="27:30" x14ac:dyDescent="0.3">
      <c r="AA3158" s="37">
        <v>3138</v>
      </c>
      <c r="AB3158" s="37">
        <v>1.8875799653694612</v>
      </c>
      <c r="AC3158" s="37">
        <v>2.8220047767663399</v>
      </c>
      <c r="AD3158" s="37">
        <v>3.2076542005371458</v>
      </c>
    </row>
    <row r="3159" spans="27:30" x14ac:dyDescent="0.3">
      <c r="AA3159" s="37">
        <v>3139</v>
      </c>
      <c r="AB3159" s="37">
        <v>1.8269218809861942</v>
      </c>
      <c r="AC3159" s="37">
        <v>2.8030866316830387</v>
      </c>
      <c r="AD3159" s="37">
        <v>3.3192966090672047</v>
      </c>
    </row>
    <row r="3160" spans="27:30" x14ac:dyDescent="0.3">
      <c r="AA3160" s="37">
        <v>3140</v>
      </c>
      <c r="AB3160" s="37">
        <v>1.701446534126789</v>
      </c>
      <c r="AC3160" s="37">
        <v>2.881994337272094</v>
      </c>
      <c r="AD3160" s="37">
        <v>3.3955152387749945</v>
      </c>
    </row>
    <row r="3161" spans="27:30" x14ac:dyDescent="0.3">
      <c r="AA3161" s="37">
        <v>3141</v>
      </c>
      <c r="AB3161" s="37">
        <v>1.8130225699100917</v>
      </c>
      <c r="AC3161" s="37">
        <v>2.9064585936404765</v>
      </c>
      <c r="AD3161" s="37">
        <v>3.4462437447289735</v>
      </c>
    </row>
    <row r="3162" spans="27:30" x14ac:dyDescent="0.3">
      <c r="AA3162" s="37">
        <v>3142</v>
      </c>
      <c r="AB3162" s="37">
        <v>1.8244606707452595</v>
      </c>
      <c r="AC3162" s="37">
        <v>2.8938131344993292</v>
      </c>
      <c r="AD3162" s="37">
        <v>3.3506322135861928</v>
      </c>
    </row>
    <row r="3163" spans="27:30" x14ac:dyDescent="0.3">
      <c r="AA3163" s="37">
        <v>3143</v>
      </c>
      <c r="AB3163" s="37">
        <v>1.8441076430172065</v>
      </c>
      <c r="AC3163" s="37">
        <v>3.0076709983394956</v>
      </c>
      <c r="AD3163" s="37">
        <v>3.5509503636186506</v>
      </c>
    </row>
    <row r="3164" spans="27:30" x14ac:dyDescent="0.3">
      <c r="AA3164" s="37">
        <v>3144</v>
      </c>
      <c r="AB3164" s="37">
        <v>1.7394643967200292</v>
      </c>
      <c r="AC3164" s="37">
        <v>2.8435622445608613</v>
      </c>
      <c r="AD3164" s="37">
        <v>3.2921859737440529</v>
      </c>
    </row>
    <row r="3165" spans="27:30" x14ac:dyDescent="0.3">
      <c r="AA3165" s="37">
        <v>3145</v>
      </c>
      <c r="AB3165" s="37">
        <v>1.6817941250889419</v>
      </c>
      <c r="AC3165" s="37">
        <v>2.7194363876422467</v>
      </c>
      <c r="AD3165" s="37">
        <v>3.3973461527618447</v>
      </c>
    </row>
    <row r="3166" spans="27:30" x14ac:dyDescent="0.3">
      <c r="AA3166" s="37">
        <v>3146</v>
      </c>
      <c r="AB3166" s="37">
        <v>1.7848710974499218</v>
      </c>
      <c r="AC3166" s="37">
        <v>2.6724224232520672</v>
      </c>
      <c r="AD3166" s="37">
        <v>3.5200553800403771</v>
      </c>
    </row>
    <row r="3167" spans="27:30" x14ac:dyDescent="0.3">
      <c r="AA3167" s="37">
        <v>3147</v>
      </c>
      <c r="AB3167" s="37">
        <v>1.785869375973054</v>
      </c>
      <c r="AC3167" s="37">
        <v>2.7224940392512074</v>
      </c>
      <c r="AD3167" s="37">
        <v>3.1790275731520379</v>
      </c>
    </row>
    <row r="3168" spans="27:30" x14ac:dyDescent="0.3">
      <c r="AA3168" s="37">
        <v>3148</v>
      </c>
      <c r="AB3168" s="37">
        <v>1.7405915872282212</v>
      </c>
      <c r="AC3168" s="37">
        <v>2.9122192418250563</v>
      </c>
      <c r="AD3168" s="37">
        <v>3.2760827066353526</v>
      </c>
    </row>
    <row r="3169" spans="27:30" x14ac:dyDescent="0.3">
      <c r="AA3169" s="37">
        <v>3149</v>
      </c>
      <c r="AB3169" s="37">
        <v>1.7355182011129728</v>
      </c>
      <c r="AC3169" s="37">
        <v>2.8802759839712309</v>
      </c>
      <c r="AD3169" s="37">
        <v>3.3414311016916209</v>
      </c>
    </row>
    <row r="3170" spans="27:30" x14ac:dyDescent="0.3">
      <c r="AA3170" s="37">
        <v>3150</v>
      </c>
      <c r="AB3170" s="37">
        <v>1.7849633651214936</v>
      </c>
      <c r="AC3170" s="37">
        <v>2.8778023614079093</v>
      </c>
      <c r="AD3170" s="37">
        <v>3.3126987720037162</v>
      </c>
    </row>
    <row r="3171" spans="27:30" x14ac:dyDescent="0.3">
      <c r="AA3171" s="37">
        <v>3151</v>
      </c>
      <c r="AB3171" s="37">
        <v>1.6594826599209205</v>
      </c>
      <c r="AC3171" s="37">
        <v>2.8844801354406413</v>
      </c>
      <c r="AD3171" s="37">
        <v>3.3391660964305108</v>
      </c>
    </row>
    <row r="3172" spans="27:30" x14ac:dyDescent="0.3">
      <c r="AA3172" s="37">
        <v>3152</v>
      </c>
      <c r="AB3172" s="37">
        <v>1.7320483518910073</v>
      </c>
      <c r="AC3172" s="37">
        <v>2.8750986863452352</v>
      </c>
      <c r="AD3172" s="37">
        <v>3.4571945699178341</v>
      </c>
    </row>
    <row r="3173" spans="27:30" x14ac:dyDescent="0.3">
      <c r="AA3173" s="37">
        <v>3153</v>
      </c>
      <c r="AB3173" s="37">
        <v>1.7333783461651229</v>
      </c>
      <c r="AC3173" s="37">
        <v>2.8726234594340139</v>
      </c>
      <c r="AD3173" s="37">
        <v>3.4183122962110337</v>
      </c>
    </row>
    <row r="3174" spans="27:30" x14ac:dyDescent="0.3">
      <c r="AA3174" s="37">
        <v>3154</v>
      </c>
      <c r="AB3174" s="37">
        <v>1.8703074978059049</v>
      </c>
      <c r="AC3174" s="37">
        <v>2.7919945615994743</v>
      </c>
      <c r="AD3174" s="37">
        <v>3.4394335908874121</v>
      </c>
    </row>
    <row r="3175" spans="27:30" x14ac:dyDescent="0.3">
      <c r="AA3175" s="37">
        <v>3155</v>
      </c>
      <c r="AB3175" s="37">
        <v>1.7445604315397418</v>
      </c>
      <c r="AC3175" s="37">
        <v>2.6706535839446386</v>
      </c>
      <c r="AD3175" s="37">
        <v>3.411546038276668</v>
      </c>
    </row>
    <row r="3176" spans="27:30" x14ac:dyDescent="0.3">
      <c r="AA3176" s="37">
        <v>3156</v>
      </c>
      <c r="AB3176" s="37">
        <v>1.8019037555661583</v>
      </c>
      <c r="AC3176" s="37">
        <v>2.7111341082872489</v>
      </c>
      <c r="AD3176" s="37">
        <v>3.5297786651221061</v>
      </c>
    </row>
    <row r="3177" spans="27:30" x14ac:dyDescent="0.3">
      <c r="AA3177" s="37">
        <v>3157</v>
      </c>
      <c r="AB3177" s="37">
        <v>1.7838448413181809</v>
      </c>
      <c r="AC3177" s="37">
        <v>2.8476958225097988</v>
      </c>
      <c r="AD3177" s="37">
        <v>3.3650723658583401</v>
      </c>
    </row>
    <row r="3178" spans="27:30" x14ac:dyDescent="0.3">
      <c r="AA3178" s="37">
        <v>3158</v>
      </c>
      <c r="AB3178" s="37">
        <v>1.7207814987472065</v>
      </c>
      <c r="AC3178" s="37">
        <v>2.8359153792315377</v>
      </c>
      <c r="AD3178" s="37">
        <v>3.351495087555338</v>
      </c>
    </row>
    <row r="3179" spans="27:30" x14ac:dyDescent="0.3">
      <c r="AA3179" s="37">
        <v>3159</v>
      </c>
      <c r="AB3179" s="37">
        <v>1.7616146022733132</v>
      </c>
      <c r="AC3179" s="37">
        <v>2.8156208600965256</v>
      </c>
      <c r="AD3179" s="37">
        <v>3.4969315973558053</v>
      </c>
    </row>
    <row r="3180" spans="27:30" x14ac:dyDescent="0.3">
      <c r="AA3180" s="37">
        <v>3160</v>
      </c>
      <c r="AB3180" s="37">
        <v>1.8250453162103464</v>
      </c>
      <c r="AC3180" s="37">
        <v>2.8470482239298271</v>
      </c>
      <c r="AD3180" s="37">
        <v>3.1753428424780497</v>
      </c>
    </row>
    <row r="3181" spans="27:30" x14ac:dyDescent="0.3">
      <c r="AA3181" s="37">
        <v>3161</v>
      </c>
      <c r="AB3181" s="37">
        <v>1.8039144030123648</v>
      </c>
      <c r="AC3181" s="37">
        <v>2.8719495789243688</v>
      </c>
      <c r="AD3181" s="37">
        <v>3.2741911489572684</v>
      </c>
    </row>
    <row r="3182" spans="27:30" x14ac:dyDescent="0.3">
      <c r="AA3182" s="37">
        <v>3162</v>
      </c>
      <c r="AB3182" s="37">
        <v>1.7080757634610804</v>
      </c>
      <c r="AC3182" s="37">
        <v>3.0163488052105176</v>
      </c>
      <c r="AD3182" s="37">
        <v>3.0665940641385911</v>
      </c>
    </row>
    <row r="3183" spans="27:30" x14ac:dyDescent="0.3">
      <c r="AA3183" s="37">
        <v>3163</v>
      </c>
      <c r="AB3183" s="37">
        <v>1.7429823085848013</v>
      </c>
      <c r="AC3183" s="37">
        <v>2.7554302325913</v>
      </c>
      <c r="AD3183" s="37">
        <v>3.5374416831848996</v>
      </c>
    </row>
    <row r="3184" spans="27:30" x14ac:dyDescent="0.3">
      <c r="AA3184" s="37">
        <v>3164</v>
      </c>
      <c r="AB3184" s="37">
        <v>1.8503451653114267</v>
      </c>
      <c r="AC3184" s="37">
        <v>2.9247505517258126</v>
      </c>
      <c r="AD3184" s="37">
        <v>3.1883610657078632</v>
      </c>
    </row>
    <row r="3185" spans="27:30" x14ac:dyDescent="0.3">
      <c r="AA3185" s="37">
        <v>3165</v>
      </c>
      <c r="AB3185" s="37">
        <v>1.7568809271660384</v>
      </c>
      <c r="AC3185" s="37">
        <v>2.6939140347488091</v>
      </c>
      <c r="AD3185" s="37">
        <v>3.316882254239947</v>
      </c>
    </row>
    <row r="3186" spans="27:30" x14ac:dyDescent="0.3">
      <c r="AA3186" s="37">
        <v>3166</v>
      </c>
      <c r="AB3186" s="37">
        <v>1.8401148192613801</v>
      </c>
      <c r="AC3186" s="37">
        <v>2.9227692479847338</v>
      </c>
      <c r="AD3186" s="37">
        <v>3.4752493426963857</v>
      </c>
    </row>
    <row r="3187" spans="27:30" x14ac:dyDescent="0.3">
      <c r="AA3187" s="37">
        <v>3167</v>
      </c>
      <c r="AB3187" s="37">
        <v>1.7785551223198353</v>
      </c>
      <c r="AC3187" s="37">
        <v>2.8992067596277393</v>
      </c>
      <c r="AD3187" s="37">
        <v>3.3010084594912863</v>
      </c>
    </row>
    <row r="3188" spans="27:30" x14ac:dyDescent="0.3">
      <c r="AA3188" s="37">
        <v>3168</v>
      </c>
      <c r="AB3188" s="37">
        <v>1.7813113203796553</v>
      </c>
      <c r="AC3188" s="37">
        <v>2.730830221598044</v>
      </c>
      <c r="AD3188" s="37">
        <v>3.2727568215315821</v>
      </c>
    </row>
    <row r="3189" spans="27:30" x14ac:dyDescent="0.3">
      <c r="AA3189" s="37">
        <v>3169</v>
      </c>
      <c r="AB3189" s="37">
        <v>1.7046658866414937</v>
      </c>
      <c r="AC3189" s="37">
        <v>2.8070207797676758</v>
      </c>
      <c r="AD3189" s="37">
        <v>3.4353434693405664</v>
      </c>
    </row>
    <row r="3190" spans="27:30" x14ac:dyDescent="0.3">
      <c r="AA3190" s="37">
        <v>3170</v>
      </c>
      <c r="AB3190" s="37">
        <v>1.7841997198905368</v>
      </c>
      <c r="AC3190" s="37">
        <v>2.9100900521209039</v>
      </c>
      <c r="AD3190" s="37">
        <v>3.3223192868621356</v>
      </c>
    </row>
    <row r="3191" spans="27:30" x14ac:dyDescent="0.3">
      <c r="AA3191" s="37">
        <v>3171</v>
      </c>
      <c r="AB3191" s="37">
        <v>1.8551239853489423</v>
      </c>
      <c r="AC3191" s="37">
        <v>2.7066704048493686</v>
      </c>
      <c r="AD3191" s="37">
        <v>3.3112251495285587</v>
      </c>
    </row>
    <row r="3192" spans="27:30" x14ac:dyDescent="0.3">
      <c r="AA3192" s="37">
        <v>3172</v>
      </c>
      <c r="AB3192" s="37">
        <v>1.7311936109309265</v>
      </c>
      <c r="AC3192" s="37">
        <v>2.7734060270138188</v>
      </c>
      <c r="AD3192" s="37">
        <v>3.3452351550517658</v>
      </c>
    </row>
    <row r="3193" spans="27:30" x14ac:dyDescent="0.3">
      <c r="AA3193" s="37">
        <v>3173</v>
      </c>
      <c r="AB3193" s="37">
        <v>1.8739286998865701</v>
      </c>
      <c r="AC3193" s="37">
        <v>2.9172386521145652</v>
      </c>
      <c r="AD3193" s="37">
        <v>3.3714321443982991</v>
      </c>
    </row>
    <row r="3194" spans="27:30" x14ac:dyDescent="0.3">
      <c r="AA3194" s="37">
        <v>3174</v>
      </c>
      <c r="AB3194" s="37">
        <v>1.8099245299207165</v>
      </c>
      <c r="AC3194" s="37">
        <v>2.7951660731283905</v>
      </c>
      <c r="AD3194" s="37">
        <v>3.4636562110904174</v>
      </c>
    </row>
    <row r="3195" spans="27:30" x14ac:dyDescent="0.3">
      <c r="AA3195" s="37">
        <v>3175</v>
      </c>
      <c r="AB3195" s="37">
        <v>1.8896183029080105</v>
      </c>
      <c r="AC3195" s="37">
        <v>2.8906711600226456</v>
      </c>
      <c r="AD3195" s="37">
        <v>3.2748333851329225</v>
      </c>
    </row>
    <row r="3196" spans="27:30" x14ac:dyDescent="0.3">
      <c r="AA3196" s="37">
        <v>3176</v>
      </c>
      <c r="AB3196" s="37">
        <v>1.7323462961307714</v>
      </c>
      <c r="AC3196" s="37">
        <v>3.0856857261622741</v>
      </c>
      <c r="AD3196" s="37">
        <v>3.3240073022347425</v>
      </c>
    </row>
    <row r="3197" spans="27:30" x14ac:dyDescent="0.3">
      <c r="AA3197" s="37">
        <v>3177</v>
      </c>
      <c r="AB3197" s="37">
        <v>1.6409294072214882</v>
      </c>
      <c r="AC3197" s="37">
        <v>2.9624620022520771</v>
      </c>
      <c r="AD3197" s="37">
        <v>3.1798048539334141</v>
      </c>
    </row>
    <row r="3198" spans="27:30" x14ac:dyDescent="0.3">
      <c r="AA3198" s="37">
        <v>3178</v>
      </c>
      <c r="AB3198" s="37">
        <v>1.7266338813502016</v>
      </c>
      <c r="AC3198" s="37">
        <v>2.6904643260739145</v>
      </c>
      <c r="AD3198" s="37">
        <v>3.4018805597697956</v>
      </c>
    </row>
    <row r="3199" spans="27:30" x14ac:dyDescent="0.3">
      <c r="AA3199" s="37">
        <v>3179</v>
      </c>
      <c r="AB3199" s="37">
        <v>1.7513604333169592</v>
      </c>
      <c r="AC3199" s="37">
        <v>2.7331257952305927</v>
      </c>
      <c r="AD3199" s="37">
        <v>3.3568102929065309</v>
      </c>
    </row>
    <row r="3200" spans="27:30" x14ac:dyDescent="0.3">
      <c r="AA3200" s="37">
        <v>3180</v>
      </c>
      <c r="AB3200" s="37">
        <v>1.7996328949240596</v>
      </c>
      <c r="AC3200" s="37">
        <v>2.9009444636310522</v>
      </c>
      <c r="AD3200" s="37">
        <v>3.4405079276906041</v>
      </c>
    </row>
    <row r="3201" spans="27:30" x14ac:dyDescent="0.3">
      <c r="AA3201" s="37">
        <v>3181</v>
      </c>
      <c r="AB3201" s="37">
        <v>1.7260369829115345</v>
      </c>
      <c r="AC3201" s="37">
        <v>2.9730861219382416</v>
      </c>
      <c r="AD3201" s="37">
        <v>3.3525543784372913</v>
      </c>
    </row>
    <row r="3202" spans="27:30" x14ac:dyDescent="0.3">
      <c r="AA3202" s="37">
        <v>3182</v>
      </c>
      <c r="AB3202" s="37">
        <v>1.8225506937956963</v>
      </c>
      <c r="AC3202" s="37">
        <v>2.8995634047791796</v>
      </c>
      <c r="AD3202" s="37">
        <v>3.4672892139863243</v>
      </c>
    </row>
    <row r="3203" spans="27:30" x14ac:dyDescent="0.3">
      <c r="AA3203" s="37">
        <v>3183</v>
      </c>
      <c r="AB3203" s="37">
        <v>1.7420547808303408</v>
      </c>
      <c r="AC3203" s="37">
        <v>2.6912690730897264</v>
      </c>
      <c r="AD3203" s="37">
        <v>3.3422676835308889</v>
      </c>
    </row>
    <row r="3204" spans="27:30" x14ac:dyDescent="0.3">
      <c r="AA3204" s="37">
        <v>3184</v>
      </c>
      <c r="AB3204" s="37">
        <v>1.6562037801370677</v>
      </c>
      <c r="AC3204" s="37">
        <v>2.9146721391915036</v>
      </c>
      <c r="AD3204" s="37">
        <v>3.2601865981024876</v>
      </c>
    </row>
    <row r="3205" spans="27:30" x14ac:dyDescent="0.3">
      <c r="AA3205" s="37">
        <v>3185</v>
      </c>
      <c r="AB3205" s="37">
        <v>1.6647393126879222</v>
      </c>
      <c r="AC3205" s="37">
        <v>2.8909150236846717</v>
      </c>
      <c r="AD3205" s="37">
        <v>3.1686986291134196</v>
      </c>
    </row>
    <row r="3206" spans="27:30" x14ac:dyDescent="0.3">
      <c r="AA3206" s="37">
        <v>3186</v>
      </c>
      <c r="AB3206" s="37">
        <v>1.7797393373337285</v>
      </c>
      <c r="AC3206" s="37">
        <v>2.9922423627496237</v>
      </c>
      <c r="AD3206" s="37">
        <v>3.5344040103481138</v>
      </c>
    </row>
    <row r="3207" spans="27:30" x14ac:dyDescent="0.3">
      <c r="AA3207" s="37">
        <v>3187</v>
      </c>
      <c r="AB3207" s="37">
        <v>1.7275831467721383</v>
      </c>
      <c r="AC3207" s="37">
        <v>2.6613872624007295</v>
      </c>
      <c r="AD3207" s="37">
        <v>3.3359155822401489</v>
      </c>
    </row>
    <row r="3208" spans="27:30" x14ac:dyDescent="0.3">
      <c r="AA3208" s="37">
        <v>3188</v>
      </c>
      <c r="AB3208" s="37">
        <v>1.8434621947472876</v>
      </c>
      <c r="AC3208" s="37">
        <v>2.8779793451620912</v>
      </c>
      <c r="AD3208" s="37">
        <v>3.0980367281759222</v>
      </c>
    </row>
    <row r="3209" spans="27:30" x14ac:dyDescent="0.3">
      <c r="AA3209" s="37">
        <v>3189</v>
      </c>
      <c r="AB3209" s="37">
        <v>1.7563201410336788</v>
      </c>
      <c r="AC3209" s="37">
        <v>2.6748054348329715</v>
      </c>
      <c r="AD3209" s="37">
        <v>3.2869595107086234</v>
      </c>
    </row>
    <row r="3210" spans="27:30" x14ac:dyDescent="0.3">
      <c r="AA3210" s="37">
        <v>3190</v>
      </c>
      <c r="AB3210" s="37">
        <v>1.8232647730557585</v>
      </c>
      <c r="AC3210" s="37">
        <v>2.6264996073223026</v>
      </c>
      <c r="AD3210" s="37">
        <v>3.1363747680069594</v>
      </c>
    </row>
    <row r="3211" spans="27:30" x14ac:dyDescent="0.3">
      <c r="AA3211" s="37">
        <v>3191</v>
      </c>
      <c r="AB3211" s="37">
        <v>1.9657562566017617</v>
      </c>
      <c r="AC3211" s="37">
        <v>2.6871512091496452</v>
      </c>
      <c r="AD3211" s="37">
        <v>3.4030403337192214</v>
      </c>
    </row>
    <row r="3212" spans="27:30" x14ac:dyDescent="0.3">
      <c r="AA3212" s="37">
        <v>3192</v>
      </c>
      <c r="AB3212" s="37">
        <v>1.638015030545501</v>
      </c>
      <c r="AC3212" s="37">
        <v>2.7495070527235215</v>
      </c>
      <c r="AD3212" s="37">
        <v>3.3481184539183619</v>
      </c>
    </row>
    <row r="3213" spans="27:30" x14ac:dyDescent="0.3">
      <c r="AA3213" s="37">
        <v>3193</v>
      </c>
      <c r="AB3213" s="37">
        <v>1.8316835018941566</v>
      </c>
      <c r="AC3213" s="37">
        <v>2.8303680297514342</v>
      </c>
      <c r="AD3213" s="37">
        <v>3.2852287193739036</v>
      </c>
    </row>
    <row r="3214" spans="27:30" x14ac:dyDescent="0.3">
      <c r="AA3214" s="37">
        <v>3194</v>
      </c>
      <c r="AB3214" s="37">
        <v>1.7241821478322841</v>
      </c>
      <c r="AC3214" s="37">
        <v>2.7371431884722823</v>
      </c>
      <c r="AD3214" s="37">
        <v>3.3774299515500243</v>
      </c>
    </row>
    <row r="3215" spans="27:30" x14ac:dyDescent="0.3">
      <c r="AA3215" s="37">
        <v>3195</v>
      </c>
      <c r="AB3215" s="37">
        <v>1.7946565425773375</v>
      </c>
      <c r="AC3215" s="37">
        <v>2.9151645717990684</v>
      </c>
      <c r="AD3215" s="37">
        <v>3.2814612415136493</v>
      </c>
    </row>
    <row r="3216" spans="27:30" x14ac:dyDescent="0.3">
      <c r="AA3216" s="37">
        <v>3196</v>
      </c>
      <c r="AB3216" s="37">
        <v>1.729266651889946</v>
      </c>
      <c r="AC3216" s="37">
        <v>2.770058433267133</v>
      </c>
      <c r="AD3216" s="37">
        <v>3.3669036623979918</v>
      </c>
    </row>
    <row r="3217" spans="27:30" x14ac:dyDescent="0.3">
      <c r="AA3217" s="37">
        <v>3197</v>
      </c>
      <c r="AB3217" s="37">
        <v>1.7800671425803813</v>
      </c>
      <c r="AC3217" s="37">
        <v>2.8295608768609632</v>
      </c>
      <c r="AD3217" s="37">
        <v>3.4320555192287006</v>
      </c>
    </row>
    <row r="3218" spans="27:30" x14ac:dyDescent="0.3">
      <c r="AA3218" s="37">
        <v>3198</v>
      </c>
      <c r="AB3218" s="37">
        <v>1.7098860698790701</v>
      </c>
      <c r="AC3218" s="37">
        <v>2.7143469551863202</v>
      </c>
      <c r="AD3218" s="37">
        <v>3.3566137071601774</v>
      </c>
    </row>
    <row r="3219" spans="27:30" x14ac:dyDescent="0.3">
      <c r="AA3219" s="37">
        <v>3199</v>
      </c>
      <c r="AB3219" s="37">
        <v>1.9562237371843367</v>
      </c>
      <c r="AC3219" s="37">
        <v>2.7567286700161788</v>
      </c>
      <c r="AD3219" s="37">
        <v>3.2434387194222642</v>
      </c>
    </row>
    <row r="3220" spans="27:30" x14ac:dyDescent="0.3">
      <c r="AA3220" s="37">
        <v>3200</v>
      </c>
      <c r="AB3220" s="37">
        <v>1.7758895620918693</v>
      </c>
      <c r="AC3220" s="37">
        <v>2.9269308073026381</v>
      </c>
      <c r="AD3220" s="37">
        <v>3.172994631107688</v>
      </c>
    </row>
    <row r="3221" spans="27:30" x14ac:dyDescent="0.3">
      <c r="AA3221" s="37">
        <v>3201</v>
      </c>
      <c r="AB3221" s="37">
        <v>1.7843542191381421</v>
      </c>
      <c r="AC3221" s="37">
        <v>2.8802377526348173</v>
      </c>
      <c r="AD3221" s="37">
        <v>3.5054842838045785</v>
      </c>
    </row>
    <row r="3222" spans="27:30" x14ac:dyDescent="0.3">
      <c r="AA3222" s="37">
        <v>3202</v>
      </c>
      <c r="AB3222" s="37">
        <v>1.7152374977933651</v>
      </c>
      <c r="AC3222" s="37">
        <v>2.9328065530483949</v>
      </c>
      <c r="AD3222" s="37">
        <v>3.4152880931738183</v>
      </c>
    </row>
    <row r="3223" spans="27:30" x14ac:dyDescent="0.3">
      <c r="AA3223" s="37">
        <v>3203</v>
      </c>
      <c r="AB3223" s="37">
        <v>1.751019739991913</v>
      </c>
      <c r="AC3223" s="37">
        <v>2.9214112199168376</v>
      </c>
      <c r="AD3223" s="37">
        <v>3.2808480058535356</v>
      </c>
    </row>
    <row r="3224" spans="27:30" x14ac:dyDescent="0.3">
      <c r="AA3224" s="37">
        <v>3204</v>
      </c>
      <c r="AB3224" s="37">
        <v>1.7720459370320902</v>
      </c>
      <c r="AC3224" s="37">
        <v>2.7876306612679764</v>
      </c>
      <c r="AD3224" s="37">
        <v>3.3966171252064883</v>
      </c>
    </row>
    <row r="3225" spans="27:30" x14ac:dyDescent="0.3">
      <c r="AA3225" s="37">
        <v>3205</v>
      </c>
      <c r="AB3225" s="37">
        <v>1.8681548441362015</v>
      </c>
      <c r="AC3225" s="37">
        <v>2.8012803608366639</v>
      </c>
      <c r="AD3225" s="37">
        <v>3.3789213082030196</v>
      </c>
    </row>
    <row r="3226" spans="27:30" x14ac:dyDescent="0.3">
      <c r="AA3226" s="37">
        <v>3206</v>
      </c>
      <c r="AB3226" s="37">
        <v>1.8440293962415741</v>
      </c>
      <c r="AC3226" s="37">
        <v>2.8018208052539362</v>
      </c>
      <c r="AD3226" s="37">
        <v>3.2827096372602376</v>
      </c>
    </row>
    <row r="3227" spans="27:30" x14ac:dyDescent="0.3">
      <c r="AA3227" s="37">
        <v>3207</v>
      </c>
      <c r="AB3227" s="37">
        <v>1.6677374553896949</v>
      </c>
      <c r="AC3227" s="37">
        <v>2.8311131249958645</v>
      </c>
      <c r="AD3227" s="37">
        <v>3.5272067907966393</v>
      </c>
    </row>
    <row r="3228" spans="27:30" x14ac:dyDescent="0.3">
      <c r="AA3228" s="37">
        <v>3208</v>
      </c>
      <c r="AB3228" s="37">
        <v>1.7958519312147714</v>
      </c>
      <c r="AC3228" s="37">
        <v>3.0257919076740567</v>
      </c>
      <c r="AD3228" s="37">
        <v>3.4418081494351482</v>
      </c>
    </row>
    <row r="3229" spans="27:30" x14ac:dyDescent="0.3">
      <c r="AA3229" s="37">
        <v>3209</v>
      </c>
      <c r="AB3229" s="37">
        <v>1.7820677529230935</v>
      </c>
      <c r="AC3229" s="37">
        <v>2.9674521215709615</v>
      </c>
      <c r="AD3229" s="37">
        <v>3.4954940458320469</v>
      </c>
    </row>
    <row r="3230" spans="27:30" x14ac:dyDescent="0.3">
      <c r="AA3230" s="37">
        <v>3210</v>
      </c>
      <c r="AB3230" s="37">
        <v>1.7355650222802239</v>
      </c>
      <c r="AC3230" s="37">
        <v>2.7772194693491983</v>
      </c>
      <c r="AD3230" s="37">
        <v>3.1305117770976016</v>
      </c>
    </row>
    <row r="3231" spans="27:30" x14ac:dyDescent="0.3">
      <c r="AA3231" s="37">
        <v>3211</v>
      </c>
      <c r="AB3231" s="37">
        <v>1.7715891438003948</v>
      </c>
      <c r="AC3231" s="37">
        <v>2.7987764840364737</v>
      </c>
      <c r="AD3231" s="37">
        <v>3.3078879233081717</v>
      </c>
    </row>
    <row r="3232" spans="27:30" x14ac:dyDescent="0.3">
      <c r="AA3232" s="37">
        <v>3212</v>
      </c>
      <c r="AB3232" s="37">
        <v>1.8322321371164008</v>
      </c>
      <c r="AC3232" s="37">
        <v>2.6784643213756421</v>
      </c>
      <c r="AD3232" s="37">
        <v>3.5926228575797552</v>
      </c>
    </row>
    <row r="3233" spans="27:30" x14ac:dyDescent="0.3">
      <c r="AA3233" s="37">
        <v>3213</v>
      </c>
      <c r="AB3233" s="37">
        <v>1.8480986410632529</v>
      </c>
      <c r="AC3233" s="37">
        <v>2.9661368409414601</v>
      </c>
      <c r="AD3233" s="37">
        <v>3.2758433787186356</v>
      </c>
    </row>
    <row r="3234" spans="27:30" x14ac:dyDescent="0.3">
      <c r="AA3234" s="37">
        <v>3214</v>
      </c>
      <c r="AB3234" s="37">
        <v>1.7919687863242091</v>
      </c>
      <c r="AC3234" s="37">
        <v>2.9013534080612979</v>
      </c>
      <c r="AD3234" s="37">
        <v>3.4324734903654566</v>
      </c>
    </row>
    <row r="3235" spans="27:30" x14ac:dyDescent="0.3">
      <c r="AA3235" s="37">
        <v>3215</v>
      </c>
      <c r="AB3235" s="37">
        <v>1.766981446352673</v>
      </c>
      <c r="AC3235" s="37">
        <v>2.7917767029076836</v>
      </c>
      <c r="AD3235" s="37">
        <v>3.3484443426918165</v>
      </c>
    </row>
    <row r="3236" spans="27:30" x14ac:dyDescent="0.3">
      <c r="AA3236" s="37">
        <v>3216</v>
      </c>
      <c r="AB3236" s="37">
        <v>1.9289212149014547</v>
      </c>
      <c r="AC3236" s="37">
        <v>2.9003100376462565</v>
      </c>
      <c r="AD3236" s="37">
        <v>3.3658229811334608</v>
      </c>
    </row>
    <row r="3237" spans="27:30" x14ac:dyDescent="0.3">
      <c r="AA3237" s="37">
        <v>3217</v>
      </c>
      <c r="AB3237" s="37">
        <v>1.8443397802776778</v>
      </c>
      <c r="AC3237" s="37">
        <v>2.7605689854095816</v>
      </c>
      <c r="AD3237" s="37">
        <v>3.313832541379119</v>
      </c>
    </row>
    <row r="3238" spans="27:30" x14ac:dyDescent="0.3">
      <c r="AA3238" s="37">
        <v>3218</v>
      </c>
      <c r="AB3238" s="37">
        <v>1.7383047984562701</v>
      </c>
      <c r="AC3238" s="37">
        <v>3.0114766686847965</v>
      </c>
      <c r="AD3238" s="37">
        <v>3.2123338970556419</v>
      </c>
    </row>
    <row r="3239" spans="27:30" x14ac:dyDescent="0.3">
      <c r="AA3239" s="37">
        <v>3219</v>
      </c>
      <c r="AB3239" s="37">
        <v>1.6800202440135372</v>
      </c>
      <c r="AC3239" s="37">
        <v>2.7176662810570686</v>
      </c>
      <c r="AD3239" s="37">
        <v>3.3397624855601813</v>
      </c>
    </row>
    <row r="3240" spans="27:30" x14ac:dyDescent="0.3">
      <c r="AA3240" s="37">
        <v>3220</v>
      </c>
      <c r="AB3240" s="37">
        <v>1.7647816912201646</v>
      </c>
      <c r="AC3240" s="37">
        <v>2.7882486337394465</v>
      </c>
      <c r="AD3240" s="37">
        <v>3.2022238621559427</v>
      </c>
    </row>
    <row r="3241" spans="27:30" x14ac:dyDescent="0.3">
      <c r="AA3241" s="37">
        <v>3221</v>
      </c>
      <c r="AB3241" s="37">
        <v>1.7395203015823728</v>
      </c>
      <c r="AC3241" s="37">
        <v>2.8696288395701841</v>
      </c>
      <c r="AD3241" s="37">
        <v>3.2658488571647628</v>
      </c>
    </row>
    <row r="3242" spans="27:30" x14ac:dyDescent="0.3">
      <c r="AA3242" s="37">
        <v>3222</v>
      </c>
      <c r="AB3242" s="37">
        <v>1.8135061469699791</v>
      </c>
      <c r="AC3242" s="37">
        <v>2.9561214725220908</v>
      </c>
      <c r="AD3242" s="37">
        <v>3.4355317559357044</v>
      </c>
    </row>
    <row r="3243" spans="27:30" x14ac:dyDescent="0.3">
      <c r="AA3243" s="37">
        <v>3223</v>
      </c>
      <c r="AB3243" s="37">
        <v>1.7768084657768077</v>
      </c>
      <c r="AC3243" s="37">
        <v>2.8048756440610769</v>
      </c>
      <c r="AD3243" s="37">
        <v>3.4710019438715651</v>
      </c>
    </row>
    <row r="3244" spans="27:30" x14ac:dyDescent="0.3">
      <c r="AA3244" s="37">
        <v>3224</v>
      </c>
      <c r="AB3244" s="37">
        <v>1.7348978631100129</v>
      </c>
      <c r="AC3244" s="37">
        <v>2.7833669755614037</v>
      </c>
      <c r="AD3244" s="37">
        <v>3.4154156918963783</v>
      </c>
    </row>
    <row r="3245" spans="27:30" x14ac:dyDescent="0.3">
      <c r="AA3245" s="37">
        <v>3225</v>
      </c>
      <c r="AB3245" s="37">
        <v>1.8310502742609764</v>
      </c>
      <c r="AC3245" s="37">
        <v>2.9681840352232562</v>
      </c>
      <c r="AD3245" s="37">
        <v>3.2363802301890692</v>
      </c>
    </row>
    <row r="3246" spans="27:30" x14ac:dyDescent="0.3">
      <c r="AA3246" s="37">
        <v>3226</v>
      </c>
      <c r="AB3246" s="37">
        <v>1.7014479124826067</v>
      </c>
      <c r="AC3246" s="37">
        <v>2.6494019342287132</v>
      </c>
      <c r="AD3246" s="37">
        <v>3.2542194077679274</v>
      </c>
    </row>
    <row r="3247" spans="27:30" x14ac:dyDescent="0.3">
      <c r="AA3247" s="37">
        <v>3227</v>
      </c>
      <c r="AB3247" s="37">
        <v>1.765173816137912</v>
      </c>
      <c r="AC3247" s="37">
        <v>2.9511860255285938</v>
      </c>
      <c r="AD3247" s="37">
        <v>3.402339500171363</v>
      </c>
    </row>
    <row r="3248" spans="27:30" x14ac:dyDescent="0.3">
      <c r="AA3248" s="37">
        <v>3228</v>
      </c>
      <c r="AB3248" s="37">
        <v>1.8094092500629386</v>
      </c>
      <c r="AC3248" s="37">
        <v>2.7503627652874481</v>
      </c>
      <c r="AD3248" s="37">
        <v>3.4745665345773999</v>
      </c>
    </row>
    <row r="3249" spans="27:30" x14ac:dyDescent="0.3">
      <c r="AA3249" s="37">
        <v>3229</v>
      </c>
      <c r="AB3249" s="37">
        <v>1.7887247936447817</v>
      </c>
      <c r="AC3249" s="37">
        <v>2.9219318931730398</v>
      </c>
      <c r="AD3249" s="37">
        <v>3.1429709863677862</v>
      </c>
    </row>
    <row r="3250" spans="27:30" x14ac:dyDescent="0.3">
      <c r="AA3250" s="37">
        <v>3230</v>
      </c>
      <c r="AB3250" s="37">
        <v>1.8188163132017492</v>
      </c>
      <c r="AC3250" s="37">
        <v>3.0328334949162081</v>
      </c>
      <c r="AD3250" s="37">
        <v>3.4734717956058172</v>
      </c>
    </row>
    <row r="3251" spans="27:30" x14ac:dyDescent="0.3">
      <c r="AA3251" s="37">
        <v>3231</v>
      </c>
      <c r="AB3251" s="37">
        <v>1.837708008129584</v>
      </c>
      <c r="AC3251" s="37">
        <v>2.8360996820178275</v>
      </c>
      <c r="AD3251" s="37">
        <v>3.2182165111474217</v>
      </c>
    </row>
    <row r="3252" spans="27:30" x14ac:dyDescent="0.3">
      <c r="AA3252" s="37">
        <v>3232</v>
      </c>
      <c r="AB3252" s="37">
        <v>1.7864077151445887</v>
      </c>
      <c r="AC3252" s="37">
        <v>2.7467130360702794</v>
      </c>
      <c r="AD3252" s="37">
        <v>3.4999500730922013</v>
      </c>
    </row>
    <row r="3253" spans="27:30" x14ac:dyDescent="0.3">
      <c r="AA3253" s="37">
        <v>3233</v>
      </c>
      <c r="AB3253" s="37">
        <v>1.8771241178524212</v>
      </c>
      <c r="AC3253" s="37">
        <v>2.8551420383182413</v>
      </c>
      <c r="AD3253" s="37">
        <v>3.3492679342589615</v>
      </c>
    </row>
    <row r="3254" spans="27:30" x14ac:dyDescent="0.3">
      <c r="AA3254" s="37">
        <v>3234</v>
      </c>
      <c r="AB3254" s="37">
        <v>1.9085161755963973</v>
      </c>
      <c r="AC3254" s="37">
        <v>3.0949214631930562</v>
      </c>
      <c r="AD3254" s="37">
        <v>3.2364848497437526</v>
      </c>
    </row>
    <row r="3255" spans="27:30" x14ac:dyDescent="0.3">
      <c r="AA3255" s="37">
        <v>3235</v>
      </c>
      <c r="AB3255" s="37">
        <v>1.7668449751568831</v>
      </c>
      <c r="AC3255" s="37">
        <v>2.9344996745414962</v>
      </c>
      <c r="AD3255" s="37">
        <v>3.3694103499992543</v>
      </c>
    </row>
    <row r="3256" spans="27:30" x14ac:dyDescent="0.3">
      <c r="AA3256" s="37">
        <v>3236</v>
      </c>
      <c r="AB3256" s="37">
        <v>1.7508047373222302</v>
      </c>
      <c r="AC3256" s="37">
        <v>2.7417749869984234</v>
      </c>
      <c r="AD3256" s="37">
        <v>3.1942154760406503</v>
      </c>
    </row>
    <row r="3257" spans="27:30" x14ac:dyDescent="0.3">
      <c r="AA3257" s="37">
        <v>3237</v>
      </c>
      <c r="AB3257" s="37">
        <v>1.7945057905184343</v>
      </c>
      <c r="AC3257" s="37">
        <v>2.6506514850703464</v>
      </c>
      <c r="AD3257" s="37">
        <v>3.5018478999211351</v>
      </c>
    </row>
    <row r="3258" spans="27:30" x14ac:dyDescent="0.3">
      <c r="AA3258" s="37">
        <v>3238</v>
      </c>
      <c r="AB3258" s="37">
        <v>1.8860552987311014</v>
      </c>
      <c r="AC3258" s="37">
        <v>2.7874056367977045</v>
      </c>
      <c r="AD3258" s="37">
        <v>3.2937125883203815</v>
      </c>
    </row>
    <row r="3259" spans="27:30" x14ac:dyDescent="0.3">
      <c r="AA3259" s="37">
        <v>3239</v>
      </c>
      <c r="AB3259" s="37">
        <v>1.7855894120759537</v>
      </c>
      <c r="AC3259" s="37">
        <v>2.787921659722123</v>
      </c>
      <c r="AD3259" s="37">
        <v>3.4107230721802573</v>
      </c>
    </row>
    <row r="3260" spans="27:30" x14ac:dyDescent="0.3">
      <c r="AA3260" s="37">
        <v>3240</v>
      </c>
      <c r="AB3260" s="37">
        <v>1.9121315430236341</v>
      </c>
      <c r="AC3260" s="37">
        <v>2.9313925871972923</v>
      </c>
      <c r="AD3260" s="37">
        <v>3.3130839092744617</v>
      </c>
    </row>
    <row r="3261" spans="27:30" x14ac:dyDescent="0.3">
      <c r="AA3261" s="37">
        <v>3241</v>
      </c>
      <c r="AB3261" s="37">
        <v>1.8680454669766966</v>
      </c>
      <c r="AC3261" s="37">
        <v>2.9932568925698426</v>
      </c>
      <c r="AD3261" s="37">
        <v>3.1809284119820567</v>
      </c>
    </row>
    <row r="3262" spans="27:30" x14ac:dyDescent="0.3">
      <c r="AA3262" s="37">
        <v>3242</v>
      </c>
      <c r="AB3262" s="37">
        <v>1.823936431176199</v>
      </c>
      <c r="AC3262" s="37">
        <v>2.8472272205582061</v>
      </c>
      <c r="AD3262" s="37">
        <v>3.4679707165244609</v>
      </c>
    </row>
    <row r="3263" spans="27:30" x14ac:dyDescent="0.3">
      <c r="AA3263" s="37">
        <v>3243</v>
      </c>
      <c r="AB3263" s="37">
        <v>1.8573434888700389</v>
      </c>
      <c r="AC3263" s="37">
        <v>2.8336903208618338</v>
      </c>
      <c r="AD3263" s="37">
        <v>3.2066013987618436</v>
      </c>
    </row>
    <row r="3264" spans="27:30" x14ac:dyDescent="0.3">
      <c r="AA3264" s="37">
        <v>3244</v>
      </c>
      <c r="AB3264" s="37">
        <v>1.8757917029411582</v>
      </c>
      <c r="AC3264" s="37">
        <v>2.8899623601447884</v>
      </c>
      <c r="AD3264" s="37">
        <v>3.3059412026524431</v>
      </c>
    </row>
    <row r="3265" spans="27:30" x14ac:dyDescent="0.3">
      <c r="AA3265" s="37">
        <v>3245</v>
      </c>
      <c r="AB3265" s="37">
        <v>1.7872373503731076</v>
      </c>
      <c r="AC3265" s="37">
        <v>2.7205242095712125</v>
      </c>
      <c r="AD3265" s="37">
        <v>3.4148802536892218</v>
      </c>
    </row>
    <row r="3266" spans="27:30" x14ac:dyDescent="0.3">
      <c r="AA3266" s="37">
        <v>3246</v>
      </c>
      <c r="AB3266" s="37">
        <v>1.7755716199740856</v>
      </c>
      <c r="AC3266" s="37">
        <v>2.8626824545982243</v>
      </c>
      <c r="AD3266" s="37">
        <v>3.3526550955122874</v>
      </c>
    </row>
    <row r="3267" spans="27:30" x14ac:dyDescent="0.3">
      <c r="AA3267" s="37">
        <v>3247</v>
      </c>
      <c r="AB3267" s="37">
        <v>1.7696768842932615</v>
      </c>
      <c r="AC3267" s="37">
        <v>2.8556475886880754</v>
      </c>
      <c r="AD3267" s="37">
        <v>3.2894741205118456</v>
      </c>
    </row>
    <row r="3268" spans="27:30" x14ac:dyDescent="0.3">
      <c r="AA3268" s="37">
        <v>3248</v>
      </c>
      <c r="AB3268" s="37">
        <v>1.5910313916346843</v>
      </c>
      <c r="AC3268" s="37">
        <v>3.0011869198751429</v>
      </c>
      <c r="AD3268" s="37">
        <v>3.5228122087742704</v>
      </c>
    </row>
    <row r="3269" spans="27:30" x14ac:dyDescent="0.3">
      <c r="AA3269" s="37">
        <v>3249</v>
      </c>
      <c r="AB3269" s="37">
        <v>1.9418455725735773</v>
      </c>
      <c r="AC3269" s="37">
        <v>2.7108923167383123</v>
      </c>
      <c r="AD3269" s="37">
        <v>3.2776471669783556</v>
      </c>
    </row>
    <row r="3270" spans="27:30" x14ac:dyDescent="0.3">
      <c r="AA3270" s="37">
        <v>3250</v>
      </c>
      <c r="AB3270" s="37">
        <v>1.8254810345641945</v>
      </c>
      <c r="AC3270" s="37">
        <v>2.8868473093069631</v>
      </c>
      <c r="AD3270" s="37">
        <v>3.3411533715331525</v>
      </c>
    </row>
    <row r="3271" spans="27:30" x14ac:dyDescent="0.3">
      <c r="AA3271" s="37">
        <v>3251</v>
      </c>
      <c r="AB3271" s="37">
        <v>1.8346825939657265</v>
      </c>
      <c r="AC3271" s="37">
        <v>2.7863920438707561</v>
      </c>
      <c r="AD3271" s="37">
        <v>3.1867780723057546</v>
      </c>
    </row>
    <row r="3272" spans="27:30" x14ac:dyDescent="0.3">
      <c r="AA3272" s="37">
        <v>3252</v>
      </c>
      <c r="AB3272" s="37">
        <v>1.6931050108845556</v>
      </c>
      <c r="AC3272" s="37">
        <v>2.7849891581806614</v>
      </c>
      <c r="AD3272" s="37">
        <v>3.3211125404793211</v>
      </c>
    </row>
    <row r="3273" spans="27:30" x14ac:dyDescent="0.3">
      <c r="AA3273" s="37">
        <v>3253</v>
      </c>
      <c r="AB3273" s="37">
        <v>1.9018587569454153</v>
      </c>
      <c r="AC3273" s="37">
        <v>2.9325376222793542</v>
      </c>
      <c r="AD3273" s="37">
        <v>3.4276707823356163</v>
      </c>
    </row>
    <row r="3274" spans="27:30" x14ac:dyDescent="0.3">
      <c r="AA3274" s="37">
        <v>3254</v>
      </c>
      <c r="AB3274" s="37">
        <v>1.6325983090995733</v>
      </c>
      <c r="AC3274" s="37">
        <v>2.9626335491901536</v>
      </c>
      <c r="AD3274" s="37">
        <v>3.2319282874817263</v>
      </c>
    </row>
    <row r="3275" spans="27:30" x14ac:dyDescent="0.3">
      <c r="AA3275" s="37">
        <v>3255</v>
      </c>
      <c r="AB3275" s="37">
        <v>1.8321758313002796</v>
      </c>
      <c r="AC3275" s="37">
        <v>2.8081404032273656</v>
      </c>
      <c r="AD3275" s="37">
        <v>3.3093713099426214</v>
      </c>
    </row>
    <row r="3276" spans="27:30" x14ac:dyDescent="0.3">
      <c r="AA3276" s="37">
        <v>3256</v>
      </c>
      <c r="AB3276" s="37">
        <v>1.7205919111851882</v>
      </c>
      <c r="AC3276" s="37">
        <v>3.031407568999323</v>
      </c>
      <c r="AD3276" s="37">
        <v>3.2706188340766609</v>
      </c>
    </row>
    <row r="3277" spans="27:30" x14ac:dyDescent="0.3">
      <c r="AA3277" s="37">
        <v>3257</v>
      </c>
      <c r="AB3277" s="37">
        <v>1.775385576279819</v>
      </c>
      <c r="AC3277" s="37">
        <v>2.7742174377799267</v>
      </c>
      <c r="AD3277" s="37">
        <v>3.3626681534346559</v>
      </c>
    </row>
    <row r="3278" spans="27:30" x14ac:dyDescent="0.3">
      <c r="AA3278" s="37">
        <v>3258</v>
      </c>
      <c r="AB3278" s="37">
        <v>1.8432239580209071</v>
      </c>
      <c r="AC3278" s="37">
        <v>2.8595986496700387</v>
      </c>
      <c r="AD3278" s="37">
        <v>3.4642933155022622</v>
      </c>
    </row>
    <row r="3279" spans="27:30" x14ac:dyDescent="0.3">
      <c r="AA3279" s="37">
        <v>3259</v>
      </c>
      <c r="AB3279" s="37">
        <v>1.8750240557161388</v>
      </c>
      <c r="AC3279" s="37">
        <v>3.0436542732558061</v>
      </c>
      <c r="AD3279" s="37">
        <v>3.4743406599008253</v>
      </c>
    </row>
    <row r="3280" spans="27:30" x14ac:dyDescent="0.3">
      <c r="AA3280" s="37">
        <v>3260</v>
      </c>
      <c r="AB3280" s="37">
        <v>1.7320499183738094</v>
      </c>
      <c r="AC3280" s="37">
        <v>2.8599524550063564</v>
      </c>
      <c r="AD3280" s="37">
        <v>3.3545482561566149</v>
      </c>
    </row>
    <row r="3281" spans="27:30" x14ac:dyDescent="0.3">
      <c r="AA3281" s="37">
        <v>3261</v>
      </c>
      <c r="AB3281" s="37">
        <v>1.8046122853887416</v>
      </c>
      <c r="AC3281" s="37">
        <v>2.8805522343339991</v>
      </c>
      <c r="AD3281" s="37">
        <v>3.2643527156869179</v>
      </c>
    </row>
    <row r="3282" spans="27:30" x14ac:dyDescent="0.3">
      <c r="AA3282" s="37">
        <v>3262</v>
      </c>
      <c r="AB3282" s="37">
        <v>1.7326919943363739</v>
      </c>
      <c r="AC3282" s="37">
        <v>2.5839379421873794</v>
      </c>
      <c r="AD3282" s="37">
        <v>3.1463707239758656</v>
      </c>
    </row>
    <row r="3283" spans="27:30" x14ac:dyDescent="0.3">
      <c r="AA3283" s="37">
        <v>3263</v>
      </c>
      <c r="AB3283" s="37">
        <v>1.8300119187408534</v>
      </c>
      <c r="AC3283" s="37">
        <v>2.7456011748127103</v>
      </c>
      <c r="AD3283" s="37">
        <v>3.3866969363335295</v>
      </c>
    </row>
    <row r="3284" spans="27:30" x14ac:dyDescent="0.3">
      <c r="AA3284" s="37">
        <v>3264</v>
      </c>
      <c r="AB3284" s="37">
        <v>1.7967471973981626</v>
      </c>
      <c r="AC3284" s="37">
        <v>2.9108593945816068</v>
      </c>
      <c r="AD3284" s="37">
        <v>3.3655119210171307</v>
      </c>
    </row>
    <row r="3285" spans="27:30" x14ac:dyDescent="0.3">
      <c r="AA3285" s="37">
        <v>3265</v>
      </c>
      <c r="AB3285" s="37">
        <v>1.8656097134733582</v>
      </c>
      <c r="AC3285" s="37">
        <v>2.6932211739743623</v>
      </c>
      <c r="AD3285" s="37">
        <v>3.3520152494055591</v>
      </c>
    </row>
    <row r="3286" spans="27:30" x14ac:dyDescent="0.3">
      <c r="AA3286" s="37">
        <v>3266</v>
      </c>
      <c r="AB3286" s="37">
        <v>1.7601750978880304</v>
      </c>
      <c r="AC3286" s="37">
        <v>2.8615135056401937</v>
      </c>
      <c r="AD3286" s="37">
        <v>3.1276130623342464</v>
      </c>
    </row>
    <row r="3287" spans="27:30" x14ac:dyDescent="0.3">
      <c r="AA3287" s="37">
        <v>3267</v>
      </c>
      <c r="AB3287" s="37">
        <v>1.6891275289606376</v>
      </c>
      <c r="AC3287" s="37">
        <v>2.8742525542508286</v>
      </c>
      <c r="AD3287" s="37">
        <v>3.5560612328071732</v>
      </c>
    </row>
    <row r="3288" spans="27:30" x14ac:dyDescent="0.3">
      <c r="AA3288" s="37">
        <v>3268</v>
      </c>
      <c r="AB3288" s="37">
        <v>1.818742153926725</v>
      </c>
      <c r="AC3288" s="37">
        <v>2.8793467186405644</v>
      </c>
      <c r="AD3288" s="37">
        <v>3.3910014447748851</v>
      </c>
    </row>
    <row r="3289" spans="27:30" x14ac:dyDescent="0.3">
      <c r="AA3289" s="37">
        <v>3269</v>
      </c>
      <c r="AB3289" s="37">
        <v>1.737930661060505</v>
      </c>
      <c r="AC3289" s="37">
        <v>2.9986756900559599</v>
      </c>
      <c r="AD3289" s="37">
        <v>3.3317698602497412</v>
      </c>
    </row>
    <row r="3290" spans="27:30" x14ac:dyDescent="0.3">
      <c r="AA3290" s="37">
        <v>3270</v>
      </c>
      <c r="AB3290" s="37">
        <v>1.7776426937253793</v>
      </c>
      <c r="AC3290" s="37">
        <v>2.5598360820510924</v>
      </c>
      <c r="AD3290" s="37">
        <v>3.411107032602867</v>
      </c>
    </row>
    <row r="3291" spans="27:30" x14ac:dyDescent="0.3">
      <c r="AA3291" s="37">
        <v>3271</v>
      </c>
      <c r="AB3291" s="37">
        <v>1.795154746654009</v>
      </c>
      <c r="AC3291" s="37">
        <v>2.8976222936618856</v>
      </c>
      <c r="AD3291" s="37">
        <v>3.2844641649830133</v>
      </c>
    </row>
    <row r="3292" spans="27:30" x14ac:dyDescent="0.3">
      <c r="AA3292" s="37">
        <v>3272</v>
      </c>
      <c r="AB3292" s="37">
        <v>1.6580082024970597</v>
      </c>
      <c r="AC3292" s="37">
        <v>2.8642852433551571</v>
      </c>
      <c r="AD3292" s="37">
        <v>3.5486618638003971</v>
      </c>
    </row>
    <row r="3293" spans="27:30" x14ac:dyDescent="0.3">
      <c r="AA3293" s="37">
        <v>3273</v>
      </c>
      <c r="AB3293" s="37">
        <v>1.7513648412904401</v>
      </c>
      <c r="AC3293" s="37">
        <v>2.9559458171950923</v>
      </c>
      <c r="AD3293" s="37">
        <v>3.4167360957308062</v>
      </c>
    </row>
    <row r="3294" spans="27:30" x14ac:dyDescent="0.3">
      <c r="AA3294" s="37">
        <v>3274</v>
      </c>
      <c r="AB3294" s="37">
        <v>1.8129189830316617</v>
      </c>
      <c r="AC3294" s="37">
        <v>2.9468040713379615</v>
      </c>
      <c r="AD3294" s="37">
        <v>3.4107577484045235</v>
      </c>
    </row>
    <row r="3295" spans="27:30" x14ac:dyDescent="0.3">
      <c r="AA3295" s="37">
        <v>3275</v>
      </c>
      <c r="AB3295" s="37">
        <v>1.7957547565612713</v>
      </c>
      <c r="AC3295" s="37">
        <v>2.6209843704692246</v>
      </c>
      <c r="AD3295" s="37">
        <v>3.3421386706248053</v>
      </c>
    </row>
    <row r="3296" spans="27:30" x14ac:dyDescent="0.3">
      <c r="AA3296" s="37">
        <v>3276</v>
      </c>
      <c r="AB3296" s="37">
        <v>1.6862871463910503</v>
      </c>
      <c r="AC3296" s="37">
        <v>2.7977422990136289</v>
      </c>
      <c r="AD3296" s="37">
        <v>3.6045211869409477</v>
      </c>
    </row>
    <row r="3297" spans="27:30" x14ac:dyDescent="0.3">
      <c r="AA3297" s="37">
        <v>3277</v>
      </c>
      <c r="AB3297" s="37">
        <v>1.855930357279945</v>
      </c>
      <c r="AC3297" s="37">
        <v>2.8881249627359664</v>
      </c>
      <c r="AD3297" s="37">
        <v>3.3995056362309772</v>
      </c>
    </row>
    <row r="3298" spans="27:30" x14ac:dyDescent="0.3">
      <c r="AA3298" s="37">
        <v>3278</v>
      </c>
      <c r="AB3298" s="37">
        <v>1.790812468072225</v>
      </c>
      <c r="AC3298" s="37">
        <v>2.6789397539530042</v>
      </c>
      <c r="AD3298" s="37">
        <v>3.4934559937115299</v>
      </c>
    </row>
    <row r="3299" spans="27:30" x14ac:dyDescent="0.3">
      <c r="AA3299" s="37">
        <v>3279</v>
      </c>
      <c r="AB3299" s="37">
        <v>1.7414896946469491</v>
      </c>
      <c r="AC3299" s="37">
        <v>2.8750169059759796</v>
      </c>
      <c r="AD3299" s="37">
        <v>3.1947773122630916</v>
      </c>
    </row>
    <row r="3300" spans="27:30" x14ac:dyDescent="0.3">
      <c r="AA3300" s="37">
        <v>3280</v>
      </c>
      <c r="AB3300" s="37">
        <v>1.6801094502329155</v>
      </c>
      <c r="AC3300" s="37">
        <v>2.8751653452410122</v>
      </c>
      <c r="AD3300" s="37">
        <v>3.4059830340599628</v>
      </c>
    </row>
    <row r="3301" spans="27:30" x14ac:dyDescent="0.3">
      <c r="AA3301" s="37">
        <v>3281</v>
      </c>
      <c r="AB3301" s="37">
        <v>1.8725865923550764</v>
      </c>
      <c r="AC3301" s="37">
        <v>2.9015811348739575</v>
      </c>
      <c r="AD3301" s="37">
        <v>3.298314075414098</v>
      </c>
    </row>
    <row r="3302" spans="27:30" x14ac:dyDescent="0.3">
      <c r="AA3302" s="37">
        <v>3282</v>
      </c>
      <c r="AB3302" s="37">
        <v>1.8381614917066809</v>
      </c>
      <c r="AC3302" s="37">
        <v>3.0341046132071376</v>
      </c>
      <c r="AD3302" s="37">
        <v>3.3716159762311642</v>
      </c>
    </row>
    <row r="3303" spans="27:30" x14ac:dyDescent="0.3">
      <c r="AA3303" s="37">
        <v>3283</v>
      </c>
      <c r="AB3303" s="37">
        <v>1.7245356585824985</v>
      </c>
      <c r="AC3303" s="37">
        <v>2.836901005270104</v>
      </c>
      <c r="AD3303" s="37">
        <v>3.3840282745700359</v>
      </c>
    </row>
    <row r="3304" spans="27:30" x14ac:dyDescent="0.3">
      <c r="AA3304" s="37">
        <v>3284</v>
      </c>
      <c r="AB3304" s="37">
        <v>1.6826176961207542</v>
      </c>
      <c r="AC3304" s="37">
        <v>2.9244558161074901</v>
      </c>
      <c r="AD3304" s="37">
        <v>3.3928713189934605</v>
      </c>
    </row>
    <row r="3305" spans="27:30" x14ac:dyDescent="0.3">
      <c r="AA3305" s="37">
        <v>3285</v>
      </c>
      <c r="AB3305" s="37">
        <v>1.7535536495676609</v>
      </c>
      <c r="AC3305" s="37">
        <v>2.8070821576771499</v>
      </c>
      <c r="AD3305" s="37">
        <v>3.2669123100908486</v>
      </c>
    </row>
    <row r="3306" spans="27:30" x14ac:dyDescent="0.3">
      <c r="AA3306" s="37">
        <v>3286</v>
      </c>
      <c r="AB3306" s="37">
        <v>1.8996670699074112</v>
      </c>
      <c r="AC3306" s="37">
        <v>2.8961007087387114</v>
      </c>
      <c r="AD3306" s="37">
        <v>3.3953900790636586</v>
      </c>
    </row>
    <row r="3307" spans="27:30" x14ac:dyDescent="0.3">
      <c r="AA3307" s="37">
        <v>3287</v>
      </c>
      <c r="AB3307" s="37">
        <v>1.7771127785704093</v>
      </c>
      <c r="AC3307" s="37">
        <v>2.8887331636999178</v>
      </c>
      <c r="AD3307" s="37">
        <v>3.2643779758454095</v>
      </c>
    </row>
    <row r="3308" spans="27:30" x14ac:dyDescent="0.3">
      <c r="AA3308" s="37">
        <v>3288</v>
      </c>
      <c r="AB3308" s="37">
        <v>1.8249746057874172</v>
      </c>
      <c r="AC3308" s="37">
        <v>2.8676827942959089</v>
      </c>
      <c r="AD3308" s="37">
        <v>3.2871302383760583</v>
      </c>
    </row>
    <row r="3309" spans="27:30" x14ac:dyDescent="0.3">
      <c r="AA3309" s="37">
        <v>3289</v>
      </c>
      <c r="AB3309" s="37">
        <v>1.8669628911958447</v>
      </c>
      <c r="AC3309" s="37">
        <v>2.9460430468353316</v>
      </c>
      <c r="AD3309" s="37">
        <v>3.3530928594831781</v>
      </c>
    </row>
    <row r="3310" spans="27:30" x14ac:dyDescent="0.3">
      <c r="AA3310" s="37">
        <v>3290</v>
      </c>
      <c r="AB3310" s="37">
        <v>1.7673156106339907</v>
      </c>
      <c r="AC3310" s="37">
        <v>2.8280431056283275</v>
      </c>
      <c r="AD3310" s="37">
        <v>3.3613393490412711</v>
      </c>
    </row>
    <row r="3311" spans="27:30" x14ac:dyDescent="0.3">
      <c r="AA3311" s="37">
        <v>3291</v>
      </c>
      <c r="AB3311" s="37">
        <v>1.7812835607895705</v>
      </c>
      <c r="AC3311" s="37">
        <v>2.7774533230321783</v>
      </c>
      <c r="AD3311" s="37">
        <v>3.3679592900767128</v>
      </c>
    </row>
    <row r="3312" spans="27:30" x14ac:dyDescent="0.3">
      <c r="AA3312" s="37">
        <v>3292</v>
      </c>
      <c r="AB3312" s="37">
        <v>1.8130731329666985</v>
      </c>
      <c r="AC3312" s="37">
        <v>2.8575883027241353</v>
      </c>
      <c r="AD3312" s="37">
        <v>3.4716960307821578</v>
      </c>
    </row>
    <row r="3313" spans="27:30" x14ac:dyDescent="0.3">
      <c r="AA3313" s="37">
        <v>3293</v>
      </c>
      <c r="AB3313" s="37">
        <v>1.7372419849923111</v>
      </c>
      <c r="AC3313" s="37">
        <v>2.7752701658458987</v>
      </c>
      <c r="AD3313" s="37">
        <v>3.3828649650302354</v>
      </c>
    </row>
    <row r="3314" spans="27:30" x14ac:dyDescent="0.3">
      <c r="AA3314" s="37">
        <v>3294</v>
      </c>
      <c r="AB3314" s="37">
        <v>1.8354074705877692</v>
      </c>
      <c r="AC3314" s="37">
        <v>2.8630551590985571</v>
      </c>
      <c r="AD3314" s="37">
        <v>3.5172327911825665</v>
      </c>
    </row>
    <row r="3315" spans="27:30" x14ac:dyDescent="0.3">
      <c r="AA3315" s="37">
        <v>3295</v>
      </c>
      <c r="AB3315" s="37">
        <v>1.8768735131532479</v>
      </c>
      <c r="AC3315" s="37">
        <v>2.862033386664637</v>
      </c>
      <c r="AD3315" s="37">
        <v>3.0904583377540504</v>
      </c>
    </row>
    <row r="3316" spans="27:30" x14ac:dyDescent="0.3">
      <c r="AA3316" s="37">
        <v>3296</v>
      </c>
      <c r="AB3316" s="37">
        <v>1.8054954791960318</v>
      </c>
      <c r="AC3316" s="37">
        <v>2.8044246095492951</v>
      </c>
      <c r="AD3316" s="37">
        <v>3.2628133009693827</v>
      </c>
    </row>
    <row r="3317" spans="27:30" x14ac:dyDescent="0.3">
      <c r="AA3317" s="37">
        <v>3297</v>
      </c>
      <c r="AB3317" s="37">
        <v>1.8056634412717922</v>
      </c>
      <c r="AC3317" s="37">
        <v>2.7454188248442999</v>
      </c>
      <c r="AD3317" s="37">
        <v>3.5069321647242848</v>
      </c>
    </row>
    <row r="3318" spans="27:30" x14ac:dyDescent="0.3">
      <c r="AA3318" s="37">
        <v>3298</v>
      </c>
      <c r="AB3318" s="37">
        <v>1.6937052705086173</v>
      </c>
      <c r="AC3318" s="37">
        <v>2.8116338753442376</v>
      </c>
      <c r="AD3318" s="37">
        <v>3.2435949053656046</v>
      </c>
    </row>
    <row r="3319" spans="27:30" x14ac:dyDescent="0.3">
      <c r="AA3319" s="37">
        <v>3299</v>
      </c>
      <c r="AB3319" s="37">
        <v>1.7624106967866429</v>
      </c>
      <c r="AC3319" s="37">
        <v>2.7715193505365003</v>
      </c>
      <c r="AD3319" s="37">
        <v>3.426859814217365</v>
      </c>
    </row>
    <row r="3320" spans="27:30" x14ac:dyDescent="0.3">
      <c r="AA3320" s="37">
        <v>3300</v>
      </c>
      <c r="AB3320" s="37">
        <v>1.7764941771670131</v>
      </c>
      <c r="AC3320" s="37">
        <v>2.8394786176652143</v>
      </c>
      <c r="AD3320" s="37">
        <v>3.5508340587734439</v>
      </c>
    </row>
    <row r="3321" spans="27:30" x14ac:dyDescent="0.3">
      <c r="AA3321" s="37">
        <v>3301</v>
      </c>
      <c r="AB3321" s="37">
        <v>1.8049349885604107</v>
      </c>
      <c r="AC3321" s="37">
        <v>2.7574354666538738</v>
      </c>
      <c r="AD3321" s="37">
        <v>3.462786591951005</v>
      </c>
    </row>
    <row r="3322" spans="27:30" x14ac:dyDescent="0.3">
      <c r="AA3322" s="37">
        <v>3302</v>
      </c>
      <c r="AB3322" s="37">
        <v>1.806899336292934</v>
      </c>
      <c r="AC3322" s="37">
        <v>2.9243336145745604</v>
      </c>
      <c r="AD3322" s="37">
        <v>3.3936270729514484</v>
      </c>
    </row>
    <row r="3323" spans="27:30" x14ac:dyDescent="0.3">
      <c r="AA3323" s="37">
        <v>3303</v>
      </c>
      <c r="AB3323" s="37">
        <v>1.673187607796349</v>
      </c>
      <c r="AC3323" s="37">
        <v>2.7846447257558942</v>
      </c>
      <c r="AD3323" s="37">
        <v>3.3301611092715615</v>
      </c>
    </row>
    <row r="3324" spans="27:30" x14ac:dyDescent="0.3">
      <c r="AA3324" s="37">
        <v>3304</v>
      </c>
      <c r="AB3324" s="37">
        <v>1.9000735693202493</v>
      </c>
      <c r="AC3324" s="37">
        <v>2.8616352396315108</v>
      </c>
      <c r="AD3324" s="37">
        <v>3.2984780807290641</v>
      </c>
    </row>
    <row r="3325" spans="27:30" x14ac:dyDescent="0.3">
      <c r="AA3325" s="37">
        <v>3305</v>
      </c>
      <c r="AB3325" s="37">
        <v>1.81004971331419</v>
      </c>
      <c r="AC3325" s="37">
        <v>2.867053214591746</v>
      </c>
      <c r="AD3325" s="37">
        <v>3.4160468825328238</v>
      </c>
    </row>
    <row r="3326" spans="27:30" x14ac:dyDescent="0.3">
      <c r="AA3326" s="37">
        <v>3306</v>
      </c>
      <c r="AB3326" s="37">
        <v>1.7140682196977812</v>
      </c>
      <c r="AC3326" s="37">
        <v>2.8598373610462757</v>
      </c>
      <c r="AD3326" s="37">
        <v>3.2478899652940241</v>
      </c>
    </row>
    <row r="3327" spans="27:30" x14ac:dyDescent="0.3">
      <c r="AA3327" s="37">
        <v>3307</v>
      </c>
      <c r="AB3327" s="37">
        <v>1.8697555483422958</v>
      </c>
      <c r="AC3327" s="37">
        <v>2.8532710586974006</v>
      </c>
      <c r="AD3327" s="37">
        <v>3.411519829606724</v>
      </c>
    </row>
    <row r="3328" spans="27:30" x14ac:dyDescent="0.3">
      <c r="AA3328" s="37">
        <v>3308</v>
      </c>
      <c r="AB3328" s="37">
        <v>1.6992457062215964</v>
      </c>
      <c r="AC3328" s="37">
        <v>2.8551947081387907</v>
      </c>
      <c r="AD3328" s="37">
        <v>3.2498289703699421</v>
      </c>
    </row>
    <row r="3329" spans="27:30" x14ac:dyDescent="0.3">
      <c r="AA3329" s="37">
        <v>3309</v>
      </c>
      <c r="AB3329" s="37">
        <v>1.7960997692520015</v>
      </c>
      <c r="AC3329" s="37">
        <v>2.8410603318225647</v>
      </c>
      <c r="AD3329" s="37">
        <v>3.3513035526596973</v>
      </c>
    </row>
    <row r="3330" spans="27:30" x14ac:dyDescent="0.3">
      <c r="AA3330" s="37">
        <v>3310</v>
      </c>
      <c r="AB3330" s="37">
        <v>1.7915588966881386</v>
      </c>
      <c r="AC3330" s="37">
        <v>2.743543044282418</v>
      </c>
      <c r="AD3330" s="37">
        <v>3.388167295369191</v>
      </c>
    </row>
    <row r="3331" spans="27:30" x14ac:dyDescent="0.3">
      <c r="AA3331" s="37">
        <v>3311</v>
      </c>
      <c r="AB3331" s="37">
        <v>1.7948723540050293</v>
      </c>
      <c r="AC3331" s="37">
        <v>2.9005594441967628</v>
      </c>
      <c r="AD3331" s="37">
        <v>3.5089175475240384</v>
      </c>
    </row>
    <row r="3332" spans="27:30" x14ac:dyDescent="0.3">
      <c r="AA3332" s="37">
        <v>3312</v>
      </c>
      <c r="AB3332" s="37">
        <v>1.7743143937421015</v>
      </c>
      <c r="AC3332" s="37">
        <v>2.8180799485998471</v>
      </c>
      <c r="AD3332" s="37">
        <v>3.3869724370453449</v>
      </c>
    </row>
    <row r="3333" spans="27:30" x14ac:dyDescent="0.3">
      <c r="AA3333" s="37">
        <v>3313</v>
      </c>
      <c r="AB3333" s="37">
        <v>1.8036407743528788</v>
      </c>
      <c r="AC3333" s="37">
        <v>2.9217086345460257</v>
      </c>
      <c r="AD3333" s="37">
        <v>3.3700262324498929</v>
      </c>
    </row>
    <row r="3334" spans="27:30" x14ac:dyDescent="0.3">
      <c r="AA3334" s="37">
        <v>3314</v>
      </c>
      <c r="AB3334" s="37">
        <v>1.7367492019566542</v>
      </c>
      <c r="AC3334" s="37">
        <v>2.7703933094450872</v>
      </c>
      <c r="AD3334" s="37">
        <v>3.2912100704071445</v>
      </c>
    </row>
    <row r="3335" spans="27:30" x14ac:dyDescent="0.3">
      <c r="AA3335" s="37">
        <v>3315</v>
      </c>
      <c r="AB3335" s="37">
        <v>1.8367096256841111</v>
      </c>
      <c r="AC3335" s="37">
        <v>2.9017789156185976</v>
      </c>
      <c r="AD3335" s="37">
        <v>3.3900691305603208</v>
      </c>
    </row>
    <row r="3336" spans="27:30" x14ac:dyDescent="0.3">
      <c r="AA3336" s="37">
        <v>3316</v>
      </c>
      <c r="AB3336" s="37">
        <v>1.7896745137100125</v>
      </c>
      <c r="AC3336" s="37">
        <v>2.6384296435195038</v>
      </c>
      <c r="AD3336" s="37">
        <v>3.2410502632089933</v>
      </c>
    </row>
    <row r="3337" spans="27:30" x14ac:dyDescent="0.3">
      <c r="AA3337" s="37">
        <v>3317</v>
      </c>
      <c r="AB3337" s="37">
        <v>1.7433663648957956</v>
      </c>
      <c r="AC3337" s="37">
        <v>2.9060164333578409</v>
      </c>
      <c r="AD3337" s="37">
        <v>3.5252305193144866</v>
      </c>
    </row>
    <row r="3338" spans="27:30" x14ac:dyDescent="0.3">
      <c r="AA3338" s="37">
        <v>3318</v>
      </c>
      <c r="AB3338" s="37">
        <v>1.8018300590465386</v>
      </c>
      <c r="AC3338" s="37">
        <v>2.8546168319100915</v>
      </c>
      <c r="AD3338" s="37">
        <v>3.15704665792564</v>
      </c>
    </row>
    <row r="3339" spans="27:30" x14ac:dyDescent="0.3">
      <c r="AA3339" s="37">
        <v>3319</v>
      </c>
      <c r="AB3339" s="37">
        <v>1.8006674882829101</v>
      </c>
      <c r="AC3339" s="37">
        <v>2.8183807356261203</v>
      </c>
      <c r="AD3339" s="37">
        <v>3.319994622788641</v>
      </c>
    </row>
    <row r="3340" spans="27:30" x14ac:dyDescent="0.3">
      <c r="AA3340" s="37">
        <v>3320</v>
      </c>
      <c r="AB3340" s="37">
        <v>1.7462348062206459</v>
      </c>
      <c r="AC3340" s="37">
        <v>2.8890323272560772</v>
      </c>
      <c r="AD3340" s="37">
        <v>3.3235531794345796</v>
      </c>
    </row>
    <row r="3341" spans="27:30" x14ac:dyDescent="0.3">
      <c r="AA3341" s="37">
        <v>3321</v>
      </c>
      <c r="AB3341" s="37">
        <v>1.8559966584141818</v>
      </c>
      <c r="AC3341" s="37">
        <v>2.8530590554802462</v>
      </c>
      <c r="AD3341" s="37">
        <v>3.2100026877687564</v>
      </c>
    </row>
    <row r="3342" spans="27:30" x14ac:dyDescent="0.3">
      <c r="AA3342" s="37">
        <v>3322</v>
      </c>
      <c r="AB3342" s="37">
        <v>1.7660887258646232</v>
      </c>
      <c r="AC3342" s="37">
        <v>2.8252766010655845</v>
      </c>
      <c r="AD3342" s="37">
        <v>3.2919320859390262</v>
      </c>
    </row>
    <row r="3343" spans="27:30" x14ac:dyDescent="0.3">
      <c r="AA3343" s="37">
        <v>3323</v>
      </c>
      <c r="AB3343" s="37">
        <v>1.816731424171742</v>
      </c>
      <c r="AC3343" s="37">
        <v>2.8975724324527574</v>
      </c>
      <c r="AD3343" s="37">
        <v>3.275847176613417</v>
      </c>
    </row>
    <row r="3344" spans="27:30" x14ac:dyDescent="0.3">
      <c r="AA3344" s="37">
        <v>3324</v>
      </c>
      <c r="AB3344" s="37">
        <v>1.7818501701914693</v>
      </c>
      <c r="AC3344" s="37">
        <v>2.8591811061808734</v>
      </c>
      <c r="AD3344" s="37">
        <v>3.4725381731650917</v>
      </c>
    </row>
    <row r="3345" spans="27:30" x14ac:dyDescent="0.3">
      <c r="AA3345" s="37">
        <v>3325</v>
      </c>
      <c r="AB3345" s="37">
        <v>1.9101338874982174</v>
      </c>
      <c r="AC3345" s="37">
        <v>2.9575818840008012</v>
      </c>
      <c r="AD3345" s="37">
        <v>3.4842728213264182</v>
      </c>
    </row>
    <row r="3346" spans="27:30" x14ac:dyDescent="0.3">
      <c r="AA3346" s="37">
        <v>3326</v>
      </c>
      <c r="AB3346" s="37">
        <v>1.6930404201961358</v>
      </c>
      <c r="AC3346" s="37">
        <v>2.785006077070467</v>
      </c>
      <c r="AD3346" s="37">
        <v>3.2830660255661299</v>
      </c>
    </row>
    <row r="3347" spans="27:30" x14ac:dyDescent="0.3">
      <c r="AA3347" s="37">
        <v>3327</v>
      </c>
      <c r="AB3347" s="37">
        <v>1.6963043689999495</v>
      </c>
      <c r="AC3347" s="37">
        <v>2.9135529711533525</v>
      </c>
      <c r="AD3347" s="37">
        <v>3.41257404769136</v>
      </c>
    </row>
    <row r="3348" spans="27:30" x14ac:dyDescent="0.3">
      <c r="AA3348" s="37">
        <v>3328</v>
      </c>
      <c r="AB3348" s="37">
        <v>1.7113836529145097</v>
      </c>
      <c r="AC3348" s="37">
        <v>3.0711744188353673</v>
      </c>
      <c r="AD3348" s="37">
        <v>3.5524448974345022</v>
      </c>
    </row>
    <row r="3349" spans="27:30" x14ac:dyDescent="0.3">
      <c r="AA3349" s="37">
        <v>3329</v>
      </c>
      <c r="AB3349" s="37">
        <v>1.8530988548735028</v>
      </c>
      <c r="AC3349" s="37">
        <v>2.9589201803318428</v>
      </c>
      <c r="AD3349" s="37">
        <v>3.1902754407385623</v>
      </c>
    </row>
    <row r="3350" spans="27:30" x14ac:dyDescent="0.3">
      <c r="AA3350" s="37">
        <v>3330</v>
      </c>
      <c r="AB3350" s="37">
        <v>1.8741567367655327</v>
      </c>
      <c r="AC3350" s="37">
        <v>2.901683251177833</v>
      </c>
      <c r="AD3350" s="37">
        <v>3.2726477035781243</v>
      </c>
    </row>
    <row r="3351" spans="27:30" x14ac:dyDescent="0.3">
      <c r="AA3351" s="37">
        <v>3331</v>
      </c>
      <c r="AB3351" s="37">
        <v>1.847018209012963</v>
      </c>
      <c r="AC3351" s="37">
        <v>2.6852186990911537</v>
      </c>
      <c r="AD3351" s="37">
        <v>3.3074963917997531</v>
      </c>
    </row>
    <row r="3352" spans="27:30" x14ac:dyDescent="0.3">
      <c r="AA3352" s="37">
        <v>3332</v>
      </c>
      <c r="AB3352" s="37">
        <v>1.751948870300819</v>
      </c>
      <c r="AC3352" s="37">
        <v>2.8198902087462412</v>
      </c>
      <c r="AD3352" s="37">
        <v>3.4539449432550304</v>
      </c>
    </row>
    <row r="3353" spans="27:30" x14ac:dyDescent="0.3">
      <c r="AA3353" s="37">
        <v>3333</v>
      </c>
      <c r="AB3353" s="37">
        <v>1.7853231618180334</v>
      </c>
      <c r="AC3353" s="37">
        <v>2.6885171316305465</v>
      </c>
      <c r="AD3353" s="37">
        <v>3.4861433408621298</v>
      </c>
    </row>
    <row r="3354" spans="27:30" x14ac:dyDescent="0.3">
      <c r="AA3354" s="37">
        <v>3334</v>
      </c>
      <c r="AB3354" s="37">
        <v>1.8696732951230557</v>
      </c>
      <c r="AC3354" s="37">
        <v>2.8053977765051408</v>
      </c>
      <c r="AD3354" s="37">
        <v>3.1566805306645471</v>
      </c>
    </row>
    <row r="3355" spans="27:30" x14ac:dyDescent="0.3">
      <c r="AA3355" s="37">
        <v>3335</v>
      </c>
      <c r="AB3355" s="37">
        <v>1.7685517515573423</v>
      </c>
      <c r="AC3355" s="37">
        <v>2.9805991190258756</v>
      </c>
      <c r="AD3355" s="37">
        <v>3.3334266779268007</v>
      </c>
    </row>
    <row r="3356" spans="27:30" x14ac:dyDescent="0.3">
      <c r="AA3356" s="37">
        <v>3336</v>
      </c>
      <c r="AB3356" s="37">
        <v>1.9615562384790755</v>
      </c>
      <c r="AC3356" s="37">
        <v>2.8617684939296022</v>
      </c>
      <c r="AD3356" s="37">
        <v>3.3810388740456361</v>
      </c>
    </row>
    <row r="3357" spans="27:30" x14ac:dyDescent="0.3">
      <c r="AA3357" s="37">
        <v>3337</v>
      </c>
      <c r="AB3357" s="37">
        <v>1.804323533219746</v>
      </c>
      <c r="AC3357" s="37">
        <v>2.8316323999936626</v>
      </c>
      <c r="AD3357" s="37">
        <v>3.4992427777258177</v>
      </c>
    </row>
    <row r="3358" spans="27:30" x14ac:dyDescent="0.3">
      <c r="AA3358" s="37">
        <v>3338</v>
      </c>
      <c r="AB3358" s="37">
        <v>1.8425228344168194</v>
      </c>
      <c r="AC3358" s="37">
        <v>2.9257087486964619</v>
      </c>
      <c r="AD3358" s="37">
        <v>3.2993036197889283</v>
      </c>
    </row>
    <row r="3359" spans="27:30" x14ac:dyDescent="0.3">
      <c r="AA3359" s="37">
        <v>3339</v>
      </c>
      <c r="AB3359" s="37">
        <v>1.7589804913134428</v>
      </c>
      <c r="AC3359" s="37">
        <v>2.9005917516998929</v>
      </c>
      <c r="AD3359" s="37">
        <v>3.406232274097539</v>
      </c>
    </row>
    <row r="3360" spans="27:30" x14ac:dyDescent="0.3">
      <c r="AA3360" s="37">
        <v>3340</v>
      </c>
      <c r="AB3360" s="37">
        <v>1.7887743074384712</v>
      </c>
      <c r="AC3360" s="37">
        <v>2.7694921955074872</v>
      </c>
      <c r="AD3360" s="37">
        <v>3.3261671871513183</v>
      </c>
    </row>
    <row r="3361" spans="27:30" x14ac:dyDescent="0.3">
      <c r="AA3361" s="37">
        <v>3341</v>
      </c>
      <c r="AB3361" s="37">
        <v>1.8123740944209601</v>
      </c>
      <c r="AC3361" s="37">
        <v>2.8994004430373308</v>
      </c>
      <c r="AD3361" s="37">
        <v>3.630869198990025</v>
      </c>
    </row>
    <row r="3362" spans="27:30" x14ac:dyDescent="0.3">
      <c r="AA3362" s="37">
        <v>3342</v>
      </c>
      <c r="AB3362" s="37">
        <v>1.7207328561193933</v>
      </c>
      <c r="AC3362" s="37">
        <v>2.9859021822535974</v>
      </c>
      <c r="AD3362" s="37">
        <v>3.2303508528553762</v>
      </c>
    </row>
    <row r="3363" spans="27:30" x14ac:dyDescent="0.3">
      <c r="AA3363" s="37">
        <v>3343</v>
      </c>
      <c r="AB3363" s="37">
        <v>1.6336751075356712</v>
      </c>
      <c r="AC3363" s="37">
        <v>2.8027575132005427</v>
      </c>
      <c r="AD3363" s="37">
        <v>3.2154742849478484</v>
      </c>
    </row>
    <row r="3364" spans="27:30" x14ac:dyDescent="0.3">
      <c r="AA3364" s="37">
        <v>3344</v>
      </c>
      <c r="AB3364" s="37">
        <v>1.7879569260328165</v>
      </c>
      <c r="AC3364" s="37">
        <v>2.8822870920922719</v>
      </c>
      <c r="AD3364" s="37">
        <v>3.2702609975874561</v>
      </c>
    </row>
    <row r="3365" spans="27:30" x14ac:dyDescent="0.3">
      <c r="AA3365" s="37">
        <v>3345</v>
      </c>
      <c r="AB3365" s="37">
        <v>1.7842817021963384</v>
      </c>
      <c r="AC3365" s="37">
        <v>2.9453215686692413</v>
      </c>
      <c r="AD3365" s="37">
        <v>3.2073274625733545</v>
      </c>
    </row>
    <row r="3366" spans="27:30" x14ac:dyDescent="0.3">
      <c r="AA3366" s="37">
        <v>3346</v>
      </c>
      <c r="AB3366" s="37">
        <v>1.7687937961687519</v>
      </c>
      <c r="AC3366" s="37">
        <v>2.908933150505129</v>
      </c>
      <c r="AD3366" s="37">
        <v>3.4121136218882095</v>
      </c>
    </row>
    <row r="3367" spans="27:30" x14ac:dyDescent="0.3">
      <c r="AA3367" s="37">
        <v>3347</v>
      </c>
      <c r="AB3367" s="37">
        <v>1.6459646888342017</v>
      </c>
      <c r="AC3367" s="37">
        <v>3.0943033770851778</v>
      </c>
      <c r="AD3367" s="37">
        <v>3.4493645933969388</v>
      </c>
    </row>
    <row r="3368" spans="27:30" x14ac:dyDescent="0.3">
      <c r="AA3368" s="37">
        <v>3348</v>
      </c>
      <c r="AB3368" s="37">
        <v>1.7347259346392849</v>
      </c>
      <c r="AC3368" s="37">
        <v>2.742366930781523</v>
      </c>
      <c r="AD3368" s="37">
        <v>3.2536088031749761</v>
      </c>
    </row>
    <row r="3369" spans="27:30" x14ac:dyDescent="0.3">
      <c r="AA3369" s="37">
        <v>3349</v>
      </c>
      <c r="AB3369" s="37">
        <v>1.8247788082301946</v>
      </c>
      <c r="AC3369" s="37">
        <v>2.4274469894171582</v>
      </c>
      <c r="AD3369" s="37">
        <v>3.30407229296272</v>
      </c>
    </row>
    <row r="3370" spans="27:30" x14ac:dyDescent="0.3">
      <c r="AA3370" s="37">
        <v>3350</v>
      </c>
      <c r="AB3370" s="37">
        <v>1.765783637296561</v>
      </c>
      <c r="AC3370" s="37">
        <v>2.9191943388445947</v>
      </c>
      <c r="AD3370" s="37">
        <v>3.7135170619794087</v>
      </c>
    </row>
    <row r="3371" spans="27:30" x14ac:dyDescent="0.3">
      <c r="AA3371" s="37">
        <v>3351</v>
      </c>
      <c r="AB3371" s="37">
        <v>1.8395887522520189</v>
      </c>
      <c r="AC3371" s="37">
        <v>2.8952145898141586</v>
      </c>
      <c r="AD3371" s="37">
        <v>3.2237312898746451</v>
      </c>
    </row>
    <row r="3372" spans="27:30" x14ac:dyDescent="0.3">
      <c r="AA3372" s="37">
        <v>3352</v>
      </c>
      <c r="AB3372" s="37">
        <v>1.8790948040654352</v>
      </c>
      <c r="AC3372" s="37">
        <v>2.8978442203918147</v>
      </c>
      <c r="AD3372" s="37">
        <v>3.590894176334825</v>
      </c>
    </row>
    <row r="3373" spans="27:30" x14ac:dyDescent="0.3">
      <c r="AA3373" s="37">
        <v>3353</v>
      </c>
      <c r="AB3373" s="37">
        <v>1.8033555710392697</v>
      </c>
      <c r="AC3373" s="37">
        <v>2.92569121299465</v>
      </c>
      <c r="AD3373" s="37">
        <v>3.3070888267520266</v>
      </c>
    </row>
    <row r="3374" spans="27:30" x14ac:dyDescent="0.3">
      <c r="AA3374" s="37">
        <v>3354</v>
      </c>
      <c r="AB3374" s="37">
        <v>1.7124600203522831</v>
      </c>
      <c r="AC3374" s="37">
        <v>2.8384204271637525</v>
      </c>
      <c r="AD3374" s="37">
        <v>3.1336988065371356</v>
      </c>
    </row>
    <row r="3375" spans="27:30" x14ac:dyDescent="0.3">
      <c r="AA3375" s="37">
        <v>3355</v>
      </c>
      <c r="AB3375" s="37">
        <v>1.7522476347977145</v>
      </c>
      <c r="AC3375" s="37">
        <v>2.8326542996368316</v>
      </c>
      <c r="AD3375" s="37">
        <v>3.1561403469313767</v>
      </c>
    </row>
    <row r="3376" spans="27:30" x14ac:dyDescent="0.3">
      <c r="AA3376" s="37">
        <v>3356</v>
      </c>
      <c r="AB3376" s="37">
        <v>1.8924964206904491</v>
      </c>
      <c r="AC3376" s="37">
        <v>2.796080758855914</v>
      </c>
      <c r="AD3376" s="37">
        <v>3.1260970030141384</v>
      </c>
    </row>
    <row r="3377" spans="27:30" x14ac:dyDescent="0.3">
      <c r="AA3377" s="37">
        <v>3357</v>
      </c>
      <c r="AB3377" s="37">
        <v>1.8801916307424391</v>
      </c>
      <c r="AC3377" s="37">
        <v>2.6321754703605778</v>
      </c>
      <c r="AD3377" s="37">
        <v>3.5024563381323475</v>
      </c>
    </row>
    <row r="3378" spans="27:30" x14ac:dyDescent="0.3">
      <c r="AA3378" s="37">
        <v>3358</v>
      </c>
      <c r="AB3378" s="37">
        <v>1.8380213077845766</v>
      </c>
      <c r="AC3378" s="37">
        <v>2.7562138874897286</v>
      </c>
      <c r="AD3378" s="37">
        <v>3.1155906963389524</v>
      </c>
    </row>
    <row r="3379" spans="27:30" x14ac:dyDescent="0.3">
      <c r="AA3379" s="37">
        <v>3359</v>
      </c>
      <c r="AB3379" s="37">
        <v>1.7586761358846843</v>
      </c>
      <c r="AC3379" s="37">
        <v>2.9542195180456305</v>
      </c>
      <c r="AD3379" s="37">
        <v>3.3652123825791902</v>
      </c>
    </row>
    <row r="3380" spans="27:30" x14ac:dyDescent="0.3">
      <c r="AA3380" s="37">
        <v>3360</v>
      </c>
      <c r="AB3380" s="37">
        <v>1.7994249323234128</v>
      </c>
      <c r="AC3380" s="37">
        <v>3.0454442078064923</v>
      </c>
      <c r="AD3380" s="37">
        <v>3.2049589883094658</v>
      </c>
    </row>
    <row r="3381" spans="27:30" x14ac:dyDescent="0.3">
      <c r="AA3381" s="37">
        <v>3361</v>
      </c>
      <c r="AB3381" s="37">
        <v>1.8088062834565115</v>
      </c>
      <c r="AC3381" s="37">
        <v>2.8887581745997748</v>
      </c>
      <c r="AD3381" s="37">
        <v>3.4539161544202415</v>
      </c>
    </row>
    <row r="3382" spans="27:30" x14ac:dyDescent="0.3">
      <c r="AA3382" s="37">
        <v>3362</v>
      </c>
      <c r="AB3382" s="37">
        <v>1.7038182346827995</v>
      </c>
      <c r="AC3382" s="37">
        <v>2.6839079420348604</v>
      </c>
      <c r="AD3382" s="37">
        <v>3.3729416881731318</v>
      </c>
    </row>
    <row r="3383" spans="27:30" x14ac:dyDescent="0.3">
      <c r="AA3383" s="37">
        <v>3363</v>
      </c>
      <c r="AB3383" s="37">
        <v>1.7247506924102045</v>
      </c>
      <c r="AC3383" s="37">
        <v>2.9109541379783632</v>
      </c>
      <c r="AD3383" s="37">
        <v>3.1254506000072855</v>
      </c>
    </row>
    <row r="3384" spans="27:30" x14ac:dyDescent="0.3">
      <c r="AA3384" s="37">
        <v>3364</v>
      </c>
      <c r="AB3384" s="37">
        <v>1.8510234629146864</v>
      </c>
      <c r="AC3384" s="37">
        <v>2.8884894653740627</v>
      </c>
      <c r="AD3384" s="37">
        <v>3.0838162318140014</v>
      </c>
    </row>
    <row r="3385" spans="27:30" x14ac:dyDescent="0.3">
      <c r="AA3385" s="37">
        <v>3365</v>
      </c>
      <c r="AB3385" s="37">
        <v>1.7322178479251245</v>
      </c>
      <c r="AC3385" s="37">
        <v>2.6281804809042359</v>
      </c>
      <c r="AD3385" s="37">
        <v>3.2818380994206056</v>
      </c>
    </row>
    <row r="3386" spans="27:30" x14ac:dyDescent="0.3">
      <c r="AA3386" s="37">
        <v>3366</v>
      </c>
      <c r="AB3386" s="37">
        <v>1.8168703893730751</v>
      </c>
      <c r="AC3386" s="37">
        <v>2.7589407195584039</v>
      </c>
      <c r="AD3386" s="37">
        <v>3.1736473156366354</v>
      </c>
    </row>
    <row r="3387" spans="27:30" x14ac:dyDescent="0.3">
      <c r="AA3387" s="37">
        <v>3367</v>
      </c>
      <c r="AB3387" s="37">
        <v>1.7723712500822362</v>
      </c>
      <c r="AC3387" s="37">
        <v>2.6942091955008713</v>
      </c>
      <c r="AD3387" s="37">
        <v>3.3392886049518982</v>
      </c>
    </row>
    <row r="3388" spans="27:30" x14ac:dyDescent="0.3">
      <c r="AA3388" s="37">
        <v>3368</v>
      </c>
      <c r="AB3388" s="37">
        <v>1.7161036173464066</v>
      </c>
      <c r="AC3388" s="37">
        <v>2.9494750970165171</v>
      </c>
      <c r="AD3388" s="37">
        <v>3.5572975571271535</v>
      </c>
    </row>
    <row r="3389" spans="27:30" x14ac:dyDescent="0.3">
      <c r="AA3389" s="37">
        <v>3369</v>
      </c>
      <c r="AB3389" s="37">
        <v>1.749753267402635</v>
      </c>
      <c r="AC3389" s="37">
        <v>2.8781246511379801</v>
      </c>
      <c r="AD3389" s="37">
        <v>3.1551854441669627</v>
      </c>
    </row>
    <row r="3390" spans="27:30" x14ac:dyDescent="0.3">
      <c r="AA3390" s="37">
        <v>3370</v>
      </c>
      <c r="AB3390" s="37">
        <v>1.8215144080255754</v>
      </c>
      <c r="AC3390" s="37">
        <v>2.768277518191347</v>
      </c>
      <c r="AD3390" s="37">
        <v>3.5778830076745476</v>
      </c>
    </row>
    <row r="3391" spans="27:30" x14ac:dyDescent="0.3">
      <c r="AA3391" s="37">
        <v>3371</v>
      </c>
      <c r="AB3391" s="37">
        <v>1.8368566761955178</v>
      </c>
      <c r="AC3391" s="37">
        <v>2.9084662985729559</v>
      </c>
      <c r="AD3391" s="37">
        <v>3.3399743352488875</v>
      </c>
    </row>
    <row r="3392" spans="27:30" x14ac:dyDescent="0.3">
      <c r="AA3392" s="37">
        <v>3372</v>
      </c>
      <c r="AB3392" s="37">
        <v>1.7179571925103627</v>
      </c>
      <c r="AC3392" s="37">
        <v>2.9559535118451112</v>
      </c>
      <c r="AD3392" s="37">
        <v>3.305436320449437</v>
      </c>
    </row>
    <row r="3393" spans="27:30" x14ac:dyDescent="0.3">
      <c r="AA3393" s="37">
        <v>3373</v>
      </c>
      <c r="AB3393" s="37">
        <v>1.7392668564508218</v>
      </c>
      <c r="AC3393" s="37">
        <v>2.7320888062599753</v>
      </c>
      <c r="AD3393" s="37">
        <v>3.548026267118265</v>
      </c>
    </row>
    <row r="3394" spans="27:30" x14ac:dyDescent="0.3">
      <c r="AA3394" s="37">
        <v>3374</v>
      </c>
      <c r="AB3394" s="37">
        <v>1.8488979126943739</v>
      </c>
      <c r="AC3394" s="37">
        <v>3.0048654399536932</v>
      </c>
      <c r="AD3394" s="37">
        <v>3.3372417221583408</v>
      </c>
    </row>
    <row r="3395" spans="27:30" x14ac:dyDescent="0.3">
      <c r="AA3395" s="37">
        <v>3375</v>
      </c>
      <c r="AB3395" s="37">
        <v>1.9306219368686957</v>
      </c>
      <c r="AC3395" s="37">
        <v>2.7720790177507411</v>
      </c>
      <c r="AD3395" s="37">
        <v>3.3248167161253166</v>
      </c>
    </row>
    <row r="3396" spans="27:30" x14ac:dyDescent="0.3">
      <c r="AA3396" s="37">
        <v>3376</v>
      </c>
      <c r="AB3396" s="37">
        <v>1.7862199689989591</v>
      </c>
      <c r="AC3396" s="37">
        <v>2.8900060272640968</v>
      </c>
      <c r="AD3396" s="37">
        <v>3.4056641170570621</v>
      </c>
    </row>
    <row r="3397" spans="27:30" x14ac:dyDescent="0.3">
      <c r="AA3397" s="37">
        <v>3377</v>
      </c>
      <c r="AB3397" s="37">
        <v>1.7440677828849596</v>
      </c>
      <c r="AC3397" s="37">
        <v>2.9055860976983277</v>
      </c>
      <c r="AD3397" s="37">
        <v>3.3957399565160897</v>
      </c>
    </row>
    <row r="3398" spans="27:30" x14ac:dyDescent="0.3">
      <c r="AA3398" s="37">
        <v>3378</v>
      </c>
      <c r="AB3398" s="37">
        <v>1.8321563942932213</v>
      </c>
      <c r="AC3398" s="37">
        <v>2.9085733610344744</v>
      </c>
      <c r="AD3398" s="37">
        <v>3.3448263459428262</v>
      </c>
    </row>
    <row r="3399" spans="27:30" x14ac:dyDescent="0.3">
      <c r="AA3399" s="37">
        <v>3379</v>
      </c>
      <c r="AB3399" s="37">
        <v>1.8383330436490695</v>
      </c>
      <c r="AC3399" s="37">
        <v>2.6266630917819875</v>
      </c>
      <c r="AD3399" s="37">
        <v>3.4541052935718879</v>
      </c>
    </row>
    <row r="3400" spans="27:30" x14ac:dyDescent="0.3">
      <c r="AA3400" s="37">
        <v>3380</v>
      </c>
      <c r="AB3400" s="37">
        <v>1.6602785982216473</v>
      </c>
      <c r="AC3400" s="37">
        <v>2.8256583596595508</v>
      </c>
      <c r="AD3400" s="37">
        <v>3.1743402467538862</v>
      </c>
    </row>
    <row r="3401" spans="27:30" x14ac:dyDescent="0.3">
      <c r="AA3401" s="37">
        <v>3381</v>
      </c>
      <c r="AB3401" s="37">
        <v>1.7840846853351815</v>
      </c>
      <c r="AC3401" s="37">
        <v>2.9448578851156557</v>
      </c>
      <c r="AD3401" s="37">
        <v>3.4330322773660127</v>
      </c>
    </row>
    <row r="3402" spans="27:30" x14ac:dyDescent="0.3">
      <c r="AA3402" s="37">
        <v>3382</v>
      </c>
      <c r="AB3402" s="37">
        <v>1.7708715498564156</v>
      </c>
      <c r="AC3402" s="37">
        <v>2.8287253371084611</v>
      </c>
      <c r="AD3402" s="37">
        <v>3.3745032549825549</v>
      </c>
    </row>
    <row r="3403" spans="27:30" x14ac:dyDescent="0.3">
      <c r="AA3403" s="37">
        <v>3383</v>
      </c>
      <c r="AB3403" s="37">
        <v>1.6814685684594959</v>
      </c>
      <c r="AC3403" s="37">
        <v>2.7508574783616977</v>
      </c>
      <c r="AD3403" s="37">
        <v>3.3457360099586815</v>
      </c>
    </row>
    <row r="3404" spans="27:30" x14ac:dyDescent="0.3">
      <c r="AA3404" s="37">
        <v>3384</v>
      </c>
      <c r="AB3404" s="37">
        <v>1.8090661268974546</v>
      </c>
      <c r="AC3404" s="37">
        <v>2.9404410421095313</v>
      </c>
      <c r="AD3404" s="37">
        <v>3.3223148620045606</v>
      </c>
    </row>
    <row r="3405" spans="27:30" x14ac:dyDescent="0.3">
      <c r="AA3405" s="37">
        <v>3385</v>
      </c>
      <c r="AB3405" s="37">
        <v>1.8663826704182789</v>
      </c>
      <c r="AC3405" s="37">
        <v>2.8536903496317985</v>
      </c>
      <c r="AD3405" s="37">
        <v>3.2562601995809168</v>
      </c>
    </row>
    <row r="3406" spans="27:30" x14ac:dyDescent="0.3">
      <c r="AA3406" s="37">
        <v>3386</v>
      </c>
      <c r="AB3406" s="37">
        <v>1.7351536795178557</v>
      </c>
      <c r="AC3406" s="37">
        <v>2.7718583873370854</v>
      </c>
      <c r="AD3406" s="37">
        <v>3.3753324767979098</v>
      </c>
    </row>
    <row r="3407" spans="27:30" x14ac:dyDescent="0.3">
      <c r="AA3407" s="37">
        <v>3387</v>
      </c>
      <c r="AB3407" s="37">
        <v>1.8121869908896939</v>
      </c>
      <c r="AC3407" s="37">
        <v>2.8345729002638378</v>
      </c>
      <c r="AD3407" s="37">
        <v>3.2467401979517945</v>
      </c>
    </row>
    <row r="3408" spans="27:30" x14ac:dyDescent="0.3">
      <c r="AA3408" s="37">
        <v>3388</v>
      </c>
      <c r="AB3408" s="37">
        <v>1.7783644305786548</v>
      </c>
      <c r="AC3408" s="37">
        <v>2.8202348435049371</v>
      </c>
      <c r="AD3408" s="37">
        <v>3.3653715975635703</v>
      </c>
    </row>
    <row r="3409" spans="27:30" x14ac:dyDescent="0.3">
      <c r="AA3409" s="37">
        <v>3389</v>
      </c>
      <c r="AB3409" s="37">
        <v>1.9731195432113253</v>
      </c>
      <c r="AC3409" s="37">
        <v>2.7884419418155626</v>
      </c>
      <c r="AD3409" s="37">
        <v>3.1751050932072644</v>
      </c>
    </row>
    <row r="3410" spans="27:30" x14ac:dyDescent="0.3">
      <c r="AA3410" s="37">
        <v>3390</v>
      </c>
      <c r="AB3410" s="37">
        <v>1.7903442434858763</v>
      </c>
      <c r="AC3410" s="37">
        <v>2.9550476134936359</v>
      </c>
      <c r="AD3410" s="37">
        <v>3.3907769759875297</v>
      </c>
    </row>
    <row r="3411" spans="27:30" x14ac:dyDescent="0.3">
      <c r="AA3411" s="37">
        <v>3391</v>
      </c>
      <c r="AB3411" s="37">
        <v>1.7769088128284283</v>
      </c>
      <c r="AC3411" s="37">
        <v>2.838067083227565</v>
      </c>
      <c r="AD3411" s="37">
        <v>3.3812593726192857</v>
      </c>
    </row>
    <row r="3412" spans="27:30" x14ac:dyDescent="0.3">
      <c r="AA3412" s="37">
        <v>3392</v>
      </c>
      <c r="AB3412" s="37">
        <v>1.6781457897140648</v>
      </c>
      <c r="AC3412" s="37">
        <v>2.9897791811216945</v>
      </c>
      <c r="AD3412" s="37">
        <v>3.460670048797891</v>
      </c>
    </row>
    <row r="3413" spans="27:30" x14ac:dyDescent="0.3">
      <c r="AA3413" s="37">
        <v>3393</v>
      </c>
      <c r="AB3413" s="37">
        <v>1.7658552951065578</v>
      </c>
      <c r="AC3413" s="37">
        <v>2.8259116398214865</v>
      </c>
      <c r="AD3413" s="37">
        <v>3.4715961900074985</v>
      </c>
    </row>
    <row r="3414" spans="27:30" x14ac:dyDescent="0.3">
      <c r="AA3414" s="37">
        <v>3394</v>
      </c>
      <c r="AB3414" s="37">
        <v>1.7189995516235064</v>
      </c>
      <c r="AC3414" s="37">
        <v>2.6950521919733079</v>
      </c>
      <c r="AD3414" s="37">
        <v>3.4361240068154153</v>
      </c>
    </row>
    <row r="3415" spans="27:30" x14ac:dyDescent="0.3">
      <c r="AA3415" s="37">
        <v>3395</v>
      </c>
      <c r="AB3415" s="37">
        <v>1.8457177662921747</v>
      </c>
      <c r="AC3415" s="37">
        <v>2.9135844571739979</v>
      </c>
      <c r="AD3415" s="37">
        <v>3.1140127890179667</v>
      </c>
    </row>
    <row r="3416" spans="27:30" x14ac:dyDescent="0.3">
      <c r="AA3416" s="37">
        <v>3396</v>
      </c>
      <c r="AB3416" s="37">
        <v>1.7633633759349141</v>
      </c>
      <c r="AC3416" s="37">
        <v>2.8971231331184142</v>
      </c>
      <c r="AD3416" s="37">
        <v>3.4555955360312156</v>
      </c>
    </row>
    <row r="3417" spans="27:30" x14ac:dyDescent="0.3">
      <c r="AA3417" s="37">
        <v>3397</v>
      </c>
      <c r="AB3417" s="37">
        <v>1.8808552252864079</v>
      </c>
      <c r="AC3417" s="37">
        <v>2.7415922758225162</v>
      </c>
      <c r="AD3417" s="37">
        <v>3.4119888228741693</v>
      </c>
    </row>
    <row r="3418" spans="27:30" x14ac:dyDescent="0.3">
      <c r="AA3418" s="37">
        <v>3398</v>
      </c>
      <c r="AB3418" s="37">
        <v>1.8997957180444776</v>
      </c>
      <c r="AC3418" s="37">
        <v>2.9185984265463478</v>
      </c>
      <c r="AD3418" s="37">
        <v>3.3721054697887518</v>
      </c>
    </row>
    <row r="3419" spans="27:30" x14ac:dyDescent="0.3">
      <c r="AA3419" s="37">
        <v>3399</v>
      </c>
      <c r="AB3419" s="37">
        <v>1.8396923481766292</v>
      </c>
      <c r="AC3419" s="37">
        <v>2.7925404140284851</v>
      </c>
      <c r="AD3419" s="37">
        <v>3.1432722099904908</v>
      </c>
    </row>
    <row r="3420" spans="27:30" x14ac:dyDescent="0.3">
      <c r="AA3420" s="37">
        <v>3400</v>
      </c>
      <c r="AB3420" s="37">
        <v>1.7212737729488072</v>
      </c>
      <c r="AC3420" s="37">
        <v>2.7367132443677273</v>
      </c>
      <c r="AD3420" s="37">
        <v>3.5127930304924964</v>
      </c>
    </row>
    <row r="3421" spans="27:30" x14ac:dyDescent="0.3">
      <c r="AA3421" s="37">
        <v>3401</v>
      </c>
      <c r="AB3421" s="37">
        <v>1.7827516838350852</v>
      </c>
      <c r="AC3421" s="37">
        <v>2.6775204428274013</v>
      </c>
      <c r="AD3421" s="37">
        <v>3.3108694219115433</v>
      </c>
    </row>
    <row r="3422" spans="27:30" x14ac:dyDescent="0.3">
      <c r="AA3422" s="37">
        <v>3402</v>
      </c>
      <c r="AB3422" s="37">
        <v>1.7532471880226763</v>
      </c>
      <c r="AC3422" s="37">
        <v>2.8851468414151835</v>
      </c>
      <c r="AD3422" s="37">
        <v>3.3864719943112469</v>
      </c>
    </row>
    <row r="3423" spans="27:30" x14ac:dyDescent="0.3">
      <c r="AA3423" s="37">
        <v>3403</v>
      </c>
      <c r="AB3423" s="37">
        <v>1.7568829332661731</v>
      </c>
      <c r="AC3423" s="37">
        <v>2.7908746321311053</v>
      </c>
      <c r="AD3423" s="37">
        <v>3.3797413212979239</v>
      </c>
    </row>
    <row r="3424" spans="27:30" x14ac:dyDescent="0.3">
      <c r="AA3424" s="37">
        <v>3404</v>
      </c>
      <c r="AB3424" s="37">
        <v>1.8692436126580145</v>
      </c>
      <c r="AC3424" s="37">
        <v>2.9104804585210555</v>
      </c>
      <c r="AD3424" s="37">
        <v>3.2597888805162478</v>
      </c>
    </row>
    <row r="3425" spans="27:30" x14ac:dyDescent="0.3">
      <c r="AA3425" s="37">
        <v>3405</v>
      </c>
      <c r="AB3425" s="37">
        <v>1.7357845102709948</v>
      </c>
      <c r="AC3425" s="37">
        <v>2.8273272161650578</v>
      </c>
      <c r="AD3425" s="37">
        <v>3.480927035491832</v>
      </c>
    </row>
    <row r="3426" spans="27:30" x14ac:dyDescent="0.3">
      <c r="AA3426" s="37">
        <v>3406</v>
      </c>
      <c r="AB3426" s="37">
        <v>1.6968668893899019</v>
      </c>
      <c r="AC3426" s="37">
        <v>2.9157363612044831</v>
      </c>
      <c r="AD3426" s="37">
        <v>3.4588587779659123</v>
      </c>
    </row>
    <row r="3427" spans="27:30" x14ac:dyDescent="0.3">
      <c r="AA3427" s="37">
        <v>3407</v>
      </c>
      <c r="AB3427" s="37">
        <v>1.7700796731236821</v>
      </c>
      <c r="AC3427" s="37">
        <v>2.8352778486808008</v>
      </c>
      <c r="AD3427" s="37">
        <v>3.1632204086833515</v>
      </c>
    </row>
    <row r="3428" spans="27:30" x14ac:dyDescent="0.3">
      <c r="AA3428" s="37">
        <v>3408</v>
      </c>
      <c r="AB3428" s="37">
        <v>1.7837750674178849</v>
      </c>
      <c r="AC3428" s="37">
        <v>2.9383000093872824</v>
      </c>
      <c r="AD3428" s="37">
        <v>3.3261690765526484</v>
      </c>
    </row>
    <row r="3429" spans="27:30" x14ac:dyDescent="0.3">
      <c r="AA3429" s="37">
        <v>3409</v>
      </c>
      <c r="AB3429" s="37">
        <v>1.773830879002017</v>
      </c>
      <c r="AC3429" s="37">
        <v>2.7944287135910684</v>
      </c>
      <c r="AD3429" s="37">
        <v>3.4063878497283486</v>
      </c>
    </row>
    <row r="3430" spans="27:30" x14ac:dyDescent="0.3">
      <c r="AA3430" s="37">
        <v>3410</v>
      </c>
      <c r="AB3430" s="37">
        <v>1.7289391013472766</v>
      </c>
      <c r="AC3430" s="37">
        <v>2.7218258177699481</v>
      </c>
      <c r="AD3430" s="37">
        <v>3.1401340407730789</v>
      </c>
    </row>
    <row r="3431" spans="27:30" x14ac:dyDescent="0.3">
      <c r="AA3431" s="37">
        <v>3411</v>
      </c>
      <c r="AB3431" s="37">
        <v>1.7452247702068804</v>
      </c>
      <c r="AC3431" s="37">
        <v>2.7760768934685327</v>
      </c>
      <c r="AD3431" s="37">
        <v>3.5279923266309963</v>
      </c>
    </row>
    <row r="3432" spans="27:30" x14ac:dyDescent="0.3">
      <c r="AA3432" s="37">
        <v>3412</v>
      </c>
      <c r="AB3432" s="37">
        <v>1.761235545330976</v>
      </c>
      <c r="AC3432" s="37">
        <v>2.8516575478393529</v>
      </c>
      <c r="AD3432" s="37">
        <v>3.3907944254239268</v>
      </c>
    </row>
    <row r="3433" spans="27:30" x14ac:dyDescent="0.3">
      <c r="AA3433" s="37">
        <v>3413</v>
      </c>
      <c r="AB3433" s="37">
        <v>1.7730839879267739</v>
      </c>
      <c r="AC3433" s="37">
        <v>2.8407252291798968</v>
      </c>
      <c r="AD3433" s="37">
        <v>3.2034758166695925</v>
      </c>
    </row>
    <row r="3434" spans="27:30" x14ac:dyDescent="0.3">
      <c r="AA3434" s="37">
        <v>3414</v>
      </c>
      <c r="AB3434" s="37">
        <v>1.7490180825290496</v>
      </c>
      <c r="AC3434" s="37">
        <v>2.8613684116152793</v>
      </c>
      <c r="AD3434" s="37">
        <v>3.4068009295234556</v>
      </c>
    </row>
    <row r="3435" spans="27:30" x14ac:dyDescent="0.3">
      <c r="AA3435" s="37">
        <v>3415</v>
      </c>
      <c r="AB3435" s="37">
        <v>1.7685413898272002</v>
      </c>
      <c r="AC3435" s="37">
        <v>2.8764576276307898</v>
      </c>
      <c r="AD3435" s="37">
        <v>3.4353226190873403</v>
      </c>
    </row>
    <row r="3436" spans="27:30" x14ac:dyDescent="0.3">
      <c r="AA3436" s="37">
        <v>3416</v>
      </c>
      <c r="AB3436" s="37">
        <v>1.768595754101796</v>
      </c>
      <c r="AC3436" s="37">
        <v>3.0379330240471907</v>
      </c>
      <c r="AD3436" s="37">
        <v>3.5493714428372147</v>
      </c>
    </row>
    <row r="3437" spans="27:30" x14ac:dyDescent="0.3">
      <c r="AA3437" s="37">
        <v>3417</v>
      </c>
      <c r="AB3437" s="37">
        <v>1.7729243025805244</v>
      </c>
      <c r="AC3437" s="37">
        <v>2.6302895258885979</v>
      </c>
      <c r="AD3437" s="37">
        <v>3.1025206878033429</v>
      </c>
    </row>
    <row r="3438" spans="27:30" x14ac:dyDescent="0.3">
      <c r="AA3438" s="37">
        <v>3418</v>
      </c>
      <c r="AB3438" s="37">
        <v>1.7918785086509268</v>
      </c>
      <c r="AC3438" s="37">
        <v>2.9262275064747705</v>
      </c>
      <c r="AD3438" s="37">
        <v>3.5104254825664931</v>
      </c>
    </row>
    <row r="3439" spans="27:30" x14ac:dyDescent="0.3">
      <c r="AA3439" s="37">
        <v>3419</v>
      </c>
      <c r="AB3439" s="37">
        <v>1.7937974705440267</v>
      </c>
      <c r="AC3439" s="37">
        <v>3.0360618968027606</v>
      </c>
      <c r="AD3439" s="37">
        <v>3.3116692899346742</v>
      </c>
    </row>
    <row r="3440" spans="27:30" x14ac:dyDescent="0.3">
      <c r="AA3440" s="37">
        <v>3420</v>
      </c>
      <c r="AB3440" s="37">
        <v>1.7335535971244147</v>
      </c>
      <c r="AC3440" s="37">
        <v>2.9762825558223525</v>
      </c>
      <c r="AD3440" s="37">
        <v>3.4089219154885693</v>
      </c>
    </row>
    <row r="3441" spans="27:30" x14ac:dyDescent="0.3">
      <c r="AA3441" s="37">
        <v>3421</v>
      </c>
      <c r="AB3441" s="37">
        <v>1.794682113034942</v>
      </c>
      <c r="AC3441" s="37">
        <v>2.9520400254784986</v>
      </c>
      <c r="AD3441" s="37">
        <v>3.5275012828070271</v>
      </c>
    </row>
    <row r="3442" spans="27:30" x14ac:dyDescent="0.3">
      <c r="AA3442" s="37">
        <v>3422</v>
      </c>
      <c r="AB3442" s="37">
        <v>1.7646430848512316</v>
      </c>
      <c r="AC3442" s="37">
        <v>2.8711177719156451</v>
      </c>
      <c r="AD3442" s="37">
        <v>3.121571529190065</v>
      </c>
    </row>
    <row r="3443" spans="27:30" x14ac:dyDescent="0.3">
      <c r="AA3443" s="37">
        <v>3423</v>
      </c>
      <c r="AB3443" s="37">
        <v>1.7253392449282761</v>
      </c>
      <c r="AC3443" s="37">
        <v>2.6869763285039565</v>
      </c>
      <c r="AD3443" s="37">
        <v>3.2875643070087102</v>
      </c>
    </row>
    <row r="3444" spans="27:30" x14ac:dyDescent="0.3">
      <c r="AA3444" s="37">
        <v>3424</v>
      </c>
      <c r="AB3444" s="37">
        <v>1.7747148215210025</v>
      </c>
      <c r="AC3444" s="37">
        <v>2.8298990218462046</v>
      </c>
      <c r="AD3444" s="37">
        <v>3.2181844297172804</v>
      </c>
    </row>
    <row r="3445" spans="27:30" x14ac:dyDescent="0.3">
      <c r="AA3445" s="37">
        <v>3425</v>
      </c>
      <c r="AB3445" s="37">
        <v>1.7355988645893592</v>
      </c>
      <c r="AC3445" s="37">
        <v>2.7733272071694826</v>
      </c>
      <c r="AD3445" s="37">
        <v>3.48414218382052</v>
      </c>
    </row>
    <row r="3446" spans="27:30" x14ac:dyDescent="0.3">
      <c r="AA3446" s="37">
        <v>3426</v>
      </c>
      <c r="AB3446" s="37">
        <v>1.6701884494267145</v>
      </c>
      <c r="AC3446" s="37">
        <v>2.8800698065124872</v>
      </c>
      <c r="AD3446" s="37">
        <v>3.0754060691228915</v>
      </c>
    </row>
    <row r="3447" spans="27:30" x14ac:dyDescent="0.3">
      <c r="AA3447" s="37">
        <v>3427</v>
      </c>
      <c r="AB3447" s="37">
        <v>1.7947992169201163</v>
      </c>
      <c r="AC3447" s="37">
        <v>2.7581745006139595</v>
      </c>
      <c r="AD3447" s="37">
        <v>3.3091338253660867</v>
      </c>
    </row>
    <row r="3448" spans="27:30" x14ac:dyDescent="0.3">
      <c r="AA3448" s="37">
        <v>3428</v>
      </c>
      <c r="AB3448" s="37">
        <v>1.800987675533009</v>
      </c>
      <c r="AC3448" s="37">
        <v>2.8846875161542722</v>
      </c>
      <c r="AD3448" s="37">
        <v>3.5450730385066218</v>
      </c>
    </row>
    <row r="3449" spans="27:30" x14ac:dyDescent="0.3">
      <c r="AA3449" s="37">
        <v>3429</v>
      </c>
      <c r="AB3449" s="37">
        <v>1.7216034800342772</v>
      </c>
      <c r="AC3449" s="37">
        <v>2.8014786945117658</v>
      </c>
      <c r="AD3449" s="37">
        <v>3.4321731003255938</v>
      </c>
    </row>
    <row r="3450" spans="27:30" x14ac:dyDescent="0.3">
      <c r="AA3450" s="37">
        <v>3430</v>
      </c>
      <c r="AB3450" s="37">
        <v>1.8282851799400572</v>
      </c>
      <c r="AC3450" s="37">
        <v>2.7636280390138217</v>
      </c>
      <c r="AD3450" s="37">
        <v>3.3847327734118182</v>
      </c>
    </row>
    <row r="3451" spans="27:30" x14ac:dyDescent="0.3">
      <c r="AA3451" s="37">
        <v>3431</v>
      </c>
      <c r="AB3451" s="37">
        <v>1.7402400546615511</v>
      </c>
      <c r="AC3451" s="37">
        <v>2.9894274188818639</v>
      </c>
      <c r="AD3451" s="37">
        <v>3.500539733815315</v>
      </c>
    </row>
    <row r="3452" spans="27:30" x14ac:dyDescent="0.3">
      <c r="AA3452" s="37">
        <v>3432</v>
      </c>
      <c r="AB3452" s="37">
        <v>1.8843495924099412</v>
      </c>
      <c r="AC3452" s="37">
        <v>2.929481968603953</v>
      </c>
      <c r="AD3452" s="37">
        <v>3.3073858211475344</v>
      </c>
    </row>
    <row r="3453" spans="27:30" x14ac:dyDescent="0.3">
      <c r="AA3453" s="37">
        <v>3433</v>
      </c>
      <c r="AB3453" s="37">
        <v>1.823804280626689</v>
      </c>
      <c r="AC3453" s="37">
        <v>2.6351453193839518</v>
      </c>
      <c r="AD3453" s="37">
        <v>3.4682814937498248</v>
      </c>
    </row>
    <row r="3454" spans="27:30" x14ac:dyDescent="0.3">
      <c r="AA3454" s="37">
        <v>3434</v>
      </c>
      <c r="AB3454" s="37">
        <v>1.6728297465014632</v>
      </c>
      <c r="AC3454" s="37">
        <v>2.9886371959515783</v>
      </c>
      <c r="AD3454" s="37">
        <v>3.4078541433720582</v>
      </c>
    </row>
    <row r="3455" spans="27:30" x14ac:dyDescent="0.3">
      <c r="AA3455" s="37">
        <v>3435</v>
      </c>
      <c r="AB3455" s="37">
        <v>1.7407217338703118</v>
      </c>
      <c r="AC3455" s="37">
        <v>2.7996994305354703</v>
      </c>
      <c r="AD3455" s="37">
        <v>3.3163187554238034</v>
      </c>
    </row>
    <row r="3456" spans="27:30" x14ac:dyDescent="0.3">
      <c r="AA3456" s="37">
        <v>3436</v>
      </c>
      <c r="AB3456" s="37">
        <v>1.7464341364641647</v>
      </c>
      <c r="AC3456" s="37">
        <v>2.9164323443874278</v>
      </c>
      <c r="AD3456" s="37">
        <v>3.631882657110082</v>
      </c>
    </row>
    <row r="3457" spans="27:30" x14ac:dyDescent="0.3">
      <c r="AA3457" s="37">
        <v>3437</v>
      </c>
      <c r="AB3457" s="37">
        <v>1.8450246645347659</v>
      </c>
      <c r="AC3457" s="37">
        <v>2.7458995309613057</v>
      </c>
      <c r="AD3457" s="37">
        <v>3.3805638380387002</v>
      </c>
    </row>
    <row r="3458" spans="27:30" x14ac:dyDescent="0.3">
      <c r="AA3458" s="37">
        <v>3438</v>
      </c>
      <c r="AB3458" s="37">
        <v>1.7159575539127434</v>
      </c>
      <c r="AC3458" s="37">
        <v>2.8534888010551569</v>
      </c>
      <c r="AD3458" s="37">
        <v>3.4255453476174189</v>
      </c>
    </row>
    <row r="3459" spans="27:30" x14ac:dyDescent="0.3">
      <c r="AA3459" s="37">
        <v>3439</v>
      </c>
      <c r="AB3459" s="37">
        <v>1.6623458720639326</v>
      </c>
      <c r="AC3459" s="37">
        <v>2.8213154725158605</v>
      </c>
      <c r="AD3459" s="37">
        <v>3.1431181700001884</v>
      </c>
    </row>
    <row r="3460" spans="27:30" x14ac:dyDescent="0.3">
      <c r="AA3460" s="37">
        <v>3440</v>
      </c>
      <c r="AB3460" s="37">
        <v>1.7767772029068105</v>
      </c>
      <c r="AC3460" s="37">
        <v>2.7331020265583503</v>
      </c>
      <c r="AD3460" s="37">
        <v>3.1817681011325747</v>
      </c>
    </row>
    <row r="3461" spans="27:30" x14ac:dyDescent="0.3">
      <c r="AA3461" s="37">
        <v>3441</v>
      </c>
      <c r="AB3461" s="37">
        <v>1.7855757285957581</v>
      </c>
      <c r="AC3461" s="37">
        <v>2.9333921015136397</v>
      </c>
      <c r="AD3461" s="37">
        <v>3.2423768888977533</v>
      </c>
    </row>
    <row r="3462" spans="27:30" x14ac:dyDescent="0.3">
      <c r="AA3462" s="37">
        <v>3442</v>
      </c>
      <c r="AB3462" s="37">
        <v>1.7633093770889785</v>
      </c>
      <c r="AC3462" s="37">
        <v>2.7937783267680363</v>
      </c>
      <c r="AD3462" s="37">
        <v>3.4395564380086956</v>
      </c>
    </row>
    <row r="3463" spans="27:30" x14ac:dyDescent="0.3">
      <c r="AA3463" s="37">
        <v>3443</v>
      </c>
      <c r="AB3463" s="37">
        <v>1.8818175811235818</v>
      </c>
      <c r="AC3463" s="37">
        <v>2.9544446874869021</v>
      </c>
      <c r="AD3463" s="37">
        <v>3.3770801009646414</v>
      </c>
    </row>
    <row r="3464" spans="27:30" x14ac:dyDescent="0.3">
      <c r="AA3464" s="37">
        <v>3444</v>
      </c>
      <c r="AB3464" s="37">
        <v>1.8256843043194939</v>
      </c>
      <c r="AC3464" s="37">
        <v>2.923455171169056</v>
      </c>
      <c r="AD3464" s="37">
        <v>3.135899929068759</v>
      </c>
    </row>
    <row r="3465" spans="27:30" x14ac:dyDescent="0.3">
      <c r="AA3465" s="37">
        <v>3445</v>
      </c>
      <c r="AB3465" s="37">
        <v>1.8615305564738496</v>
      </c>
      <c r="AC3465" s="37">
        <v>2.9537524940020514</v>
      </c>
      <c r="AD3465" s="37">
        <v>3.2286215570849679</v>
      </c>
    </row>
    <row r="3466" spans="27:30" x14ac:dyDescent="0.3">
      <c r="AA3466" s="37">
        <v>3446</v>
      </c>
      <c r="AB3466" s="37">
        <v>1.8340427471636611</v>
      </c>
      <c r="AC3466" s="37">
        <v>2.7317740168112481</v>
      </c>
      <c r="AD3466" s="37">
        <v>3.3938446784152778</v>
      </c>
    </row>
    <row r="3467" spans="27:30" x14ac:dyDescent="0.3">
      <c r="AA3467" s="37">
        <v>3447</v>
      </c>
      <c r="AB3467" s="37">
        <v>1.8430965804698678</v>
      </c>
      <c r="AC3467" s="37">
        <v>3.0109511313689632</v>
      </c>
      <c r="AD3467" s="37">
        <v>3.4164784675077144</v>
      </c>
    </row>
    <row r="3468" spans="27:30" x14ac:dyDescent="0.3">
      <c r="AA3468" s="37">
        <v>3448</v>
      </c>
      <c r="AB3468" s="37">
        <v>1.7427815434575928</v>
      </c>
      <c r="AC3468" s="37">
        <v>2.757381401723102</v>
      </c>
      <c r="AD3468" s="37">
        <v>3.4041150477586326</v>
      </c>
    </row>
    <row r="3469" spans="27:30" x14ac:dyDescent="0.3">
      <c r="AA3469" s="37">
        <v>3449</v>
      </c>
      <c r="AB3469" s="37">
        <v>1.7327861171832191</v>
      </c>
      <c r="AC3469" s="37">
        <v>2.8005987012061597</v>
      </c>
      <c r="AD3469" s="37">
        <v>3.2450432609861104</v>
      </c>
    </row>
    <row r="3470" spans="27:30" x14ac:dyDescent="0.3">
      <c r="AA3470" s="37">
        <v>3450</v>
      </c>
      <c r="AB3470" s="37">
        <v>1.8631618392316942</v>
      </c>
      <c r="AC3470" s="37">
        <v>2.8172664674481136</v>
      </c>
      <c r="AD3470" s="37">
        <v>3.350806639410429</v>
      </c>
    </row>
    <row r="3471" spans="27:30" x14ac:dyDescent="0.3">
      <c r="AA3471" s="37">
        <v>3451</v>
      </c>
      <c r="AB3471" s="37">
        <v>1.789605673945033</v>
      </c>
      <c r="AC3471" s="37">
        <v>2.9268938283041157</v>
      </c>
      <c r="AD3471" s="37">
        <v>3.4437666612702826</v>
      </c>
    </row>
    <row r="3472" spans="27:30" x14ac:dyDescent="0.3">
      <c r="AA3472" s="37">
        <v>3452</v>
      </c>
      <c r="AB3472" s="37">
        <v>1.8200222596037028</v>
      </c>
      <c r="AC3472" s="37">
        <v>2.9290306255983363</v>
      </c>
      <c r="AD3472" s="37">
        <v>3.3694470899068398</v>
      </c>
    </row>
    <row r="3473" spans="27:30" x14ac:dyDescent="0.3">
      <c r="AA3473" s="37">
        <v>3453</v>
      </c>
      <c r="AB3473" s="37">
        <v>1.8702723946589095</v>
      </c>
      <c r="AC3473" s="37">
        <v>2.8066256521382078</v>
      </c>
      <c r="AD3473" s="37">
        <v>3.5567012995707996</v>
      </c>
    </row>
    <row r="3474" spans="27:30" x14ac:dyDescent="0.3">
      <c r="AA3474" s="37">
        <v>3454</v>
      </c>
      <c r="AB3474" s="37">
        <v>1.7568530261615773</v>
      </c>
      <c r="AC3474" s="37">
        <v>2.9331955342968539</v>
      </c>
      <c r="AD3474" s="37">
        <v>3.2508959585989738</v>
      </c>
    </row>
    <row r="3475" spans="27:30" x14ac:dyDescent="0.3">
      <c r="AA3475" s="37">
        <v>3455</v>
      </c>
      <c r="AB3475" s="37">
        <v>1.8207741697764803</v>
      </c>
      <c r="AC3475" s="37">
        <v>2.774153785611388</v>
      </c>
      <c r="AD3475" s="37">
        <v>3.0472523356734769</v>
      </c>
    </row>
    <row r="3476" spans="27:30" x14ac:dyDescent="0.3">
      <c r="AA3476" s="37">
        <v>3456</v>
      </c>
      <c r="AB3476" s="37">
        <v>1.658164763398678</v>
      </c>
      <c r="AC3476" s="37">
        <v>2.7829784360565051</v>
      </c>
      <c r="AD3476" s="37">
        <v>3.2823647260071644</v>
      </c>
    </row>
    <row r="3477" spans="27:30" x14ac:dyDescent="0.3">
      <c r="AA3477" s="37">
        <v>3457</v>
      </c>
      <c r="AB3477" s="37">
        <v>1.7995064379501879</v>
      </c>
      <c r="AC3477" s="37">
        <v>2.8525324185039751</v>
      </c>
      <c r="AD3477" s="37">
        <v>3.4209121853383144</v>
      </c>
    </row>
    <row r="3478" spans="27:30" x14ac:dyDescent="0.3">
      <c r="AA3478" s="37">
        <v>3458</v>
      </c>
      <c r="AB3478" s="37">
        <v>1.8780294973875304</v>
      </c>
      <c r="AC3478" s="37">
        <v>3.0051046146920171</v>
      </c>
      <c r="AD3478" s="37">
        <v>3.1500782379895633</v>
      </c>
    </row>
    <row r="3479" spans="27:30" x14ac:dyDescent="0.3">
      <c r="AA3479" s="37">
        <v>3459</v>
      </c>
      <c r="AB3479" s="37">
        <v>1.8188152431485856</v>
      </c>
      <c r="AC3479" s="37">
        <v>2.8107547283271557</v>
      </c>
      <c r="AD3479" s="37">
        <v>3.4548853876181735</v>
      </c>
    </row>
    <row r="3480" spans="27:30" x14ac:dyDescent="0.3">
      <c r="AA3480" s="37">
        <v>3460</v>
      </c>
      <c r="AB3480" s="37">
        <v>1.7843229828341747</v>
      </c>
      <c r="AC3480" s="37">
        <v>2.8078181015964025</v>
      </c>
      <c r="AD3480" s="37">
        <v>3.2715657058827046</v>
      </c>
    </row>
    <row r="3481" spans="27:30" x14ac:dyDescent="0.3">
      <c r="AA3481" s="37">
        <v>3461</v>
      </c>
      <c r="AB3481" s="37">
        <v>1.7719704314677782</v>
      </c>
      <c r="AC3481" s="37">
        <v>2.6577244288856248</v>
      </c>
      <c r="AD3481" s="37">
        <v>3.1782428365640696</v>
      </c>
    </row>
    <row r="3482" spans="27:30" x14ac:dyDescent="0.3">
      <c r="AA3482" s="37">
        <v>3462</v>
      </c>
      <c r="AB3482" s="37">
        <v>1.7062174517031763</v>
      </c>
      <c r="AC3482" s="37">
        <v>2.8483165016558853</v>
      </c>
      <c r="AD3482" s="37">
        <v>3.5978799713868996</v>
      </c>
    </row>
    <row r="3483" spans="27:30" x14ac:dyDescent="0.3">
      <c r="AA3483" s="37">
        <v>3463</v>
      </c>
      <c r="AB3483" s="37">
        <v>1.8572156907638315</v>
      </c>
      <c r="AC3483" s="37">
        <v>2.80594234170611</v>
      </c>
      <c r="AD3483" s="37">
        <v>3.3332628944829898</v>
      </c>
    </row>
    <row r="3484" spans="27:30" x14ac:dyDescent="0.3">
      <c r="AA3484" s="37">
        <v>3464</v>
      </c>
      <c r="AB3484" s="37">
        <v>1.8677472224763192</v>
      </c>
      <c r="AC3484" s="37">
        <v>2.6823586666228341</v>
      </c>
      <c r="AD3484" s="37">
        <v>3.3528601938510327</v>
      </c>
    </row>
    <row r="3485" spans="27:30" x14ac:dyDescent="0.3">
      <c r="AA3485" s="37">
        <v>3465</v>
      </c>
      <c r="AB3485" s="37">
        <v>1.6927131496825691</v>
      </c>
      <c r="AC3485" s="37">
        <v>2.759144868474301</v>
      </c>
      <c r="AD3485" s="37">
        <v>3.2372039965045101</v>
      </c>
    </row>
    <row r="3486" spans="27:30" x14ac:dyDescent="0.3">
      <c r="AA3486" s="37">
        <v>3466</v>
      </c>
      <c r="AB3486" s="37">
        <v>1.8162207633479319</v>
      </c>
      <c r="AC3486" s="37">
        <v>2.9707153782744697</v>
      </c>
      <c r="AD3486" s="37">
        <v>3.3221465520705324</v>
      </c>
    </row>
    <row r="3487" spans="27:30" x14ac:dyDescent="0.3">
      <c r="AA3487" s="37">
        <v>3467</v>
      </c>
      <c r="AB3487" s="37">
        <v>1.8501353069744899</v>
      </c>
      <c r="AC3487" s="37">
        <v>2.9925766764233344</v>
      </c>
      <c r="AD3487" s="37">
        <v>3.4260900795424138</v>
      </c>
    </row>
    <row r="3488" spans="27:30" x14ac:dyDescent="0.3">
      <c r="AA3488" s="37">
        <v>3468</v>
      </c>
      <c r="AB3488" s="37">
        <v>1.7353022087824279</v>
      </c>
      <c r="AC3488" s="37">
        <v>2.7198455501351009</v>
      </c>
      <c r="AD3488" s="37">
        <v>3.4839421540354563</v>
      </c>
    </row>
    <row r="3489" spans="27:30" x14ac:dyDescent="0.3">
      <c r="AA3489" s="37">
        <v>3469</v>
      </c>
      <c r="AB3489" s="37">
        <v>1.771226393759896</v>
      </c>
      <c r="AC3489" s="37">
        <v>2.7861309286981704</v>
      </c>
      <c r="AD3489" s="37">
        <v>3.1847771717889981</v>
      </c>
    </row>
    <row r="3490" spans="27:30" x14ac:dyDescent="0.3">
      <c r="AA3490" s="37">
        <v>3470</v>
      </c>
      <c r="AB3490" s="37">
        <v>1.8017869093422954</v>
      </c>
      <c r="AC3490" s="37">
        <v>2.9978390358660354</v>
      </c>
      <c r="AD3490" s="37">
        <v>3.2790304777712294</v>
      </c>
    </row>
    <row r="3491" spans="27:30" x14ac:dyDescent="0.3">
      <c r="AA3491" s="37">
        <v>3471</v>
      </c>
      <c r="AB3491" s="37">
        <v>1.8687596940548359</v>
      </c>
      <c r="AC3491" s="37">
        <v>2.8057607663855886</v>
      </c>
      <c r="AD3491" s="37">
        <v>3.4280789092089248</v>
      </c>
    </row>
    <row r="3492" spans="27:30" x14ac:dyDescent="0.3">
      <c r="AA3492" s="37">
        <v>3472</v>
      </c>
      <c r="AB3492" s="37">
        <v>1.6596364503416503</v>
      </c>
      <c r="AC3492" s="37">
        <v>2.9812356104663151</v>
      </c>
      <c r="AD3492" s="37">
        <v>3.421195916322108</v>
      </c>
    </row>
    <row r="3493" spans="27:30" x14ac:dyDescent="0.3">
      <c r="AA3493" s="37">
        <v>3473</v>
      </c>
      <c r="AB3493" s="37">
        <v>1.7230881999215184</v>
      </c>
      <c r="AC3493" s="37">
        <v>2.7261611639114944</v>
      </c>
      <c r="AD3493" s="37">
        <v>3.4561138160461651</v>
      </c>
    </row>
    <row r="3494" spans="27:30" x14ac:dyDescent="0.3">
      <c r="AA3494" s="37">
        <v>3474</v>
      </c>
      <c r="AB3494" s="37">
        <v>1.8041413506325314</v>
      </c>
      <c r="AC3494" s="37">
        <v>2.5642791432170466</v>
      </c>
      <c r="AD3494" s="37">
        <v>3.3671630362928022</v>
      </c>
    </row>
    <row r="3495" spans="27:30" x14ac:dyDescent="0.3">
      <c r="AA3495" s="37">
        <v>3475</v>
      </c>
      <c r="AB3495" s="37">
        <v>1.7820147445537817</v>
      </c>
      <c r="AC3495" s="37">
        <v>2.9412388435385579</v>
      </c>
      <c r="AD3495" s="37">
        <v>3.5131736269580056</v>
      </c>
    </row>
    <row r="3496" spans="27:30" x14ac:dyDescent="0.3">
      <c r="AA3496" s="37">
        <v>3476</v>
      </c>
      <c r="AB3496" s="37">
        <v>1.7217335126388922</v>
      </c>
      <c r="AC3496" s="37">
        <v>2.7309029678983063</v>
      </c>
      <c r="AD3496" s="37">
        <v>3.3259068209075089</v>
      </c>
    </row>
    <row r="3497" spans="27:30" x14ac:dyDescent="0.3">
      <c r="AA3497" s="37">
        <v>3477</v>
      </c>
      <c r="AB3497" s="37">
        <v>1.7003759668478102</v>
      </c>
      <c r="AC3497" s="37">
        <v>2.7475333959388681</v>
      </c>
      <c r="AD3497" s="37">
        <v>3.3871197930688539</v>
      </c>
    </row>
    <row r="3498" spans="27:30" x14ac:dyDescent="0.3">
      <c r="AA3498" s="37">
        <v>3478</v>
      </c>
      <c r="AB3498" s="37">
        <v>1.7949267307397909</v>
      </c>
      <c r="AC3498" s="37">
        <v>2.7814548498664688</v>
      </c>
      <c r="AD3498" s="37">
        <v>3.2992483905368424</v>
      </c>
    </row>
    <row r="3499" spans="27:30" x14ac:dyDescent="0.3">
      <c r="AA3499" s="37">
        <v>3479</v>
      </c>
      <c r="AB3499" s="37">
        <v>1.8561511218174331</v>
      </c>
      <c r="AC3499" s="37">
        <v>2.8660603424318785</v>
      </c>
      <c r="AD3499" s="37">
        <v>3.4581200584533076</v>
      </c>
    </row>
    <row r="3500" spans="27:30" x14ac:dyDescent="0.3">
      <c r="AA3500" s="37">
        <v>3480</v>
      </c>
      <c r="AB3500" s="37">
        <v>1.6965361519178348</v>
      </c>
      <c r="AC3500" s="37">
        <v>2.6556896265098797</v>
      </c>
      <c r="AD3500" s="37">
        <v>3.2401499313410831</v>
      </c>
    </row>
    <row r="3501" spans="27:30" x14ac:dyDescent="0.3">
      <c r="AA3501" s="37">
        <v>3481</v>
      </c>
      <c r="AB3501" s="37">
        <v>1.7217770702398623</v>
      </c>
      <c r="AC3501" s="37">
        <v>2.8080321859820603</v>
      </c>
      <c r="AD3501" s="37">
        <v>3.2102068557972649</v>
      </c>
    </row>
    <row r="3502" spans="27:30" x14ac:dyDescent="0.3">
      <c r="AA3502" s="37">
        <v>3482</v>
      </c>
      <c r="AB3502" s="37">
        <v>1.8938401236721423</v>
      </c>
      <c r="AC3502" s="37">
        <v>3.0372353135151107</v>
      </c>
      <c r="AD3502" s="37">
        <v>3.244833856533349</v>
      </c>
    </row>
    <row r="3503" spans="27:30" x14ac:dyDescent="0.3">
      <c r="AA3503" s="37">
        <v>3483</v>
      </c>
      <c r="AB3503" s="37">
        <v>1.6956745459398261</v>
      </c>
      <c r="AC3503" s="37">
        <v>2.7999637639154527</v>
      </c>
      <c r="AD3503" s="37">
        <v>3.378680186182577</v>
      </c>
    </row>
    <row r="3504" spans="27:30" x14ac:dyDescent="0.3">
      <c r="AA3504" s="37">
        <v>3484</v>
      </c>
      <c r="AB3504" s="37">
        <v>1.6792387042291144</v>
      </c>
      <c r="AC3504" s="37">
        <v>2.8142216435723038</v>
      </c>
      <c r="AD3504" s="37">
        <v>3.3881503050605488</v>
      </c>
    </row>
    <row r="3505" spans="27:30" x14ac:dyDescent="0.3">
      <c r="AA3505" s="37">
        <v>3485</v>
      </c>
      <c r="AB3505" s="37">
        <v>1.7461213906311253</v>
      </c>
      <c r="AC3505" s="37">
        <v>2.8502497982638739</v>
      </c>
      <c r="AD3505" s="37">
        <v>3.5078314427544419</v>
      </c>
    </row>
    <row r="3506" spans="27:30" x14ac:dyDescent="0.3">
      <c r="AA3506" s="37">
        <v>3486</v>
      </c>
      <c r="AB3506" s="37">
        <v>1.8589425935200181</v>
      </c>
      <c r="AC3506" s="37">
        <v>2.8655901762486673</v>
      </c>
      <c r="AD3506" s="37">
        <v>3.0553784325027658</v>
      </c>
    </row>
    <row r="3507" spans="27:30" x14ac:dyDescent="0.3">
      <c r="AA3507" s="37">
        <v>3487</v>
      </c>
      <c r="AB3507" s="37">
        <v>1.7617426537080709</v>
      </c>
      <c r="AC3507" s="37">
        <v>3.0497782345262565</v>
      </c>
      <c r="AD3507" s="37">
        <v>3.4914870704530361</v>
      </c>
    </row>
    <row r="3508" spans="27:30" x14ac:dyDescent="0.3">
      <c r="AA3508" s="37">
        <v>3488</v>
      </c>
      <c r="AB3508" s="37">
        <v>1.7625593029684075</v>
      </c>
      <c r="AC3508" s="37">
        <v>2.9116931728735</v>
      </c>
      <c r="AD3508" s="37">
        <v>3.1721200035528154</v>
      </c>
    </row>
    <row r="3509" spans="27:30" x14ac:dyDescent="0.3">
      <c r="AA3509" s="37">
        <v>3489</v>
      </c>
      <c r="AB3509" s="37">
        <v>1.8458191244170745</v>
      </c>
      <c r="AC3509" s="37">
        <v>2.8670719335958239</v>
      </c>
      <c r="AD3509" s="37">
        <v>3.284141507495693</v>
      </c>
    </row>
    <row r="3510" spans="27:30" x14ac:dyDescent="0.3">
      <c r="AA3510" s="37">
        <v>3490</v>
      </c>
      <c r="AB3510" s="37">
        <v>1.8879353705829178</v>
      </c>
      <c r="AC3510" s="37">
        <v>2.7274916380507346</v>
      </c>
      <c r="AD3510" s="37">
        <v>3.1819010093723135</v>
      </c>
    </row>
    <row r="3511" spans="27:30" x14ac:dyDescent="0.3">
      <c r="AA3511" s="37">
        <v>3491</v>
      </c>
      <c r="AB3511" s="37">
        <v>1.7952795950676759</v>
      </c>
      <c r="AC3511" s="37">
        <v>2.9058833644744948</v>
      </c>
      <c r="AD3511" s="37">
        <v>3.4041768214791754</v>
      </c>
    </row>
    <row r="3512" spans="27:30" x14ac:dyDescent="0.3">
      <c r="AA3512" s="37">
        <v>3492</v>
      </c>
      <c r="AB3512" s="37">
        <v>1.9436740648956694</v>
      </c>
      <c r="AC3512" s="37">
        <v>2.8492258275756011</v>
      </c>
      <c r="AD3512" s="37">
        <v>3.1894351347372858</v>
      </c>
    </row>
    <row r="3513" spans="27:30" x14ac:dyDescent="0.3">
      <c r="AA3513" s="37">
        <v>3493</v>
      </c>
      <c r="AB3513" s="37">
        <v>1.7631052724828677</v>
      </c>
      <c r="AC3513" s="37">
        <v>2.9150722144306198</v>
      </c>
      <c r="AD3513" s="37">
        <v>3.2984219474731269</v>
      </c>
    </row>
    <row r="3514" spans="27:30" x14ac:dyDescent="0.3">
      <c r="AA3514" s="37">
        <v>3494</v>
      </c>
      <c r="AB3514" s="37">
        <v>1.9264030576851923</v>
      </c>
      <c r="AC3514" s="37">
        <v>2.8198404120637073</v>
      </c>
      <c r="AD3514" s="37">
        <v>3.5157929556172109</v>
      </c>
    </row>
    <row r="3515" spans="27:30" x14ac:dyDescent="0.3">
      <c r="AA3515" s="37">
        <v>3495</v>
      </c>
      <c r="AB3515" s="37">
        <v>1.8295287356488219</v>
      </c>
      <c r="AC3515" s="37">
        <v>2.6263363658539549</v>
      </c>
      <c r="AD3515" s="37">
        <v>3.3128969038745275</v>
      </c>
    </row>
    <row r="3516" spans="27:30" x14ac:dyDescent="0.3">
      <c r="AA3516" s="37">
        <v>3496</v>
      </c>
      <c r="AB3516" s="37">
        <v>1.752852997068187</v>
      </c>
      <c r="AC3516" s="37">
        <v>2.8198950430589891</v>
      </c>
      <c r="AD3516" s="37">
        <v>3.4096337995795896</v>
      </c>
    </row>
    <row r="3517" spans="27:30" x14ac:dyDescent="0.3">
      <c r="AA3517" s="37">
        <v>3497</v>
      </c>
      <c r="AB3517" s="37">
        <v>1.7682711726663232</v>
      </c>
      <c r="AC3517" s="37">
        <v>2.9211277949413912</v>
      </c>
      <c r="AD3517" s="37">
        <v>3.3080408922025213</v>
      </c>
    </row>
    <row r="3518" spans="27:30" x14ac:dyDescent="0.3">
      <c r="AA3518" s="37">
        <v>3498</v>
      </c>
      <c r="AB3518" s="37">
        <v>1.7972671705819223</v>
      </c>
      <c r="AC3518" s="37">
        <v>2.824372188863868</v>
      </c>
      <c r="AD3518" s="37">
        <v>3.2972590915248778</v>
      </c>
    </row>
    <row r="3519" spans="27:30" x14ac:dyDescent="0.3">
      <c r="AA3519" s="37">
        <v>3499</v>
      </c>
      <c r="AB3519" s="37">
        <v>1.7721895968152226</v>
      </c>
      <c r="AC3519" s="37">
        <v>2.7882173977567852</v>
      </c>
      <c r="AD3519" s="37">
        <v>3.1171110104000608</v>
      </c>
    </row>
    <row r="3520" spans="27:30" x14ac:dyDescent="0.3">
      <c r="AA3520" s="37">
        <v>3500</v>
      </c>
      <c r="AB3520" s="37">
        <v>1.8501550925583474</v>
      </c>
      <c r="AC3520" s="37">
        <v>2.8403007579663111</v>
      </c>
      <c r="AD3520" s="37">
        <v>3.3188271094593076</v>
      </c>
    </row>
    <row r="3521" spans="27:30" x14ac:dyDescent="0.3">
      <c r="AA3521" s="37">
        <v>3501</v>
      </c>
      <c r="AB3521" s="37">
        <v>1.783469145984131</v>
      </c>
      <c r="AC3521" s="37">
        <v>2.9435111777638987</v>
      </c>
      <c r="AD3521" s="37">
        <v>3.2838566113839049</v>
      </c>
    </row>
    <row r="3522" spans="27:30" x14ac:dyDescent="0.3">
      <c r="AA3522" s="37">
        <v>3502</v>
      </c>
      <c r="AB3522" s="37">
        <v>1.7347685675341018</v>
      </c>
      <c r="AC3522" s="37">
        <v>2.679154572185964</v>
      </c>
      <c r="AD3522" s="37">
        <v>3.2069499328419324</v>
      </c>
    </row>
    <row r="3523" spans="27:30" x14ac:dyDescent="0.3">
      <c r="AA3523" s="37">
        <v>3503</v>
      </c>
      <c r="AB3523" s="37">
        <v>1.8019226455983124</v>
      </c>
      <c r="AC3523" s="37">
        <v>2.9439814230213881</v>
      </c>
      <c r="AD3523" s="37">
        <v>3.4818998763901337</v>
      </c>
    </row>
    <row r="3524" spans="27:30" x14ac:dyDescent="0.3">
      <c r="AA3524" s="37">
        <v>3504</v>
      </c>
      <c r="AB3524" s="37">
        <v>1.7312325182511898</v>
      </c>
      <c r="AC3524" s="37">
        <v>2.7409280010216204</v>
      </c>
      <c r="AD3524" s="37">
        <v>3.353927024029852</v>
      </c>
    </row>
    <row r="3525" spans="27:30" x14ac:dyDescent="0.3">
      <c r="AA3525" s="37">
        <v>3505</v>
      </c>
      <c r="AB3525" s="37">
        <v>1.789664738333111</v>
      </c>
      <c r="AC3525" s="37">
        <v>2.9381843691871721</v>
      </c>
      <c r="AD3525" s="37">
        <v>3.3469401072182401</v>
      </c>
    </row>
    <row r="3526" spans="27:30" x14ac:dyDescent="0.3">
      <c r="AA3526" s="37">
        <v>3506</v>
      </c>
      <c r="AB3526" s="37">
        <v>1.9274954337644248</v>
      </c>
      <c r="AC3526" s="37">
        <v>2.8576131000948077</v>
      </c>
      <c r="AD3526" s="37">
        <v>3.2678341645010902</v>
      </c>
    </row>
    <row r="3527" spans="27:30" x14ac:dyDescent="0.3">
      <c r="AA3527" s="37">
        <v>3507</v>
      </c>
      <c r="AB3527" s="37">
        <v>1.737521150688734</v>
      </c>
      <c r="AC3527" s="37">
        <v>2.9674019780920449</v>
      </c>
      <c r="AD3527" s="37">
        <v>3.3621126390124552</v>
      </c>
    </row>
    <row r="3528" spans="27:30" x14ac:dyDescent="0.3">
      <c r="AA3528" s="37">
        <v>3508</v>
      </c>
      <c r="AB3528" s="37">
        <v>1.7698399083297178</v>
      </c>
      <c r="AC3528" s="37">
        <v>2.7184130222303469</v>
      </c>
      <c r="AD3528" s="37">
        <v>3.3653947654356933</v>
      </c>
    </row>
    <row r="3529" spans="27:30" x14ac:dyDescent="0.3">
      <c r="AA3529" s="37">
        <v>3509</v>
      </c>
      <c r="AB3529" s="37">
        <v>1.7451144214504271</v>
      </c>
      <c r="AC3529" s="37">
        <v>2.7691863601277342</v>
      </c>
      <c r="AD3529" s="37">
        <v>3.3616134506756166</v>
      </c>
    </row>
    <row r="3530" spans="27:30" x14ac:dyDescent="0.3">
      <c r="AA3530" s="37">
        <v>3510</v>
      </c>
      <c r="AB3530" s="37">
        <v>1.810733597414361</v>
      </c>
      <c r="AC3530" s="37">
        <v>3.0519825195141723</v>
      </c>
      <c r="AD3530" s="37">
        <v>3.4155875394983024</v>
      </c>
    </row>
    <row r="3531" spans="27:30" x14ac:dyDescent="0.3">
      <c r="AA3531" s="37">
        <v>3511</v>
      </c>
      <c r="AB3531" s="37">
        <v>1.8355846926838415</v>
      </c>
      <c r="AC3531" s="37">
        <v>2.9082512861715712</v>
      </c>
      <c r="AD3531" s="37">
        <v>3.5680879192060675</v>
      </c>
    </row>
    <row r="3532" spans="27:30" x14ac:dyDescent="0.3">
      <c r="AA3532" s="37">
        <v>3512</v>
      </c>
      <c r="AB3532" s="37">
        <v>1.7917716135187516</v>
      </c>
      <c r="AC3532" s="37">
        <v>2.7142119773173201</v>
      </c>
      <c r="AD3532" s="37">
        <v>3.508080266547879</v>
      </c>
    </row>
    <row r="3533" spans="27:30" x14ac:dyDescent="0.3">
      <c r="AA3533" s="37">
        <v>3513</v>
      </c>
      <c r="AB3533" s="37">
        <v>1.9272223884545578</v>
      </c>
      <c r="AC3533" s="37">
        <v>2.7686940760122565</v>
      </c>
      <c r="AD3533" s="37">
        <v>3.2522803639443554</v>
      </c>
    </row>
    <row r="3534" spans="27:30" x14ac:dyDescent="0.3">
      <c r="AA3534" s="37">
        <v>3514</v>
      </c>
      <c r="AB3534" s="37">
        <v>1.7699424686293537</v>
      </c>
      <c r="AC3534" s="37">
        <v>2.9104375985605726</v>
      </c>
      <c r="AD3534" s="37">
        <v>3.3617750846407417</v>
      </c>
    </row>
    <row r="3535" spans="27:30" x14ac:dyDescent="0.3">
      <c r="AA3535" s="37">
        <v>3515</v>
      </c>
      <c r="AB3535" s="37">
        <v>1.6937706292258452</v>
      </c>
      <c r="AC3535" s="37">
        <v>2.867901880388342</v>
      </c>
      <c r="AD3535" s="37">
        <v>3.3074522457040803</v>
      </c>
    </row>
    <row r="3536" spans="27:30" x14ac:dyDescent="0.3">
      <c r="AA3536" s="37">
        <v>3516</v>
      </c>
      <c r="AB3536" s="37">
        <v>1.8494095749466157</v>
      </c>
      <c r="AC3536" s="37">
        <v>2.8753399115950469</v>
      </c>
      <c r="AD3536" s="37">
        <v>3.306488263446985</v>
      </c>
    </row>
    <row r="3537" spans="27:30" x14ac:dyDescent="0.3">
      <c r="AA3537" s="37">
        <v>3517</v>
      </c>
      <c r="AB3537" s="37">
        <v>1.8608655076709548</v>
      </c>
      <c r="AC3537" s="37">
        <v>2.7340755438551207</v>
      </c>
      <c r="AD3537" s="37">
        <v>3.1931448413297021</v>
      </c>
    </row>
    <row r="3538" spans="27:30" x14ac:dyDescent="0.3">
      <c r="AA3538" s="37">
        <v>3518</v>
      </c>
      <c r="AB3538" s="37">
        <v>1.6661880996798628</v>
      </c>
      <c r="AC3538" s="37">
        <v>3.1816770900303983</v>
      </c>
      <c r="AD3538" s="37">
        <v>3.404005663663475</v>
      </c>
    </row>
    <row r="3539" spans="27:30" x14ac:dyDescent="0.3">
      <c r="AA3539" s="37">
        <v>3519</v>
      </c>
      <c r="AB3539" s="37">
        <v>1.7834791019522445</v>
      </c>
      <c r="AC3539" s="37">
        <v>2.7826633225896873</v>
      </c>
      <c r="AD3539" s="37">
        <v>3.5070447948217858</v>
      </c>
    </row>
    <row r="3540" spans="27:30" x14ac:dyDescent="0.3">
      <c r="AA3540" s="37">
        <v>3520</v>
      </c>
      <c r="AB3540" s="37">
        <v>1.6608981402885596</v>
      </c>
      <c r="AC3540" s="37">
        <v>2.9680942843431395</v>
      </c>
      <c r="AD3540" s="37">
        <v>3.3147473725979353</v>
      </c>
    </row>
    <row r="3541" spans="27:30" x14ac:dyDescent="0.3">
      <c r="AA3541" s="37">
        <v>3521</v>
      </c>
      <c r="AB3541" s="37">
        <v>1.781343917673935</v>
      </c>
      <c r="AC3541" s="37">
        <v>2.7957407931328984</v>
      </c>
      <c r="AD3541" s="37">
        <v>3.5312897584500389</v>
      </c>
    </row>
    <row r="3542" spans="27:30" x14ac:dyDescent="0.3">
      <c r="AA3542" s="37">
        <v>3522</v>
      </c>
      <c r="AB3542" s="37">
        <v>1.7499740423443344</v>
      </c>
      <c r="AC3542" s="37">
        <v>2.8740399996087089</v>
      </c>
      <c r="AD3542" s="37">
        <v>3.3327028275754218</v>
      </c>
    </row>
    <row r="3543" spans="27:30" x14ac:dyDescent="0.3">
      <c r="AA3543" s="37">
        <v>3523</v>
      </c>
      <c r="AB3543" s="37">
        <v>1.8504896437816618</v>
      </c>
      <c r="AC3543" s="37">
        <v>2.7060318300604407</v>
      </c>
      <c r="AD3543" s="37">
        <v>3.347780435547711</v>
      </c>
    </row>
    <row r="3544" spans="27:30" x14ac:dyDescent="0.3">
      <c r="AA3544" s="37">
        <v>3524</v>
      </c>
      <c r="AB3544" s="37">
        <v>1.8021631413427892</v>
      </c>
      <c r="AC3544" s="37">
        <v>2.8585766262932566</v>
      </c>
      <c r="AD3544" s="37">
        <v>3.3665063902831855</v>
      </c>
    </row>
    <row r="3545" spans="27:30" x14ac:dyDescent="0.3">
      <c r="AA3545" s="37">
        <v>3525</v>
      </c>
      <c r="AB3545" s="37">
        <v>1.8969628583529747</v>
      </c>
      <c r="AC3545" s="37">
        <v>3.0043374980299</v>
      </c>
      <c r="AD3545" s="37">
        <v>3.1884931984203244</v>
      </c>
    </row>
    <row r="3546" spans="27:30" x14ac:dyDescent="0.3">
      <c r="AA3546" s="37">
        <v>3526</v>
      </c>
      <c r="AB3546" s="37">
        <v>1.8029919106575649</v>
      </c>
      <c r="AC3546" s="37">
        <v>2.776975073810291</v>
      </c>
      <c r="AD3546" s="37">
        <v>3.4671725693599074</v>
      </c>
    </row>
    <row r="3547" spans="27:30" x14ac:dyDescent="0.3">
      <c r="AA3547" s="37">
        <v>3527</v>
      </c>
      <c r="AB3547" s="37">
        <v>1.7614004108941033</v>
      </c>
      <c r="AC3547" s="37">
        <v>2.9908683987661102</v>
      </c>
      <c r="AD3547" s="37">
        <v>3.2640598913228387</v>
      </c>
    </row>
    <row r="3548" spans="27:30" x14ac:dyDescent="0.3">
      <c r="AA3548" s="37">
        <v>3528</v>
      </c>
      <c r="AB3548" s="37">
        <v>1.7783726994391527</v>
      </c>
      <c r="AC3548" s="37">
        <v>2.8262924138862155</v>
      </c>
      <c r="AD3548" s="37">
        <v>3.5919023475660699</v>
      </c>
    </row>
    <row r="3549" spans="27:30" x14ac:dyDescent="0.3">
      <c r="AA3549" s="37">
        <v>3529</v>
      </c>
      <c r="AB3549" s="37">
        <v>1.7930121654744369</v>
      </c>
      <c r="AC3549" s="37">
        <v>2.8664700244741614</v>
      </c>
      <c r="AD3549" s="37">
        <v>3.3417917696812154</v>
      </c>
    </row>
    <row r="3550" spans="27:30" x14ac:dyDescent="0.3">
      <c r="AA3550" s="37">
        <v>3530</v>
      </c>
      <c r="AB3550" s="37">
        <v>1.7373369648846821</v>
      </c>
      <c r="AC3550" s="37">
        <v>3.0684523227791001</v>
      </c>
      <c r="AD3550" s="37">
        <v>3.1310531033091058</v>
      </c>
    </row>
    <row r="3551" spans="27:30" x14ac:dyDescent="0.3">
      <c r="AA3551" s="37">
        <v>3531</v>
      </c>
      <c r="AB3551" s="37">
        <v>1.8864041097550521</v>
      </c>
      <c r="AC3551" s="37">
        <v>3.0183181166485999</v>
      </c>
      <c r="AD3551" s="37">
        <v>3.2110222419510532</v>
      </c>
    </row>
    <row r="3552" spans="27:30" x14ac:dyDescent="0.3">
      <c r="AA3552" s="37">
        <v>3532</v>
      </c>
      <c r="AB3552" s="37">
        <v>1.7411789134307529</v>
      </c>
      <c r="AC3552" s="37">
        <v>2.8151086203523974</v>
      </c>
      <c r="AD3552" s="37">
        <v>3.5464579523420738</v>
      </c>
    </row>
    <row r="3553" spans="27:30" x14ac:dyDescent="0.3">
      <c r="AA3553" s="37">
        <v>3533</v>
      </c>
      <c r="AB3553" s="37">
        <v>1.6744450813843761</v>
      </c>
      <c r="AC3553" s="37">
        <v>2.7710061245565294</v>
      </c>
      <c r="AD3553" s="37">
        <v>3.3336152339771381</v>
      </c>
    </row>
    <row r="3554" spans="27:30" x14ac:dyDescent="0.3">
      <c r="AA3554" s="37">
        <v>3534</v>
      </c>
      <c r="AB3554" s="37">
        <v>1.7842839757299265</v>
      </c>
      <c r="AC3554" s="37">
        <v>2.7679230022099288</v>
      </c>
      <c r="AD3554" s="37">
        <v>3.2025432103148312</v>
      </c>
    </row>
    <row r="3555" spans="27:30" x14ac:dyDescent="0.3">
      <c r="AA3555" s="37">
        <v>3535</v>
      </c>
      <c r="AB3555" s="37">
        <v>1.816411594911576</v>
      </c>
      <c r="AC3555" s="37">
        <v>2.7779330250245091</v>
      </c>
      <c r="AD3555" s="37">
        <v>3.5350130214466167</v>
      </c>
    </row>
    <row r="3556" spans="27:30" x14ac:dyDescent="0.3">
      <c r="AA3556" s="37">
        <v>3536</v>
      </c>
      <c r="AB3556" s="37">
        <v>1.7905348949107078</v>
      </c>
      <c r="AC3556" s="37">
        <v>2.845270862409838</v>
      </c>
      <c r="AD3556" s="37">
        <v>3.2813234129445181</v>
      </c>
    </row>
    <row r="3557" spans="27:30" x14ac:dyDescent="0.3">
      <c r="AA3557" s="37">
        <v>3537</v>
      </c>
      <c r="AB3557" s="37">
        <v>1.7543464757312273</v>
      </c>
      <c r="AC3557" s="37">
        <v>2.8019568247371849</v>
      </c>
      <c r="AD3557" s="37">
        <v>3.4636212369031787</v>
      </c>
    </row>
    <row r="3558" spans="27:30" x14ac:dyDescent="0.3">
      <c r="AA3558" s="37">
        <v>3538</v>
      </c>
      <c r="AB3558" s="37">
        <v>1.8586012882874683</v>
      </c>
      <c r="AC3558" s="37">
        <v>2.6811510781320282</v>
      </c>
      <c r="AD3558" s="37">
        <v>3.4443375911798988</v>
      </c>
    </row>
    <row r="3559" spans="27:30" x14ac:dyDescent="0.3">
      <c r="AA3559" s="37">
        <v>3539</v>
      </c>
      <c r="AB3559" s="37">
        <v>1.744203409728271</v>
      </c>
      <c r="AC3559" s="37">
        <v>2.8073605310501066</v>
      </c>
      <c r="AD3559" s="37">
        <v>3.330772031782971</v>
      </c>
    </row>
    <row r="3560" spans="27:30" x14ac:dyDescent="0.3">
      <c r="AA3560" s="37">
        <v>3540</v>
      </c>
      <c r="AB3560" s="37">
        <v>1.7934560550124576</v>
      </c>
      <c r="AC3560" s="37">
        <v>2.9241494538498936</v>
      </c>
      <c r="AD3560" s="37">
        <v>3.4241864326576521</v>
      </c>
    </row>
    <row r="3561" spans="27:30" x14ac:dyDescent="0.3">
      <c r="AA3561" s="37">
        <v>3541</v>
      </c>
      <c r="AB3561" s="37">
        <v>1.7544199218168486</v>
      </c>
      <c r="AC3561" s="37">
        <v>2.9670570874376732</v>
      </c>
      <c r="AD3561" s="37">
        <v>3.3223765759918873</v>
      </c>
    </row>
    <row r="3562" spans="27:30" x14ac:dyDescent="0.3">
      <c r="AA3562" s="37">
        <v>3542</v>
      </c>
      <c r="AB3562" s="37">
        <v>1.7363973378753119</v>
      </c>
      <c r="AC3562" s="37">
        <v>2.8576745397694236</v>
      </c>
      <c r="AD3562" s="37">
        <v>3.3483853005224833</v>
      </c>
    </row>
    <row r="3563" spans="27:30" x14ac:dyDescent="0.3">
      <c r="AA3563" s="37">
        <v>3543</v>
      </c>
      <c r="AB3563" s="37">
        <v>1.8995318073360918</v>
      </c>
      <c r="AC3563" s="37">
        <v>2.8228189645178374</v>
      </c>
      <c r="AD3563" s="37">
        <v>3.4511510151302369</v>
      </c>
    </row>
    <row r="3564" spans="27:30" x14ac:dyDescent="0.3">
      <c r="AA3564" s="37">
        <v>3544</v>
      </c>
      <c r="AB3564" s="37">
        <v>1.8132478430882464</v>
      </c>
      <c r="AC3564" s="37">
        <v>2.7042111069514343</v>
      </c>
      <c r="AD3564" s="37">
        <v>3.4244917483353485</v>
      </c>
    </row>
    <row r="3565" spans="27:30" x14ac:dyDescent="0.3">
      <c r="AA3565" s="37">
        <v>3545</v>
      </c>
      <c r="AB3565" s="37">
        <v>1.7488292197160276</v>
      </c>
      <c r="AC3565" s="37">
        <v>2.8761861632405097</v>
      </c>
      <c r="AD3565" s="37">
        <v>3.2800471324444125</v>
      </c>
    </row>
    <row r="3566" spans="27:30" x14ac:dyDescent="0.3">
      <c r="AA3566" s="37">
        <v>3546</v>
      </c>
      <c r="AB3566" s="37">
        <v>1.7038201936129871</v>
      </c>
      <c r="AC3566" s="37">
        <v>2.7942431742894867</v>
      </c>
      <c r="AD3566" s="37">
        <v>3.4629941995171891</v>
      </c>
    </row>
    <row r="3567" spans="27:30" x14ac:dyDescent="0.3">
      <c r="AA3567" s="37">
        <v>3547</v>
      </c>
      <c r="AB3567" s="37">
        <v>1.750900824318921</v>
      </c>
      <c r="AC3567" s="37">
        <v>2.8845936034330877</v>
      </c>
      <c r="AD3567" s="37">
        <v>3.4826054062269671</v>
      </c>
    </row>
    <row r="3568" spans="27:30" x14ac:dyDescent="0.3">
      <c r="AA3568" s="37">
        <v>3548</v>
      </c>
      <c r="AB3568" s="37">
        <v>1.8613407486562819</v>
      </c>
      <c r="AC3568" s="37">
        <v>2.8602224454162166</v>
      </c>
      <c r="AD3568" s="37">
        <v>3.4244842645912517</v>
      </c>
    </row>
    <row r="3569" spans="27:30" x14ac:dyDescent="0.3">
      <c r="AA3569" s="37">
        <v>3549</v>
      </c>
      <c r="AB3569" s="37">
        <v>1.8402343262042942</v>
      </c>
      <c r="AC3569" s="37">
        <v>2.7992124299422492</v>
      </c>
      <c r="AD3569" s="37">
        <v>3.2804075391238592</v>
      </c>
    </row>
    <row r="3570" spans="27:30" x14ac:dyDescent="0.3">
      <c r="AA3570" s="37">
        <v>3550</v>
      </c>
      <c r="AB3570" s="37">
        <v>1.6936661405517661</v>
      </c>
      <c r="AC3570" s="37">
        <v>2.9216823219394596</v>
      </c>
      <c r="AD3570" s="37">
        <v>3.403710033487898</v>
      </c>
    </row>
    <row r="3571" spans="27:30" x14ac:dyDescent="0.3">
      <c r="AA3571" s="37">
        <v>3551</v>
      </c>
      <c r="AB3571" s="37">
        <v>1.7932336363841694</v>
      </c>
      <c r="AC3571" s="37">
        <v>2.8893634537209847</v>
      </c>
      <c r="AD3571" s="37">
        <v>2.9810105294484655</v>
      </c>
    </row>
    <row r="3572" spans="27:30" x14ac:dyDescent="0.3">
      <c r="AA3572" s="37">
        <v>3552</v>
      </c>
      <c r="AB3572" s="37">
        <v>1.6363469258369896</v>
      </c>
      <c r="AC3572" s="37">
        <v>2.7614685469065043</v>
      </c>
      <c r="AD3572" s="37">
        <v>3.4408482890307277</v>
      </c>
    </row>
    <row r="3573" spans="27:30" x14ac:dyDescent="0.3">
      <c r="AA3573" s="37">
        <v>3553</v>
      </c>
      <c r="AB3573" s="37">
        <v>1.7526969420963474</v>
      </c>
      <c r="AC3573" s="37">
        <v>2.780274119348185</v>
      </c>
      <c r="AD3573" s="37">
        <v>3.2264197927516722</v>
      </c>
    </row>
    <row r="3574" spans="27:30" x14ac:dyDescent="0.3">
      <c r="AA3574" s="37">
        <v>3554</v>
      </c>
      <c r="AB3574" s="37">
        <v>1.7218007546228271</v>
      </c>
      <c r="AC3574" s="37">
        <v>2.7361052141260913</v>
      </c>
      <c r="AD3574" s="37">
        <v>3.1107078428066521</v>
      </c>
    </row>
    <row r="3575" spans="27:30" x14ac:dyDescent="0.3">
      <c r="AA3575" s="37">
        <v>3555</v>
      </c>
      <c r="AB3575" s="37">
        <v>1.8241422990743286</v>
      </c>
      <c r="AC3575" s="37">
        <v>2.8631007628449683</v>
      </c>
      <c r="AD3575" s="37">
        <v>3.2329590876928802</v>
      </c>
    </row>
    <row r="3576" spans="27:30" x14ac:dyDescent="0.3">
      <c r="AA3576" s="37">
        <v>3556</v>
      </c>
      <c r="AB3576" s="37">
        <v>1.7560119979657098</v>
      </c>
      <c r="AC3576" s="37">
        <v>3.208782633442905</v>
      </c>
      <c r="AD3576" s="37">
        <v>3.2045112963138176</v>
      </c>
    </row>
    <row r="3577" spans="27:30" x14ac:dyDescent="0.3">
      <c r="AA3577" s="37">
        <v>3557</v>
      </c>
      <c r="AB3577" s="37">
        <v>1.7893964961780486</v>
      </c>
      <c r="AC3577" s="37">
        <v>2.8842138129153367</v>
      </c>
      <c r="AD3577" s="37">
        <v>3.428360892449196</v>
      </c>
    </row>
    <row r="3578" spans="27:30" x14ac:dyDescent="0.3">
      <c r="AA3578" s="37">
        <v>3558</v>
      </c>
      <c r="AB3578" s="37">
        <v>1.7020317890830914</v>
      </c>
      <c r="AC3578" s="37">
        <v>2.8133458494212089</v>
      </c>
      <c r="AD3578" s="37">
        <v>3.1367285429914498</v>
      </c>
    </row>
    <row r="3579" spans="27:30" x14ac:dyDescent="0.3">
      <c r="AA3579" s="37">
        <v>3559</v>
      </c>
      <c r="AB3579" s="37">
        <v>1.7649240642668098</v>
      </c>
      <c r="AC3579" s="37">
        <v>2.8325834139221979</v>
      </c>
      <c r="AD3579" s="37">
        <v>3.417989919760493</v>
      </c>
    </row>
    <row r="3580" spans="27:30" x14ac:dyDescent="0.3">
      <c r="AA3580" s="37">
        <v>3560</v>
      </c>
      <c r="AB3580" s="37">
        <v>1.7146509197378166</v>
      </c>
      <c r="AC3580" s="37">
        <v>2.8626452054723552</v>
      </c>
      <c r="AD3580" s="37">
        <v>3.2736214461445909</v>
      </c>
    </row>
    <row r="3581" spans="27:30" x14ac:dyDescent="0.3">
      <c r="AA3581" s="37">
        <v>3561</v>
      </c>
      <c r="AB3581" s="37">
        <v>1.8217757109034571</v>
      </c>
      <c r="AC3581" s="37">
        <v>2.913824959358351</v>
      </c>
      <c r="AD3581" s="37">
        <v>3.4740577291148891</v>
      </c>
    </row>
    <row r="3582" spans="27:30" x14ac:dyDescent="0.3">
      <c r="AA3582" s="37">
        <v>3562</v>
      </c>
      <c r="AB3582" s="37">
        <v>1.706829231464291</v>
      </c>
      <c r="AC3582" s="37">
        <v>2.7422947196526404</v>
      </c>
      <c r="AD3582" s="37">
        <v>3.4855999498732491</v>
      </c>
    </row>
    <row r="3583" spans="27:30" x14ac:dyDescent="0.3">
      <c r="AA3583" s="37">
        <v>3563</v>
      </c>
      <c r="AB3583" s="37">
        <v>1.9091825573141821</v>
      </c>
      <c r="AC3583" s="37">
        <v>2.7202897424236769</v>
      </c>
      <c r="AD3583" s="37">
        <v>3.4489065037988627</v>
      </c>
    </row>
    <row r="3584" spans="27:30" x14ac:dyDescent="0.3">
      <c r="AA3584" s="37">
        <v>3564</v>
      </c>
      <c r="AB3584" s="37">
        <v>1.744379164633814</v>
      </c>
      <c r="AC3584" s="37">
        <v>2.8872222958885585</v>
      </c>
      <c r="AD3584" s="37">
        <v>3.4209359872732468</v>
      </c>
    </row>
    <row r="3585" spans="27:30" x14ac:dyDescent="0.3">
      <c r="AA3585" s="37">
        <v>3565</v>
      </c>
      <c r="AB3585" s="37">
        <v>1.7970395644470099</v>
      </c>
      <c r="AC3585" s="37">
        <v>2.8199655666182943</v>
      </c>
      <c r="AD3585" s="37">
        <v>3.346691482596182</v>
      </c>
    </row>
    <row r="3586" spans="27:30" x14ac:dyDescent="0.3">
      <c r="AA3586" s="37">
        <v>3566</v>
      </c>
      <c r="AB3586" s="37">
        <v>1.7084843176170625</v>
      </c>
      <c r="AC3586" s="37">
        <v>2.8291334473047556</v>
      </c>
      <c r="AD3586" s="37">
        <v>3.1997481848591343</v>
      </c>
    </row>
    <row r="3587" spans="27:30" x14ac:dyDescent="0.3">
      <c r="AA3587" s="37">
        <v>3567</v>
      </c>
      <c r="AB3587" s="37">
        <v>1.7795937683250826</v>
      </c>
      <c r="AC3587" s="37">
        <v>2.7231018776673985</v>
      </c>
      <c r="AD3587" s="37">
        <v>3.4050223770149834</v>
      </c>
    </row>
    <row r="3588" spans="27:30" x14ac:dyDescent="0.3">
      <c r="AA3588" s="37">
        <v>3568</v>
      </c>
      <c r="AB3588" s="37">
        <v>1.7888441424098647</v>
      </c>
      <c r="AC3588" s="37">
        <v>2.7647741818525966</v>
      </c>
      <c r="AD3588" s="37">
        <v>3.4249808790584368</v>
      </c>
    </row>
    <row r="3589" spans="27:30" x14ac:dyDescent="0.3">
      <c r="AA3589" s="37">
        <v>3569</v>
      </c>
      <c r="AB3589" s="37">
        <v>1.9221145910466557</v>
      </c>
      <c r="AC3589" s="37">
        <v>2.8733997723909299</v>
      </c>
      <c r="AD3589" s="37">
        <v>3.3450066517647903</v>
      </c>
    </row>
    <row r="3590" spans="27:30" x14ac:dyDescent="0.3">
      <c r="AA3590" s="37">
        <v>3570</v>
      </c>
      <c r="AB3590" s="37">
        <v>1.7625677914986981</v>
      </c>
      <c r="AC3590" s="37">
        <v>2.6484444428017353</v>
      </c>
      <c r="AD3590" s="37">
        <v>3.1794943424703921</v>
      </c>
    </row>
    <row r="3591" spans="27:30" x14ac:dyDescent="0.3">
      <c r="AA3591" s="37">
        <v>3571</v>
      </c>
      <c r="AB3591" s="37">
        <v>1.8864977428323904</v>
      </c>
      <c r="AC3591" s="37">
        <v>2.8406564435250501</v>
      </c>
      <c r="AD3591" s="37">
        <v>3.3142220914153482</v>
      </c>
    </row>
    <row r="3592" spans="27:30" x14ac:dyDescent="0.3">
      <c r="AA3592" s="37">
        <v>3572</v>
      </c>
      <c r="AB3592" s="37">
        <v>1.8724753582482563</v>
      </c>
      <c r="AC3592" s="37">
        <v>2.9254476999920618</v>
      </c>
      <c r="AD3592" s="37">
        <v>3.0392586196697668</v>
      </c>
    </row>
    <row r="3593" spans="27:30" x14ac:dyDescent="0.3">
      <c r="AA3593" s="37">
        <v>3573</v>
      </c>
      <c r="AB3593" s="37">
        <v>1.7985836722350836</v>
      </c>
      <c r="AC3593" s="37">
        <v>2.7345576292063138</v>
      </c>
      <c r="AD3593" s="37">
        <v>3.4393097604308678</v>
      </c>
    </row>
    <row r="3594" spans="27:30" x14ac:dyDescent="0.3">
      <c r="AA3594" s="37">
        <v>3574</v>
      </c>
      <c r="AB3594" s="37">
        <v>1.8068989867167307</v>
      </c>
      <c r="AC3594" s="37">
        <v>2.756549571824261</v>
      </c>
      <c r="AD3594" s="37">
        <v>3.3912756571634497</v>
      </c>
    </row>
    <row r="3595" spans="27:30" x14ac:dyDescent="0.3">
      <c r="AA3595" s="37">
        <v>3575</v>
      </c>
      <c r="AB3595" s="37">
        <v>1.7960300729703247</v>
      </c>
      <c r="AC3595" s="37">
        <v>2.7036627655406904</v>
      </c>
      <c r="AD3595" s="37">
        <v>3.338126038929254</v>
      </c>
    </row>
    <row r="3596" spans="27:30" x14ac:dyDescent="0.3">
      <c r="AA3596" s="37">
        <v>3576</v>
      </c>
      <c r="AB3596" s="37">
        <v>1.7884272610567178</v>
      </c>
      <c r="AC3596" s="37">
        <v>2.7193010843011827</v>
      </c>
      <c r="AD3596" s="37">
        <v>3.1036625009660965</v>
      </c>
    </row>
    <row r="3597" spans="27:30" x14ac:dyDescent="0.3">
      <c r="AA3597" s="37">
        <v>3577</v>
      </c>
      <c r="AB3597" s="37">
        <v>1.80029740287613</v>
      </c>
      <c r="AC3597" s="37">
        <v>2.8307005085935306</v>
      </c>
      <c r="AD3597" s="37">
        <v>3.2715055024629698</v>
      </c>
    </row>
    <row r="3598" spans="27:30" x14ac:dyDescent="0.3">
      <c r="AA3598" s="37">
        <v>3578</v>
      </c>
      <c r="AB3598" s="37">
        <v>1.854603928472808</v>
      </c>
      <c r="AC3598" s="37">
        <v>2.9226828112826233</v>
      </c>
      <c r="AD3598" s="37">
        <v>3.5029719926488152</v>
      </c>
    </row>
    <row r="3599" spans="27:30" x14ac:dyDescent="0.3">
      <c r="AA3599" s="37">
        <v>3579</v>
      </c>
      <c r="AB3599" s="37">
        <v>1.7823837339579227</v>
      </c>
      <c r="AC3599" s="37">
        <v>2.7588844348930763</v>
      </c>
      <c r="AD3599" s="37">
        <v>3.3742589528557065</v>
      </c>
    </row>
    <row r="3600" spans="27:30" x14ac:dyDescent="0.3">
      <c r="AA3600" s="37">
        <v>3580</v>
      </c>
      <c r="AB3600" s="37">
        <v>1.8081798320664573</v>
      </c>
      <c r="AC3600" s="37">
        <v>2.9112223903450878</v>
      </c>
      <c r="AD3600" s="37">
        <v>3.4126467792407622</v>
      </c>
    </row>
    <row r="3601" spans="27:30" x14ac:dyDescent="0.3">
      <c r="AA3601" s="37">
        <v>3581</v>
      </c>
      <c r="AB3601" s="37">
        <v>1.7162868888092577</v>
      </c>
      <c r="AC3601" s="37">
        <v>3.0396742125068852</v>
      </c>
      <c r="AD3601" s="37">
        <v>3.4007308649377337</v>
      </c>
    </row>
    <row r="3602" spans="27:30" x14ac:dyDescent="0.3">
      <c r="AA3602" s="37">
        <v>3582</v>
      </c>
      <c r="AB3602" s="37">
        <v>1.7879776133983125</v>
      </c>
      <c r="AC3602" s="37">
        <v>2.8422816041049104</v>
      </c>
      <c r="AD3602" s="37">
        <v>3.3107789082883485</v>
      </c>
    </row>
    <row r="3603" spans="27:30" x14ac:dyDescent="0.3">
      <c r="AA3603" s="37">
        <v>3583</v>
      </c>
      <c r="AB3603" s="37">
        <v>1.8602217536046954</v>
      </c>
      <c r="AC3603" s="37">
        <v>2.881668320132746</v>
      </c>
      <c r="AD3603" s="37">
        <v>3.3429805595200297</v>
      </c>
    </row>
    <row r="3604" spans="27:30" x14ac:dyDescent="0.3">
      <c r="AA3604" s="37">
        <v>3584</v>
      </c>
      <c r="AB3604" s="37">
        <v>1.8307733457999338</v>
      </c>
      <c r="AC3604" s="37">
        <v>2.8015400880131036</v>
      </c>
      <c r="AD3604" s="37">
        <v>3.3678265247653485</v>
      </c>
    </row>
    <row r="3605" spans="27:30" x14ac:dyDescent="0.3">
      <c r="AA3605" s="37">
        <v>3585</v>
      </c>
      <c r="AB3605" s="37">
        <v>1.7917777238578225</v>
      </c>
      <c r="AC3605" s="37">
        <v>3.0764666982201745</v>
      </c>
      <c r="AD3605" s="37">
        <v>3.2176264879161232</v>
      </c>
    </row>
    <row r="3606" spans="27:30" x14ac:dyDescent="0.3">
      <c r="AA3606" s="37">
        <v>3586</v>
      </c>
      <c r="AB3606" s="37">
        <v>1.7512849197615317</v>
      </c>
      <c r="AC3606" s="37">
        <v>2.6920185533659962</v>
      </c>
      <c r="AD3606" s="37">
        <v>3.3435931440201365</v>
      </c>
    </row>
    <row r="3607" spans="27:30" x14ac:dyDescent="0.3">
      <c r="AA3607" s="37">
        <v>3587</v>
      </c>
      <c r="AB3607" s="37">
        <v>1.77216583112901</v>
      </c>
      <c r="AC3607" s="37">
        <v>2.9232093934605397</v>
      </c>
      <c r="AD3607" s="37">
        <v>3.2691527805385863</v>
      </c>
    </row>
    <row r="3608" spans="27:30" x14ac:dyDescent="0.3">
      <c r="AA3608" s="37">
        <v>3588</v>
      </c>
      <c r="AB3608" s="37">
        <v>1.6749763923285506</v>
      </c>
      <c r="AC3608" s="37">
        <v>2.8059290905579419</v>
      </c>
      <c r="AD3608" s="37">
        <v>3.488257876456704</v>
      </c>
    </row>
    <row r="3609" spans="27:30" x14ac:dyDescent="0.3">
      <c r="AA3609" s="37">
        <v>3589</v>
      </c>
      <c r="AB3609" s="37">
        <v>1.7221204654488871</v>
      </c>
      <c r="AC3609" s="37">
        <v>2.9335608254163534</v>
      </c>
      <c r="AD3609" s="37">
        <v>3.4292105569487132</v>
      </c>
    </row>
    <row r="3610" spans="27:30" x14ac:dyDescent="0.3">
      <c r="AA3610" s="37">
        <v>3590</v>
      </c>
      <c r="AB3610" s="37">
        <v>1.7472885112001006</v>
      </c>
      <c r="AC3610" s="37">
        <v>2.8671921968955476</v>
      </c>
      <c r="AD3610" s="37">
        <v>3.4503071041201721</v>
      </c>
    </row>
    <row r="3611" spans="27:30" x14ac:dyDescent="0.3">
      <c r="AA3611" s="37">
        <v>3591</v>
      </c>
      <c r="AB3611" s="37">
        <v>1.7467761399353552</v>
      </c>
      <c r="AC3611" s="37">
        <v>2.7935267459095714</v>
      </c>
      <c r="AD3611" s="37">
        <v>3.1912581539027904</v>
      </c>
    </row>
    <row r="3612" spans="27:30" x14ac:dyDescent="0.3">
      <c r="AA3612" s="37">
        <v>3592</v>
      </c>
      <c r="AB3612" s="37">
        <v>1.8279560385412161</v>
      </c>
      <c r="AC3612" s="37">
        <v>2.6702444610517011</v>
      </c>
      <c r="AD3612" s="37">
        <v>3.4070213416370363</v>
      </c>
    </row>
    <row r="3613" spans="27:30" x14ac:dyDescent="0.3">
      <c r="AA3613" s="37">
        <v>3593</v>
      </c>
      <c r="AB3613" s="37">
        <v>1.6744575850968164</v>
      </c>
      <c r="AC3613" s="37">
        <v>2.9197023052674993</v>
      </c>
      <c r="AD3613" s="37">
        <v>3.3353902398122424</v>
      </c>
    </row>
    <row r="3614" spans="27:30" x14ac:dyDescent="0.3">
      <c r="AA3614" s="37">
        <v>3594</v>
      </c>
      <c r="AB3614" s="37">
        <v>1.739456168439478</v>
      </c>
      <c r="AC3614" s="37">
        <v>2.8627143665802244</v>
      </c>
      <c r="AD3614" s="37">
        <v>3.4893704361691515</v>
      </c>
    </row>
    <row r="3615" spans="27:30" x14ac:dyDescent="0.3">
      <c r="AA3615" s="37">
        <v>3595</v>
      </c>
      <c r="AB3615" s="37">
        <v>1.7562856796411328</v>
      </c>
      <c r="AC3615" s="37">
        <v>2.8649360622000772</v>
      </c>
      <c r="AD3615" s="37">
        <v>3.2090331458357819</v>
      </c>
    </row>
    <row r="3616" spans="27:30" x14ac:dyDescent="0.3">
      <c r="AA3616" s="37">
        <v>3596</v>
      </c>
      <c r="AB3616" s="37">
        <v>1.905611796443335</v>
      </c>
      <c r="AC3616" s="37">
        <v>2.8180126094870794</v>
      </c>
      <c r="AD3616" s="37">
        <v>3.2234271309420266</v>
      </c>
    </row>
    <row r="3617" spans="27:30" x14ac:dyDescent="0.3">
      <c r="AA3617" s="37">
        <v>3597</v>
      </c>
      <c r="AB3617" s="37">
        <v>1.7609414945710871</v>
      </c>
      <c r="AC3617" s="37">
        <v>2.734267668462957</v>
      </c>
      <c r="AD3617" s="37">
        <v>3.498205445992002</v>
      </c>
    </row>
    <row r="3618" spans="27:30" x14ac:dyDescent="0.3">
      <c r="AA3618" s="37">
        <v>3598</v>
      </c>
      <c r="AB3618" s="37">
        <v>1.8033734662665961</v>
      </c>
      <c r="AC3618" s="37">
        <v>2.8218519269434736</v>
      </c>
      <c r="AD3618" s="37">
        <v>3.4106991439281629</v>
      </c>
    </row>
    <row r="3619" spans="27:30" x14ac:dyDescent="0.3">
      <c r="AA3619" s="37">
        <v>3599</v>
      </c>
      <c r="AB3619" s="37">
        <v>1.8435613019686228</v>
      </c>
      <c r="AC3619" s="37">
        <v>2.7034808773685013</v>
      </c>
      <c r="AD3619" s="37">
        <v>3.0907891798804332</v>
      </c>
    </row>
    <row r="3620" spans="27:30" x14ac:dyDescent="0.3">
      <c r="AA3620" s="37">
        <v>3600</v>
      </c>
      <c r="AB3620" s="37">
        <v>1.624741279191479</v>
      </c>
      <c r="AC3620" s="37">
        <v>2.7884673429062112</v>
      </c>
      <c r="AD3620" s="37">
        <v>3.4495292537033699</v>
      </c>
    </row>
    <row r="3621" spans="27:30" x14ac:dyDescent="0.3">
      <c r="AA3621" s="37">
        <v>3601</v>
      </c>
      <c r="AB3621" s="37">
        <v>1.7178546430432438</v>
      </c>
      <c r="AC3621" s="37">
        <v>2.9573514818032174</v>
      </c>
      <c r="AD3621" s="37">
        <v>3.4759544624435708</v>
      </c>
    </row>
    <row r="3622" spans="27:30" x14ac:dyDescent="0.3">
      <c r="AA3622" s="37">
        <v>3602</v>
      </c>
      <c r="AB3622" s="37">
        <v>1.8414933046973256</v>
      </c>
      <c r="AC3622" s="37">
        <v>2.7628029520379944</v>
      </c>
      <c r="AD3622" s="37">
        <v>3.4819877975121778</v>
      </c>
    </row>
    <row r="3623" spans="27:30" x14ac:dyDescent="0.3">
      <c r="AA3623" s="37">
        <v>3603</v>
      </c>
      <c r="AB3623" s="37">
        <v>1.7556390682742031</v>
      </c>
      <c r="AC3623" s="37">
        <v>2.8311494959743824</v>
      </c>
      <c r="AD3623" s="37">
        <v>3.4471487887427896</v>
      </c>
    </row>
    <row r="3624" spans="27:30" x14ac:dyDescent="0.3">
      <c r="AA3624" s="37">
        <v>3604</v>
      </c>
      <c r="AB3624" s="37">
        <v>1.9139875876647705</v>
      </c>
      <c r="AC3624" s="37">
        <v>2.8039615604498258</v>
      </c>
      <c r="AD3624" s="37">
        <v>3.3514777172950336</v>
      </c>
    </row>
    <row r="3625" spans="27:30" x14ac:dyDescent="0.3">
      <c r="AA3625" s="37">
        <v>3605</v>
      </c>
      <c r="AB3625" s="37">
        <v>1.8153115963650739</v>
      </c>
      <c r="AC3625" s="37">
        <v>3.008654048106238</v>
      </c>
      <c r="AD3625" s="37">
        <v>3.2783997413674522</v>
      </c>
    </row>
    <row r="3626" spans="27:30" x14ac:dyDescent="0.3">
      <c r="AA3626" s="37">
        <v>3606</v>
      </c>
      <c r="AB3626" s="37">
        <v>1.8305031042311266</v>
      </c>
      <c r="AC3626" s="37">
        <v>2.7672843699468994</v>
      </c>
      <c r="AD3626" s="37">
        <v>3.106987967577397</v>
      </c>
    </row>
    <row r="3627" spans="27:30" x14ac:dyDescent="0.3">
      <c r="AA3627" s="37">
        <v>3607</v>
      </c>
      <c r="AB3627" s="37">
        <v>1.7096926672975781</v>
      </c>
      <c r="AC3627" s="37">
        <v>2.8612648410311574</v>
      </c>
      <c r="AD3627" s="37">
        <v>3.3248586489557126</v>
      </c>
    </row>
    <row r="3628" spans="27:30" x14ac:dyDescent="0.3">
      <c r="AA3628" s="37">
        <v>3608</v>
      </c>
      <c r="AB3628" s="37">
        <v>1.7782800200110145</v>
      </c>
      <c r="AC3628" s="37">
        <v>2.8254528211513414</v>
      </c>
      <c r="AD3628" s="37">
        <v>3.2163519597981782</v>
      </c>
    </row>
    <row r="3629" spans="27:30" x14ac:dyDescent="0.3">
      <c r="AA3629" s="37">
        <v>3609</v>
      </c>
      <c r="AB3629" s="37">
        <v>1.8309926443368694</v>
      </c>
      <c r="AC3629" s="37">
        <v>2.9888723885555848</v>
      </c>
      <c r="AD3629" s="37">
        <v>3.3478180880306292</v>
      </c>
    </row>
    <row r="3630" spans="27:30" x14ac:dyDescent="0.3">
      <c r="AA3630" s="37">
        <v>3610</v>
      </c>
      <c r="AB3630" s="37">
        <v>1.7812664738117348</v>
      </c>
      <c r="AC3630" s="37">
        <v>2.8490709132705896</v>
      </c>
      <c r="AD3630" s="37">
        <v>3.4422229689901855</v>
      </c>
    </row>
    <row r="3631" spans="27:30" x14ac:dyDescent="0.3">
      <c r="AA3631" s="37">
        <v>3611</v>
      </c>
      <c r="AB3631" s="37">
        <v>1.7242987295415093</v>
      </c>
      <c r="AC3631" s="37">
        <v>2.7349913758017856</v>
      </c>
      <c r="AD3631" s="37">
        <v>3.443797414064647</v>
      </c>
    </row>
    <row r="3632" spans="27:30" x14ac:dyDescent="0.3">
      <c r="AA3632" s="37">
        <v>3612</v>
      </c>
      <c r="AB3632" s="37">
        <v>1.8468492555658058</v>
      </c>
      <c r="AC3632" s="37">
        <v>2.8479529657377038</v>
      </c>
      <c r="AD3632" s="37">
        <v>3.4943233193253471</v>
      </c>
    </row>
    <row r="3633" spans="27:30" x14ac:dyDescent="0.3">
      <c r="AA3633" s="37">
        <v>3613</v>
      </c>
      <c r="AB3633" s="37">
        <v>1.8210869906738216</v>
      </c>
      <c r="AC3633" s="37">
        <v>2.996926524490831</v>
      </c>
      <c r="AD3633" s="37">
        <v>3.3414308086207933</v>
      </c>
    </row>
    <row r="3634" spans="27:30" x14ac:dyDescent="0.3">
      <c r="AA3634" s="37">
        <v>3614</v>
      </c>
      <c r="AB3634" s="37">
        <v>1.7151877761405043</v>
      </c>
      <c r="AC3634" s="37">
        <v>2.8125906269258074</v>
      </c>
      <c r="AD3634" s="37">
        <v>3.3965820670426785</v>
      </c>
    </row>
    <row r="3635" spans="27:30" x14ac:dyDescent="0.3">
      <c r="AA3635" s="37">
        <v>3615</v>
      </c>
      <c r="AB3635" s="37">
        <v>1.7891507661907784</v>
      </c>
      <c r="AC3635" s="37">
        <v>2.905574815515819</v>
      </c>
      <c r="AD3635" s="37">
        <v>3.2624295292886116</v>
      </c>
    </row>
    <row r="3636" spans="27:30" x14ac:dyDescent="0.3">
      <c r="AA3636" s="37">
        <v>3616</v>
      </c>
      <c r="AB3636" s="37">
        <v>1.730750199444369</v>
      </c>
      <c r="AC3636" s="37">
        <v>2.7587257676037025</v>
      </c>
      <c r="AD3636" s="37">
        <v>3.2649636298370481</v>
      </c>
    </row>
    <row r="3637" spans="27:30" x14ac:dyDescent="0.3">
      <c r="AA3637" s="37">
        <v>3617</v>
      </c>
      <c r="AB3637" s="37">
        <v>1.8747147436909539</v>
      </c>
      <c r="AC3637" s="37">
        <v>2.7033524932076785</v>
      </c>
      <c r="AD3637" s="37">
        <v>3.3633599936787513</v>
      </c>
    </row>
    <row r="3638" spans="27:30" x14ac:dyDescent="0.3">
      <c r="AA3638" s="37">
        <v>3618</v>
      </c>
      <c r="AB3638" s="37">
        <v>1.743796797354995</v>
      </c>
      <c r="AC3638" s="37">
        <v>3.0659447089536056</v>
      </c>
      <c r="AD3638" s="37">
        <v>3.3645822643528382</v>
      </c>
    </row>
    <row r="3639" spans="27:30" x14ac:dyDescent="0.3">
      <c r="AA3639" s="37">
        <v>3619</v>
      </c>
      <c r="AB3639" s="37">
        <v>1.8403130951989775</v>
      </c>
      <c r="AC3639" s="37">
        <v>2.8615722790483114</v>
      </c>
      <c r="AD3639" s="37">
        <v>3.2901129261664028</v>
      </c>
    </row>
    <row r="3640" spans="27:30" x14ac:dyDescent="0.3">
      <c r="AA3640" s="37">
        <v>3620</v>
      </c>
      <c r="AB3640" s="37">
        <v>1.74046569552521</v>
      </c>
      <c r="AC3640" s="37">
        <v>2.7529236183686137</v>
      </c>
      <c r="AD3640" s="37">
        <v>3.4073917956999362</v>
      </c>
    </row>
    <row r="3641" spans="27:30" x14ac:dyDescent="0.3">
      <c r="AA3641" s="37">
        <v>3621</v>
      </c>
      <c r="AB3641" s="37">
        <v>1.9106220992056662</v>
      </c>
      <c r="AC3641" s="37">
        <v>2.9265224293434553</v>
      </c>
      <c r="AD3641" s="37">
        <v>3.2568082056730603</v>
      </c>
    </row>
    <row r="3642" spans="27:30" x14ac:dyDescent="0.3">
      <c r="AA3642" s="37">
        <v>3622</v>
      </c>
      <c r="AB3642" s="37">
        <v>1.7097495124733093</v>
      </c>
      <c r="AC3642" s="37">
        <v>2.872829622723414</v>
      </c>
      <c r="AD3642" s="37">
        <v>3.1895516753638069</v>
      </c>
    </row>
    <row r="3643" spans="27:30" x14ac:dyDescent="0.3">
      <c r="AA3643" s="37">
        <v>3623</v>
      </c>
      <c r="AB3643" s="37">
        <v>1.7484863543154565</v>
      </c>
      <c r="AC3643" s="37">
        <v>2.6884886181009229</v>
      </c>
      <c r="AD3643" s="37">
        <v>3.2722571842218735</v>
      </c>
    </row>
    <row r="3644" spans="27:30" x14ac:dyDescent="0.3">
      <c r="AA3644" s="37">
        <v>3624</v>
      </c>
      <c r="AB3644" s="37">
        <v>1.8797948665196913</v>
      </c>
      <c r="AC3644" s="37">
        <v>2.6855727356125785</v>
      </c>
      <c r="AD3644" s="37">
        <v>3.489179272262898</v>
      </c>
    </row>
    <row r="3645" spans="27:30" x14ac:dyDescent="0.3">
      <c r="AA3645" s="37">
        <v>3625</v>
      </c>
      <c r="AB3645" s="37">
        <v>1.7172002158798647</v>
      </c>
      <c r="AC3645" s="37">
        <v>2.8853949025339358</v>
      </c>
      <c r="AD3645" s="37">
        <v>3.4361922127707061</v>
      </c>
    </row>
    <row r="3646" spans="27:30" x14ac:dyDescent="0.3">
      <c r="AA3646" s="37">
        <v>3626</v>
      </c>
      <c r="AB3646" s="37">
        <v>1.7693323560575207</v>
      </c>
      <c r="AC3646" s="37">
        <v>2.7994253330804169</v>
      </c>
      <c r="AD3646" s="37">
        <v>3.2257065359276695</v>
      </c>
    </row>
    <row r="3647" spans="27:30" x14ac:dyDescent="0.3">
      <c r="AA3647" s="37">
        <v>3627</v>
      </c>
      <c r="AB3647" s="37">
        <v>1.8361691920731193</v>
      </c>
      <c r="AC3647" s="37">
        <v>2.7762585341583388</v>
      </c>
      <c r="AD3647" s="37">
        <v>3.4876661520868408</v>
      </c>
    </row>
    <row r="3648" spans="27:30" x14ac:dyDescent="0.3">
      <c r="AA3648" s="37">
        <v>3628</v>
      </c>
      <c r="AB3648" s="37">
        <v>1.6957276462224582</v>
      </c>
      <c r="AC3648" s="37">
        <v>3.0182255962567845</v>
      </c>
      <c r="AD3648" s="37">
        <v>3.3753177910290963</v>
      </c>
    </row>
    <row r="3649" spans="27:30" x14ac:dyDescent="0.3">
      <c r="AA3649" s="37">
        <v>3629</v>
      </c>
      <c r="AB3649" s="37">
        <v>1.7557071416141634</v>
      </c>
      <c r="AC3649" s="37">
        <v>2.9846846411612202</v>
      </c>
      <c r="AD3649" s="37">
        <v>3.445325284828872</v>
      </c>
    </row>
    <row r="3650" spans="27:30" x14ac:dyDescent="0.3">
      <c r="AA3650" s="37">
        <v>3630</v>
      </c>
      <c r="AB3650" s="37">
        <v>1.7144050455700128</v>
      </c>
      <c r="AC3650" s="37">
        <v>2.7464274324032396</v>
      </c>
      <c r="AD3650" s="37">
        <v>3.2917007062611261</v>
      </c>
    </row>
    <row r="3651" spans="27:30" x14ac:dyDescent="0.3">
      <c r="AA3651" s="37">
        <v>3631</v>
      </c>
      <c r="AB3651" s="37">
        <v>1.8540376406786387</v>
      </c>
      <c r="AC3651" s="37">
        <v>2.9147455587181539</v>
      </c>
      <c r="AD3651" s="37">
        <v>3.2469762333362966</v>
      </c>
    </row>
    <row r="3652" spans="27:30" x14ac:dyDescent="0.3">
      <c r="AA3652" s="37">
        <v>3632</v>
      </c>
      <c r="AB3652" s="37">
        <v>1.8407428397852281</v>
      </c>
      <c r="AC3652" s="37">
        <v>2.8063924118192198</v>
      </c>
      <c r="AD3652" s="37">
        <v>3.2979324265471153</v>
      </c>
    </row>
    <row r="3653" spans="27:30" x14ac:dyDescent="0.3">
      <c r="AA3653" s="37">
        <v>3633</v>
      </c>
      <c r="AB3653" s="37">
        <v>1.8045895445606916</v>
      </c>
      <c r="AC3653" s="37">
        <v>2.7974700564017536</v>
      </c>
      <c r="AD3653" s="37">
        <v>3.2745759784711392</v>
      </c>
    </row>
    <row r="3654" spans="27:30" x14ac:dyDescent="0.3">
      <c r="AA3654" s="37">
        <v>3634</v>
      </c>
      <c r="AB3654" s="37">
        <v>1.7546525632055829</v>
      </c>
      <c r="AC3654" s="37">
        <v>2.7581065158445965</v>
      </c>
      <c r="AD3654" s="37">
        <v>3.6271593932049386</v>
      </c>
    </row>
    <row r="3655" spans="27:30" x14ac:dyDescent="0.3">
      <c r="AA3655" s="37">
        <v>3635</v>
      </c>
      <c r="AB3655" s="37">
        <v>1.8409676462439075</v>
      </c>
      <c r="AC3655" s="37">
        <v>2.9521906064269769</v>
      </c>
      <c r="AD3655" s="37">
        <v>3.2734642363378352</v>
      </c>
    </row>
    <row r="3656" spans="27:30" x14ac:dyDescent="0.3">
      <c r="AA3656" s="37">
        <v>3636</v>
      </c>
      <c r="AB3656" s="37">
        <v>1.8691442324481671</v>
      </c>
      <c r="AC3656" s="37">
        <v>2.8825172344131942</v>
      </c>
      <c r="AD3656" s="37">
        <v>3.2091280685017494</v>
      </c>
    </row>
    <row r="3657" spans="27:30" x14ac:dyDescent="0.3">
      <c r="AA3657" s="37">
        <v>3637</v>
      </c>
      <c r="AB3657" s="37">
        <v>1.7304697919033423</v>
      </c>
      <c r="AC3657" s="37">
        <v>2.7905705052376804</v>
      </c>
      <c r="AD3657" s="37">
        <v>3.4247548504955287</v>
      </c>
    </row>
    <row r="3658" spans="27:30" x14ac:dyDescent="0.3">
      <c r="AA3658" s="37">
        <v>3638</v>
      </c>
      <c r="AB3658" s="37">
        <v>1.7539715520117631</v>
      </c>
      <c r="AC3658" s="37">
        <v>2.5956120385788051</v>
      </c>
      <c r="AD3658" s="37">
        <v>3.2551216689762499</v>
      </c>
    </row>
    <row r="3659" spans="27:30" x14ac:dyDescent="0.3">
      <c r="AA3659" s="37">
        <v>3639</v>
      </c>
      <c r="AB3659" s="37">
        <v>1.8366560433082071</v>
      </c>
      <c r="AC3659" s="37">
        <v>2.8112440453126615</v>
      </c>
      <c r="AD3659" s="37">
        <v>3.4840302523359048</v>
      </c>
    </row>
    <row r="3660" spans="27:30" x14ac:dyDescent="0.3">
      <c r="AA3660" s="37">
        <v>3640</v>
      </c>
      <c r="AB3660" s="37">
        <v>1.7806444082213799</v>
      </c>
      <c r="AC3660" s="37">
        <v>2.8932539923447167</v>
      </c>
      <c r="AD3660" s="37">
        <v>3.3863308012649806</v>
      </c>
    </row>
    <row r="3661" spans="27:30" x14ac:dyDescent="0.3">
      <c r="AA3661" s="37">
        <v>3641</v>
      </c>
      <c r="AB3661" s="37">
        <v>1.7981310852198298</v>
      </c>
      <c r="AC3661" s="37">
        <v>2.8347632146706743</v>
      </c>
      <c r="AD3661" s="37">
        <v>3.2429245728290792</v>
      </c>
    </row>
    <row r="3662" spans="27:30" x14ac:dyDescent="0.3">
      <c r="AA3662" s="37">
        <v>3642</v>
      </c>
      <c r="AB3662" s="37">
        <v>1.837032729234467</v>
      </c>
      <c r="AC3662" s="37">
        <v>2.8530689296907137</v>
      </c>
      <c r="AD3662" s="37">
        <v>3.3335151554224076</v>
      </c>
    </row>
    <row r="3663" spans="27:30" x14ac:dyDescent="0.3">
      <c r="AA3663" s="37">
        <v>3643</v>
      </c>
      <c r="AB3663" s="37">
        <v>1.7445131787925758</v>
      </c>
      <c r="AC3663" s="37">
        <v>2.8954832290904573</v>
      </c>
      <c r="AD3663" s="37">
        <v>3.552134159481187</v>
      </c>
    </row>
    <row r="3664" spans="27:30" x14ac:dyDescent="0.3">
      <c r="AA3664" s="37">
        <v>3644</v>
      </c>
      <c r="AB3664" s="37">
        <v>1.8399485534459432</v>
      </c>
      <c r="AC3664" s="37">
        <v>2.9073300902324135</v>
      </c>
      <c r="AD3664" s="37">
        <v>3.3490637476864373</v>
      </c>
    </row>
    <row r="3665" spans="27:30" x14ac:dyDescent="0.3">
      <c r="AA3665" s="37">
        <v>3645</v>
      </c>
      <c r="AB3665" s="37">
        <v>1.7950610389949411</v>
      </c>
      <c r="AC3665" s="37">
        <v>2.9673989877631954</v>
      </c>
      <c r="AD3665" s="37">
        <v>3.411968137156844</v>
      </c>
    </row>
    <row r="3666" spans="27:30" x14ac:dyDescent="0.3">
      <c r="AA3666" s="37">
        <v>3646</v>
      </c>
      <c r="AB3666" s="37">
        <v>1.7464124805969448</v>
      </c>
      <c r="AC3666" s="37">
        <v>2.7997397374651758</v>
      </c>
      <c r="AD3666" s="37">
        <v>3.3836908215911419</v>
      </c>
    </row>
    <row r="3667" spans="27:30" x14ac:dyDescent="0.3">
      <c r="AA3667" s="37">
        <v>3647</v>
      </c>
      <c r="AB3667" s="37">
        <v>1.7341473830900596</v>
      </c>
      <c r="AC3667" s="37">
        <v>2.8117986759269309</v>
      </c>
      <c r="AD3667" s="37">
        <v>3.1917411066608965</v>
      </c>
    </row>
    <row r="3668" spans="27:30" x14ac:dyDescent="0.3">
      <c r="AA3668" s="37">
        <v>3648</v>
      </c>
      <c r="AB3668" s="37">
        <v>1.8303200638267565</v>
      </c>
      <c r="AC3668" s="37">
        <v>2.7499155322892035</v>
      </c>
      <c r="AD3668" s="37">
        <v>3.1427942306931018</v>
      </c>
    </row>
    <row r="3669" spans="27:30" x14ac:dyDescent="0.3">
      <c r="AA3669" s="37">
        <v>3649</v>
      </c>
      <c r="AB3669" s="37">
        <v>1.7953069390525447</v>
      </c>
      <c r="AC3669" s="37">
        <v>2.8439526602918948</v>
      </c>
      <c r="AD3669" s="37">
        <v>3.3469138940319332</v>
      </c>
    </row>
    <row r="3670" spans="27:30" x14ac:dyDescent="0.3">
      <c r="AA3670" s="37">
        <v>3650</v>
      </c>
      <c r="AB3670" s="37">
        <v>1.7332558010699435</v>
      </c>
      <c r="AC3670" s="37">
        <v>2.6839637451438358</v>
      </c>
      <c r="AD3670" s="37">
        <v>3.4523068024918029</v>
      </c>
    </row>
    <row r="3671" spans="27:30" x14ac:dyDescent="0.3">
      <c r="AA3671" s="37">
        <v>3651</v>
      </c>
      <c r="AB3671" s="37">
        <v>1.7559476521441739</v>
      </c>
      <c r="AC3671" s="37">
        <v>2.7919578019035716</v>
      </c>
      <c r="AD3671" s="37">
        <v>3.2561385487105818</v>
      </c>
    </row>
    <row r="3672" spans="27:30" x14ac:dyDescent="0.3">
      <c r="AA3672" s="37">
        <v>3652</v>
      </c>
      <c r="AB3672" s="37">
        <v>1.8165379503646353</v>
      </c>
      <c r="AC3672" s="37">
        <v>2.9054550220995514</v>
      </c>
      <c r="AD3672" s="37">
        <v>3.3648252278871404</v>
      </c>
    </row>
    <row r="3673" spans="27:30" x14ac:dyDescent="0.3">
      <c r="AA3673" s="37">
        <v>3653</v>
      </c>
      <c r="AB3673" s="37">
        <v>1.8067911491887569</v>
      </c>
      <c r="AC3673" s="37">
        <v>2.8681999912307297</v>
      </c>
      <c r="AD3673" s="37">
        <v>3.4720612269750779</v>
      </c>
    </row>
    <row r="3674" spans="27:30" x14ac:dyDescent="0.3">
      <c r="AA3674" s="37">
        <v>3654</v>
      </c>
      <c r="AB3674" s="37">
        <v>1.8376498360034319</v>
      </c>
      <c r="AC3674" s="37">
        <v>2.8523587837327078</v>
      </c>
      <c r="AD3674" s="37">
        <v>3.2351168972719777</v>
      </c>
    </row>
    <row r="3675" spans="27:30" x14ac:dyDescent="0.3">
      <c r="AA3675" s="37">
        <v>3655</v>
      </c>
      <c r="AB3675" s="37">
        <v>1.7446080472608521</v>
      </c>
      <c r="AC3675" s="37">
        <v>2.7713939768499358</v>
      </c>
      <c r="AD3675" s="37">
        <v>3.4487339064277909</v>
      </c>
    </row>
    <row r="3676" spans="27:30" x14ac:dyDescent="0.3">
      <c r="AA3676" s="37">
        <v>3656</v>
      </c>
      <c r="AB3676" s="37">
        <v>1.7673447143601015</v>
      </c>
      <c r="AC3676" s="37">
        <v>2.7853568343721333</v>
      </c>
      <c r="AD3676" s="37">
        <v>3.151913379000844</v>
      </c>
    </row>
    <row r="3677" spans="27:30" x14ac:dyDescent="0.3">
      <c r="AA3677" s="37">
        <v>3657</v>
      </c>
      <c r="AB3677" s="37">
        <v>1.7117497450401566</v>
      </c>
      <c r="AC3677" s="37">
        <v>2.9965648027122711</v>
      </c>
      <c r="AD3677" s="37">
        <v>3.3306131304212587</v>
      </c>
    </row>
    <row r="3678" spans="27:30" x14ac:dyDescent="0.3">
      <c r="AA3678" s="37">
        <v>3658</v>
      </c>
      <c r="AB3678" s="37">
        <v>1.7851348797726891</v>
      </c>
      <c r="AC3678" s="37">
        <v>2.816491708718619</v>
      </c>
      <c r="AD3678" s="37">
        <v>3.3687509488262646</v>
      </c>
    </row>
    <row r="3679" spans="27:30" x14ac:dyDescent="0.3">
      <c r="AA3679" s="37">
        <v>3659</v>
      </c>
      <c r="AB3679" s="37">
        <v>1.617198425129158</v>
      </c>
      <c r="AC3679" s="37">
        <v>2.8087734855178548</v>
      </c>
      <c r="AD3679" s="37">
        <v>3.3486926650005162</v>
      </c>
    </row>
    <row r="3680" spans="27:30" x14ac:dyDescent="0.3">
      <c r="AA3680" s="37">
        <v>3660</v>
      </c>
      <c r="AB3680" s="37">
        <v>1.8663267708619484</v>
      </c>
      <c r="AC3680" s="37">
        <v>3.0206314472993028</v>
      </c>
      <c r="AD3680" s="37">
        <v>3.2985665873357792</v>
      </c>
    </row>
    <row r="3681" spans="27:30" x14ac:dyDescent="0.3">
      <c r="AA3681" s="37">
        <v>3661</v>
      </c>
      <c r="AB3681" s="37">
        <v>1.7449682084901936</v>
      </c>
      <c r="AC3681" s="37">
        <v>2.9877242398242072</v>
      </c>
      <c r="AD3681" s="37">
        <v>3.2309848404393176</v>
      </c>
    </row>
    <row r="3682" spans="27:30" x14ac:dyDescent="0.3">
      <c r="AA3682" s="37">
        <v>3662</v>
      </c>
      <c r="AB3682" s="37">
        <v>1.7932877175209616</v>
      </c>
      <c r="AC3682" s="37">
        <v>2.8538806349723043</v>
      </c>
      <c r="AD3682" s="37">
        <v>3.2714028662724406</v>
      </c>
    </row>
    <row r="3683" spans="27:30" x14ac:dyDescent="0.3">
      <c r="AA3683" s="37">
        <v>3663</v>
      </c>
      <c r="AB3683" s="37">
        <v>1.7145331674356015</v>
      </c>
      <c r="AC3683" s="37">
        <v>2.926993920725145</v>
      </c>
      <c r="AD3683" s="37">
        <v>3.3417297290804453</v>
      </c>
    </row>
    <row r="3684" spans="27:30" x14ac:dyDescent="0.3">
      <c r="AA3684" s="37">
        <v>3664</v>
      </c>
      <c r="AB3684" s="37">
        <v>1.8233021734698527</v>
      </c>
      <c r="AC3684" s="37">
        <v>2.803429675031559</v>
      </c>
      <c r="AD3684" s="37">
        <v>3.4608756838013344</v>
      </c>
    </row>
    <row r="3685" spans="27:30" x14ac:dyDescent="0.3">
      <c r="AA3685" s="37">
        <v>3665</v>
      </c>
      <c r="AB3685" s="37">
        <v>1.7060522044304036</v>
      </c>
      <c r="AC3685" s="37">
        <v>2.9627205189255914</v>
      </c>
      <c r="AD3685" s="37">
        <v>3.3894234410749515</v>
      </c>
    </row>
    <row r="3686" spans="27:30" x14ac:dyDescent="0.3">
      <c r="AA3686" s="37">
        <v>3666</v>
      </c>
      <c r="AB3686" s="37">
        <v>1.8142979228297327</v>
      </c>
      <c r="AC3686" s="37">
        <v>2.8488805152398693</v>
      </c>
      <c r="AD3686" s="37">
        <v>3.3148573723808452</v>
      </c>
    </row>
    <row r="3687" spans="27:30" x14ac:dyDescent="0.3">
      <c r="AA3687" s="37">
        <v>3667</v>
      </c>
      <c r="AB3687" s="37">
        <v>1.8000673616381113</v>
      </c>
      <c r="AC3687" s="37">
        <v>2.7900507369325922</v>
      </c>
      <c r="AD3687" s="37">
        <v>3.3911676467082943</v>
      </c>
    </row>
    <row r="3688" spans="27:30" x14ac:dyDescent="0.3">
      <c r="AA3688" s="37">
        <v>3668</v>
      </c>
      <c r="AB3688" s="37">
        <v>1.7799740185893524</v>
      </c>
      <c r="AC3688" s="37">
        <v>2.744720474849879</v>
      </c>
      <c r="AD3688" s="37">
        <v>3.2395529052180674</v>
      </c>
    </row>
    <row r="3689" spans="27:30" x14ac:dyDescent="0.3">
      <c r="AA3689" s="37">
        <v>3669</v>
      </c>
      <c r="AB3689" s="37">
        <v>1.6313020786026426</v>
      </c>
      <c r="AC3689" s="37">
        <v>2.728362393808216</v>
      </c>
      <c r="AD3689" s="37">
        <v>3.3618637848130297</v>
      </c>
    </row>
    <row r="3690" spans="27:30" x14ac:dyDescent="0.3">
      <c r="AA3690" s="37">
        <v>3670</v>
      </c>
      <c r="AB3690" s="37">
        <v>1.8873793978628894</v>
      </c>
      <c r="AC3690" s="37">
        <v>2.7646357298225275</v>
      </c>
      <c r="AD3690" s="37">
        <v>3.2246425129374408</v>
      </c>
    </row>
    <row r="3691" spans="27:30" x14ac:dyDescent="0.3">
      <c r="AA3691" s="37">
        <v>3671</v>
      </c>
      <c r="AB3691" s="37">
        <v>1.7926367200720654</v>
      </c>
      <c r="AC3691" s="37">
        <v>2.5163351389171007</v>
      </c>
      <c r="AD3691" s="37">
        <v>3.2063128978158257</v>
      </c>
    </row>
    <row r="3692" spans="27:30" x14ac:dyDescent="0.3">
      <c r="AA3692" s="37">
        <v>3672</v>
      </c>
      <c r="AB3692" s="37">
        <v>1.8535145691044295</v>
      </c>
      <c r="AC3692" s="37">
        <v>2.6027392457956928</v>
      </c>
      <c r="AD3692" s="37">
        <v>3.4083097129473239</v>
      </c>
    </row>
    <row r="3693" spans="27:30" x14ac:dyDescent="0.3">
      <c r="AA3693" s="37">
        <v>3673</v>
      </c>
      <c r="AB3693" s="37">
        <v>1.7165246870445476</v>
      </c>
      <c r="AC3693" s="37">
        <v>2.7827924436639151</v>
      </c>
      <c r="AD3693" s="37">
        <v>3.5154758856965702</v>
      </c>
    </row>
    <row r="3694" spans="27:30" x14ac:dyDescent="0.3">
      <c r="AA3694" s="37">
        <v>3674</v>
      </c>
      <c r="AB3694" s="37">
        <v>1.7643982755242675</v>
      </c>
      <c r="AC3694" s="37">
        <v>2.8885276166908898</v>
      </c>
      <c r="AD3694" s="37">
        <v>3.2778921410770137</v>
      </c>
    </row>
    <row r="3695" spans="27:30" x14ac:dyDescent="0.3">
      <c r="AA3695" s="37">
        <v>3675</v>
      </c>
      <c r="AB3695" s="37">
        <v>1.8086579564118881</v>
      </c>
      <c r="AC3695" s="37">
        <v>2.9668761301352813</v>
      </c>
      <c r="AD3695" s="37">
        <v>3.454533566381019</v>
      </c>
    </row>
    <row r="3696" spans="27:30" x14ac:dyDescent="0.3">
      <c r="AA3696" s="37">
        <v>3676</v>
      </c>
      <c r="AB3696" s="37">
        <v>1.8079223575107342</v>
      </c>
      <c r="AC3696" s="37">
        <v>2.8327651918371908</v>
      </c>
      <c r="AD3696" s="37">
        <v>3.3066235537313124</v>
      </c>
    </row>
    <row r="3697" spans="27:30" x14ac:dyDescent="0.3">
      <c r="AA3697" s="37">
        <v>3677</v>
      </c>
      <c r="AB3697" s="37">
        <v>1.8083996519877963</v>
      </c>
      <c r="AC3697" s="37">
        <v>2.726592060006078</v>
      </c>
      <c r="AD3697" s="37">
        <v>3.1833350151069024</v>
      </c>
    </row>
    <row r="3698" spans="27:30" x14ac:dyDescent="0.3">
      <c r="AA3698" s="37">
        <v>3678</v>
      </c>
      <c r="AB3698" s="37">
        <v>1.826320245741448</v>
      </c>
      <c r="AC3698" s="37">
        <v>2.8411779690102952</v>
      </c>
      <c r="AD3698" s="37">
        <v>3.364293494398956</v>
      </c>
    </row>
    <row r="3699" spans="27:30" x14ac:dyDescent="0.3">
      <c r="AA3699" s="37">
        <v>3679</v>
      </c>
      <c r="AB3699" s="37">
        <v>1.7924813227613281</v>
      </c>
      <c r="AC3699" s="37">
        <v>2.784692415717259</v>
      </c>
      <c r="AD3699" s="37">
        <v>3.4506989677251423</v>
      </c>
    </row>
    <row r="3700" spans="27:30" x14ac:dyDescent="0.3">
      <c r="AA3700" s="37">
        <v>3680</v>
      </c>
      <c r="AB3700" s="37">
        <v>1.7704017742499012</v>
      </c>
      <c r="AC3700" s="37">
        <v>2.9926096839607763</v>
      </c>
      <c r="AD3700" s="37">
        <v>3.2178032247584136</v>
      </c>
    </row>
    <row r="3701" spans="27:30" x14ac:dyDescent="0.3">
      <c r="AA3701" s="37">
        <v>3681</v>
      </c>
      <c r="AB3701" s="37">
        <v>1.8284553528784484</v>
      </c>
      <c r="AC3701" s="37">
        <v>2.6085148565515137</v>
      </c>
      <c r="AD3701" s="37">
        <v>3.054766898134917</v>
      </c>
    </row>
    <row r="3702" spans="27:30" x14ac:dyDescent="0.3">
      <c r="AA3702" s="37">
        <v>3682</v>
      </c>
      <c r="AB3702" s="37">
        <v>1.8080111298236341</v>
      </c>
      <c r="AC3702" s="37">
        <v>2.6851926849380368</v>
      </c>
      <c r="AD3702" s="37">
        <v>3.1914304345687192</v>
      </c>
    </row>
    <row r="3703" spans="27:30" x14ac:dyDescent="0.3">
      <c r="AA3703" s="37">
        <v>3683</v>
      </c>
      <c r="AB3703" s="37">
        <v>1.83451864612473</v>
      </c>
      <c r="AC3703" s="37">
        <v>2.7985972031276831</v>
      </c>
      <c r="AD3703" s="37">
        <v>3.3653046625259866</v>
      </c>
    </row>
    <row r="3704" spans="27:30" x14ac:dyDescent="0.3">
      <c r="AA3704" s="37">
        <v>3684</v>
      </c>
      <c r="AB3704" s="37">
        <v>1.7446999028086168</v>
      </c>
      <c r="AC3704" s="37">
        <v>2.6479893266154044</v>
      </c>
      <c r="AD3704" s="37">
        <v>3.3571067364016165</v>
      </c>
    </row>
    <row r="3705" spans="27:30" x14ac:dyDescent="0.3">
      <c r="AA3705" s="37">
        <v>3685</v>
      </c>
      <c r="AB3705" s="37">
        <v>1.6871021916143942</v>
      </c>
      <c r="AC3705" s="37">
        <v>2.794230162770404</v>
      </c>
      <c r="AD3705" s="37">
        <v>3.3818503169462746</v>
      </c>
    </row>
    <row r="3706" spans="27:30" x14ac:dyDescent="0.3">
      <c r="AA3706" s="37">
        <v>3686</v>
      </c>
      <c r="AB3706" s="37">
        <v>1.8552519245845929</v>
      </c>
      <c r="AC3706" s="37">
        <v>2.8080625392656309</v>
      </c>
      <c r="AD3706" s="37">
        <v>3.2517904292328601</v>
      </c>
    </row>
    <row r="3707" spans="27:30" x14ac:dyDescent="0.3">
      <c r="AA3707" s="37">
        <v>3687</v>
      </c>
      <c r="AB3707" s="37">
        <v>1.8164384923784955</v>
      </c>
      <c r="AC3707" s="37">
        <v>3.0019688574473946</v>
      </c>
      <c r="AD3707" s="37">
        <v>3.2105709908266986</v>
      </c>
    </row>
    <row r="3708" spans="27:30" x14ac:dyDescent="0.3">
      <c r="AA3708" s="37">
        <v>3688</v>
      </c>
      <c r="AB3708" s="37">
        <v>1.9225488556801389</v>
      </c>
      <c r="AC3708" s="37">
        <v>2.7912575898767695</v>
      </c>
      <c r="AD3708" s="37">
        <v>3.4768423675496929</v>
      </c>
    </row>
    <row r="3709" spans="27:30" x14ac:dyDescent="0.3">
      <c r="AA3709" s="37">
        <v>3689</v>
      </c>
      <c r="AB3709" s="37">
        <v>1.9460396650873468</v>
      </c>
      <c r="AC3709" s="37">
        <v>2.753835478188702</v>
      </c>
      <c r="AD3709" s="37">
        <v>3.3767233678911031</v>
      </c>
    </row>
    <row r="3710" spans="27:30" x14ac:dyDescent="0.3">
      <c r="AA3710" s="37">
        <v>3690</v>
      </c>
      <c r="AB3710" s="37">
        <v>1.7865187049340645</v>
      </c>
      <c r="AC3710" s="37">
        <v>2.6794820065225067</v>
      </c>
      <c r="AD3710" s="37">
        <v>3.0782425628249848</v>
      </c>
    </row>
    <row r="3711" spans="27:30" x14ac:dyDescent="0.3">
      <c r="AA3711" s="37">
        <v>3691</v>
      </c>
      <c r="AB3711" s="37">
        <v>1.7914088757822921</v>
      </c>
      <c r="AC3711" s="37">
        <v>2.8263886214318332</v>
      </c>
      <c r="AD3711" s="37">
        <v>3.3317728640241357</v>
      </c>
    </row>
    <row r="3712" spans="27:30" x14ac:dyDescent="0.3">
      <c r="AA3712" s="37">
        <v>3692</v>
      </c>
      <c r="AB3712" s="37">
        <v>1.9321445766554532</v>
      </c>
      <c r="AC3712" s="37">
        <v>2.7739774927530725</v>
      </c>
      <c r="AD3712" s="37">
        <v>3.3943832875347981</v>
      </c>
    </row>
    <row r="3713" spans="27:30" x14ac:dyDescent="0.3">
      <c r="AA3713" s="37">
        <v>3693</v>
      </c>
      <c r="AB3713" s="37">
        <v>1.9141982002484965</v>
      </c>
      <c r="AC3713" s="37">
        <v>2.8905435709898932</v>
      </c>
      <c r="AD3713" s="37">
        <v>3.2773986466643095</v>
      </c>
    </row>
    <row r="3714" spans="27:30" x14ac:dyDescent="0.3">
      <c r="AA3714" s="37">
        <v>3694</v>
      </c>
      <c r="AB3714" s="37">
        <v>1.7601885096097241</v>
      </c>
      <c r="AC3714" s="37">
        <v>3.0029350756454507</v>
      </c>
      <c r="AD3714" s="37">
        <v>3.3897488380428249</v>
      </c>
    </row>
    <row r="3715" spans="27:30" x14ac:dyDescent="0.3">
      <c r="AA3715" s="37">
        <v>3695</v>
      </c>
      <c r="AB3715" s="37">
        <v>1.7321624087227336</v>
      </c>
      <c r="AC3715" s="37">
        <v>2.9413503870843214</v>
      </c>
      <c r="AD3715" s="37">
        <v>3.3246503850715143</v>
      </c>
    </row>
    <row r="3716" spans="27:30" x14ac:dyDescent="0.3">
      <c r="AA3716" s="37">
        <v>3696</v>
      </c>
      <c r="AB3716" s="37">
        <v>1.8058749733266668</v>
      </c>
      <c r="AC3716" s="37">
        <v>2.970047910565619</v>
      </c>
      <c r="AD3716" s="37">
        <v>3.2923243942624802</v>
      </c>
    </row>
    <row r="3717" spans="27:30" x14ac:dyDescent="0.3">
      <c r="AA3717" s="37">
        <v>3697</v>
      </c>
      <c r="AB3717" s="37">
        <v>1.9451456184701938</v>
      </c>
      <c r="AC3717" s="37">
        <v>2.7560296624815659</v>
      </c>
      <c r="AD3717" s="37">
        <v>3.326001873079071</v>
      </c>
    </row>
    <row r="3718" spans="27:30" x14ac:dyDescent="0.3">
      <c r="AA3718" s="37">
        <v>3698</v>
      </c>
      <c r="AB3718" s="37">
        <v>1.7776362179911365</v>
      </c>
      <c r="AC3718" s="37">
        <v>2.7685669808424365</v>
      </c>
      <c r="AD3718" s="37">
        <v>3.3887227136579292</v>
      </c>
    </row>
    <row r="3719" spans="27:30" x14ac:dyDescent="0.3">
      <c r="AA3719" s="37">
        <v>3699</v>
      </c>
      <c r="AB3719" s="37">
        <v>1.8142911875823171</v>
      </c>
      <c r="AC3719" s="37">
        <v>2.7969378030991523</v>
      </c>
      <c r="AD3719" s="37">
        <v>3.3098034553534275</v>
      </c>
    </row>
    <row r="3720" spans="27:30" x14ac:dyDescent="0.3">
      <c r="AA3720" s="37">
        <v>3700</v>
      </c>
      <c r="AB3720" s="37">
        <v>1.7458749916032423</v>
      </c>
      <c r="AC3720" s="37">
        <v>2.7788767154533143</v>
      </c>
      <c r="AD3720" s="37">
        <v>3.3453275728652621</v>
      </c>
    </row>
    <row r="3721" spans="27:30" x14ac:dyDescent="0.3">
      <c r="AA3721" s="37">
        <v>3701</v>
      </c>
      <c r="AB3721" s="37">
        <v>1.6458089262616624</v>
      </c>
      <c r="AC3721" s="37">
        <v>2.7267084014517615</v>
      </c>
      <c r="AD3721" s="37">
        <v>3.3479652427071032</v>
      </c>
    </row>
    <row r="3722" spans="27:30" x14ac:dyDescent="0.3">
      <c r="AA3722" s="37">
        <v>3702</v>
      </c>
      <c r="AB3722" s="37">
        <v>1.721631123693963</v>
      </c>
      <c r="AC3722" s="37">
        <v>2.7748946191353738</v>
      </c>
      <c r="AD3722" s="37">
        <v>3.3607671917755488</v>
      </c>
    </row>
    <row r="3723" spans="27:30" x14ac:dyDescent="0.3">
      <c r="AA3723" s="37">
        <v>3703</v>
      </c>
      <c r="AB3723" s="37">
        <v>1.8925335634555991</v>
      </c>
      <c r="AC3723" s="37">
        <v>2.7441180622243464</v>
      </c>
      <c r="AD3723" s="37">
        <v>3.5071840327945787</v>
      </c>
    </row>
    <row r="3724" spans="27:30" x14ac:dyDescent="0.3">
      <c r="AA3724" s="37">
        <v>3704</v>
      </c>
      <c r="AB3724" s="37">
        <v>1.8292954729780693</v>
      </c>
      <c r="AC3724" s="37">
        <v>2.8385160717996505</v>
      </c>
      <c r="AD3724" s="37">
        <v>3.399978420807388</v>
      </c>
    </row>
    <row r="3725" spans="27:30" x14ac:dyDescent="0.3">
      <c r="AA3725" s="37">
        <v>3705</v>
      </c>
      <c r="AB3725" s="37">
        <v>1.8521772864720802</v>
      </c>
      <c r="AC3725" s="37">
        <v>2.9701253678785262</v>
      </c>
      <c r="AD3725" s="37">
        <v>3.6467318063667329</v>
      </c>
    </row>
    <row r="3726" spans="27:30" x14ac:dyDescent="0.3">
      <c r="AA3726" s="37">
        <v>3706</v>
      </c>
      <c r="AB3726" s="37">
        <v>1.7557865128655101</v>
      </c>
      <c r="AC3726" s="37">
        <v>2.8813653809780799</v>
      </c>
      <c r="AD3726" s="37">
        <v>3.0832599912873113</v>
      </c>
    </row>
    <row r="3727" spans="27:30" x14ac:dyDescent="0.3">
      <c r="AA3727" s="37">
        <v>3707</v>
      </c>
      <c r="AB3727" s="37">
        <v>1.6871431597017632</v>
      </c>
      <c r="AC3727" s="37">
        <v>2.8401956891116793</v>
      </c>
      <c r="AD3727" s="37">
        <v>3.3642042930406375</v>
      </c>
    </row>
    <row r="3728" spans="27:30" x14ac:dyDescent="0.3">
      <c r="AA3728" s="37">
        <v>3708</v>
      </c>
      <c r="AB3728" s="37">
        <v>1.9122380165950679</v>
      </c>
      <c r="AC3728" s="37">
        <v>2.9056363453791945</v>
      </c>
      <c r="AD3728" s="37">
        <v>3.4627236545203841</v>
      </c>
    </row>
    <row r="3729" spans="27:30" x14ac:dyDescent="0.3">
      <c r="AA3729" s="37">
        <v>3709</v>
      </c>
      <c r="AB3729" s="37">
        <v>1.7731670793396159</v>
      </c>
      <c r="AC3729" s="37">
        <v>2.9198836089827611</v>
      </c>
      <c r="AD3729" s="37">
        <v>3.2545591206959479</v>
      </c>
    </row>
    <row r="3730" spans="27:30" x14ac:dyDescent="0.3">
      <c r="AA3730" s="37">
        <v>3710</v>
      </c>
      <c r="AB3730" s="37">
        <v>1.7511793574191257</v>
      </c>
      <c r="AC3730" s="37">
        <v>2.8407388154521795</v>
      </c>
      <c r="AD3730" s="37">
        <v>3.3961200659023012</v>
      </c>
    </row>
    <row r="3731" spans="27:30" x14ac:dyDescent="0.3">
      <c r="AA3731" s="37">
        <v>3711</v>
      </c>
      <c r="AB3731" s="37">
        <v>1.7082558723115802</v>
      </c>
      <c r="AC3731" s="37">
        <v>2.7204877333430031</v>
      </c>
      <c r="AD3731" s="37">
        <v>3.5417920314766955</v>
      </c>
    </row>
    <row r="3732" spans="27:30" x14ac:dyDescent="0.3">
      <c r="AA3732" s="37">
        <v>3712</v>
      </c>
      <c r="AB3732" s="37">
        <v>1.7224511367946709</v>
      </c>
      <c r="AC3732" s="37">
        <v>2.9340552849594683</v>
      </c>
      <c r="AD3732" s="37">
        <v>3.3470376205626127</v>
      </c>
    </row>
    <row r="3733" spans="27:30" x14ac:dyDescent="0.3">
      <c r="AA3733" s="37">
        <v>3713</v>
      </c>
      <c r="AB3733" s="37">
        <v>1.8512338224744957</v>
      </c>
      <c r="AC3733" s="37">
        <v>3.0801970695526331</v>
      </c>
      <c r="AD3733" s="37">
        <v>3.315483669783307</v>
      </c>
    </row>
    <row r="3734" spans="27:30" x14ac:dyDescent="0.3">
      <c r="AA3734" s="37">
        <v>3714</v>
      </c>
      <c r="AB3734" s="37">
        <v>1.8143310336085339</v>
      </c>
      <c r="AC3734" s="37">
        <v>2.7373850120270364</v>
      </c>
      <c r="AD3734" s="37">
        <v>2.9645331259823049</v>
      </c>
    </row>
    <row r="3735" spans="27:30" x14ac:dyDescent="0.3">
      <c r="AA3735" s="37">
        <v>3715</v>
      </c>
      <c r="AB3735" s="37">
        <v>1.7049807433210136</v>
      </c>
      <c r="AC3735" s="37">
        <v>2.8186695086518623</v>
      </c>
      <c r="AD3735" s="37">
        <v>3.4911913639527876</v>
      </c>
    </row>
    <row r="3736" spans="27:30" x14ac:dyDescent="0.3">
      <c r="AA3736" s="37">
        <v>3716</v>
      </c>
      <c r="AB3736" s="37">
        <v>1.7587175044604464</v>
      </c>
      <c r="AC3736" s="37">
        <v>2.7022083160624661</v>
      </c>
      <c r="AD3736" s="37">
        <v>3.1399094491663799</v>
      </c>
    </row>
    <row r="3737" spans="27:30" x14ac:dyDescent="0.3">
      <c r="AA3737" s="37">
        <v>3717</v>
      </c>
      <c r="AB3737" s="37">
        <v>1.7656810000486587</v>
      </c>
      <c r="AC3737" s="37">
        <v>2.8588106604211427</v>
      </c>
      <c r="AD3737" s="37">
        <v>3.3008050605013755</v>
      </c>
    </row>
    <row r="3738" spans="27:30" x14ac:dyDescent="0.3">
      <c r="AA3738" s="37">
        <v>3718</v>
      </c>
      <c r="AB3738" s="37">
        <v>1.7601840802131781</v>
      </c>
      <c r="AC3738" s="37">
        <v>2.7969922408831098</v>
      </c>
      <c r="AD3738" s="37">
        <v>3.3787884877202314</v>
      </c>
    </row>
    <row r="3739" spans="27:30" x14ac:dyDescent="0.3">
      <c r="AA3739" s="37">
        <v>3719</v>
      </c>
      <c r="AB3739" s="37">
        <v>1.6537416212827341</v>
      </c>
      <c r="AC3739" s="37">
        <v>2.6357671567238108</v>
      </c>
      <c r="AD3739" s="37">
        <v>3.2147854172114343</v>
      </c>
    </row>
    <row r="3740" spans="27:30" x14ac:dyDescent="0.3">
      <c r="AA3740" s="37">
        <v>3720</v>
      </c>
      <c r="AB3740" s="37">
        <v>1.7063254389486318</v>
      </c>
      <c r="AC3740" s="37">
        <v>2.7998772962711622</v>
      </c>
      <c r="AD3740" s="37">
        <v>3.1983793644181167</v>
      </c>
    </row>
    <row r="3741" spans="27:30" x14ac:dyDescent="0.3">
      <c r="AA3741" s="37">
        <v>3721</v>
      </c>
      <c r="AB3741" s="37">
        <v>1.8528387140131968</v>
      </c>
      <c r="AC3741" s="37">
        <v>2.882261533537203</v>
      </c>
      <c r="AD3741" s="37">
        <v>3.7583056929378871</v>
      </c>
    </row>
    <row r="3742" spans="27:30" x14ac:dyDescent="0.3">
      <c r="AA3742" s="37">
        <v>3722</v>
      </c>
      <c r="AB3742" s="37">
        <v>1.730118052058059</v>
      </c>
      <c r="AC3742" s="37">
        <v>2.8485410138655474</v>
      </c>
      <c r="AD3742" s="37">
        <v>3.3522060618178937</v>
      </c>
    </row>
    <row r="3743" spans="27:30" x14ac:dyDescent="0.3">
      <c r="AA3743" s="37">
        <v>3723</v>
      </c>
      <c r="AB3743" s="37">
        <v>1.775376342374497</v>
      </c>
      <c r="AC3743" s="37">
        <v>2.8522081853622065</v>
      </c>
      <c r="AD3743" s="37">
        <v>3.3703753886049319</v>
      </c>
    </row>
    <row r="3744" spans="27:30" x14ac:dyDescent="0.3">
      <c r="AA3744" s="37">
        <v>3724</v>
      </c>
      <c r="AB3744" s="37">
        <v>1.8176767152660771</v>
      </c>
      <c r="AC3744" s="37">
        <v>2.7354660615532871</v>
      </c>
      <c r="AD3744" s="37">
        <v>3.3721572976324365</v>
      </c>
    </row>
    <row r="3745" spans="27:30" x14ac:dyDescent="0.3">
      <c r="AA3745" s="37">
        <v>3725</v>
      </c>
      <c r="AB3745" s="37">
        <v>1.722180563036543</v>
      </c>
      <c r="AC3745" s="37">
        <v>2.8094378141309662</v>
      </c>
      <c r="AD3745" s="37">
        <v>3.4782746939098947</v>
      </c>
    </row>
    <row r="3746" spans="27:30" x14ac:dyDescent="0.3">
      <c r="AA3746" s="37">
        <v>3726</v>
      </c>
      <c r="AB3746" s="37">
        <v>1.7801560227295565</v>
      </c>
      <c r="AC3746" s="37">
        <v>2.8760647373733659</v>
      </c>
      <c r="AD3746" s="37">
        <v>3.7145460385647873</v>
      </c>
    </row>
    <row r="3747" spans="27:30" x14ac:dyDescent="0.3">
      <c r="AA3747" s="37">
        <v>3727</v>
      </c>
      <c r="AB3747" s="37">
        <v>1.7744443055323846</v>
      </c>
      <c r="AC3747" s="37">
        <v>2.7727745475536367</v>
      </c>
      <c r="AD3747" s="37">
        <v>3.3888670082762955</v>
      </c>
    </row>
    <row r="3748" spans="27:30" x14ac:dyDescent="0.3">
      <c r="AA3748" s="37">
        <v>3728</v>
      </c>
      <c r="AB3748" s="37">
        <v>1.8622870387224673</v>
      </c>
      <c r="AC3748" s="37">
        <v>2.7620415196870152</v>
      </c>
      <c r="AD3748" s="37">
        <v>3.1991798345268601</v>
      </c>
    </row>
    <row r="3749" spans="27:30" x14ac:dyDescent="0.3">
      <c r="AA3749" s="37">
        <v>3729</v>
      </c>
      <c r="AB3749" s="37">
        <v>1.8038062194173188</v>
      </c>
      <c r="AC3749" s="37">
        <v>2.6559742918124094</v>
      </c>
      <c r="AD3749" s="37">
        <v>3.3495896960927802</v>
      </c>
    </row>
    <row r="3750" spans="27:30" x14ac:dyDescent="0.3">
      <c r="AA3750" s="37">
        <v>3730</v>
      </c>
      <c r="AB3750" s="37">
        <v>1.7653956918770772</v>
      </c>
      <c r="AC3750" s="37">
        <v>2.8327813072112269</v>
      </c>
      <c r="AD3750" s="37">
        <v>3.3077888611097532</v>
      </c>
    </row>
    <row r="3751" spans="27:30" x14ac:dyDescent="0.3">
      <c r="AA3751" s="37">
        <v>3731</v>
      </c>
      <c r="AB3751" s="37">
        <v>1.8961919996980909</v>
      </c>
      <c r="AC3751" s="37">
        <v>2.7913588808808938</v>
      </c>
      <c r="AD3751" s="37">
        <v>3.1620514574854601</v>
      </c>
    </row>
    <row r="3752" spans="27:30" x14ac:dyDescent="0.3">
      <c r="AA3752" s="37">
        <v>3732</v>
      </c>
      <c r="AB3752" s="37">
        <v>1.7206975905416004</v>
      </c>
      <c r="AC3752" s="37">
        <v>3.0024877023191898</v>
      </c>
      <c r="AD3752" s="37">
        <v>3.3187168891367875</v>
      </c>
    </row>
    <row r="3753" spans="27:30" x14ac:dyDescent="0.3">
      <c r="AA3753" s="37">
        <v>3733</v>
      </c>
      <c r="AB3753" s="37">
        <v>1.8482178983412156</v>
      </c>
      <c r="AC3753" s="37">
        <v>2.6976609605523705</v>
      </c>
      <c r="AD3753" s="37">
        <v>3.2977079337412949</v>
      </c>
    </row>
    <row r="3754" spans="27:30" x14ac:dyDescent="0.3">
      <c r="AA3754" s="37">
        <v>3734</v>
      </c>
      <c r="AB3754" s="37">
        <v>1.7672543529423028</v>
      </c>
      <c r="AC3754" s="37">
        <v>3.0232815408773175</v>
      </c>
      <c r="AD3754" s="37">
        <v>3.4006927695083968</v>
      </c>
    </row>
    <row r="3755" spans="27:30" x14ac:dyDescent="0.3">
      <c r="AA3755" s="37">
        <v>3735</v>
      </c>
      <c r="AB3755" s="37">
        <v>1.8750205415320971</v>
      </c>
      <c r="AC3755" s="37">
        <v>2.8306195700353025</v>
      </c>
      <c r="AD3755" s="37">
        <v>3.2630537490003055</v>
      </c>
    </row>
    <row r="3756" spans="27:30" x14ac:dyDescent="0.3">
      <c r="AA3756" s="37">
        <v>3736</v>
      </c>
      <c r="AB3756" s="37">
        <v>1.7972823381936283</v>
      </c>
      <c r="AC3756" s="37">
        <v>2.6881362052080546</v>
      </c>
      <c r="AD3756" s="37">
        <v>3.3251950191265371</v>
      </c>
    </row>
    <row r="3757" spans="27:30" x14ac:dyDescent="0.3">
      <c r="AA3757" s="37">
        <v>3737</v>
      </c>
      <c r="AB3757" s="37">
        <v>1.9037486718355172</v>
      </c>
      <c r="AC3757" s="37">
        <v>2.818326336792341</v>
      </c>
      <c r="AD3757" s="37">
        <v>3.351891018134598</v>
      </c>
    </row>
    <row r="3758" spans="27:30" x14ac:dyDescent="0.3">
      <c r="AA3758" s="37">
        <v>3738</v>
      </c>
      <c r="AB3758" s="37">
        <v>1.7462560119586328</v>
      </c>
      <c r="AC3758" s="37">
        <v>2.8601812674880711</v>
      </c>
      <c r="AD3758" s="37">
        <v>3.5842096153666136</v>
      </c>
    </row>
    <row r="3759" spans="27:30" x14ac:dyDescent="0.3">
      <c r="AA3759" s="37">
        <v>3739</v>
      </c>
      <c r="AB3759" s="37">
        <v>1.8227666029045901</v>
      </c>
      <c r="AC3759" s="37">
        <v>2.7653983290124939</v>
      </c>
      <c r="AD3759" s="37">
        <v>3.3628751214442589</v>
      </c>
    </row>
    <row r="3760" spans="27:30" x14ac:dyDescent="0.3">
      <c r="AA3760" s="37">
        <v>3740</v>
      </c>
      <c r="AB3760" s="37">
        <v>1.7080500851564555</v>
      </c>
      <c r="AC3760" s="37">
        <v>2.8507004100882081</v>
      </c>
      <c r="AD3760" s="37">
        <v>3.2866971535561103</v>
      </c>
    </row>
    <row r="3761" spans="27:30" x14ac:dyDescent="0.3">
      <c r="AA3761" s="37">
        <v>3741</v>
      </c>
      <c r="AB3761" s="37">
        <v>1.722176049392361</v>
      </c>
      <c r="AC3761" s="37">
        <v>2.7444167751216932</v>
      </c>
      <c r="AD3761" s="37">
        <v>3.429658114310095</v>
      </c>
    </row>
    <row r="3762" spans="27:30" x14ac:dyDescent="0.3">
      <c r="AA3762" s="37">
        <v>3742</v>
      </c>
      <c r="AB3762" s="37">
        <v>1.7980189373247559</v>
      </c>
      <c r="AC3762" s="37">
        <v>2.9421304835502715</v>
      </c>
      <c r="AD3762" s="37">
        <v>3.1890893767579405</v>
      </c>
    </row>
    <row r="3763" spans="27:30" x14ac:dyDescent="0.3">
      <c r="AA3763" s="37">
        <v>3743</v>
      </c>
      <c r="AB3763" s="37">
        <v>1.7622192815336792</v>
      </c>
      <c r="AC3763" s="37">
        <v>2.7492663857465729</v>
      </c>
      <c r="AD3763" s="37">
        <v>3.38202338382079</v>
      </c>
    </row>
    <row r="3764" spans="27:30" x14ac:dyDescent="0.3">
      <c r="AA3764" s="37">
        <v>3744</v>
      </c>
      <c r="AB3764" s="37">
        <v>1.7400649538574564</v>
      </c>
      <c r="AC3764" s="37">
        <v>2.8014563193001818</v>
      </c>
      <c r="AD3764" s="37">
        <v>3.4796097986384869</v>
      </c>
    </row>
    <row r="3765" spans="27:30" x14ac:dyDescent="0.3">
      <c r="AA3765" s="37">
        <v>3745</v>
      </c>
      <c r="AB3765" s="37">
        <v>1.8683433998035397</v>
      </c>
      <c r="AC3765" s="37">
        <v>2.8851274190736538</v>
      </c>
      <c r="AD3765" s="37">
        <v>3.2339539235484613</v>
      </c>
    </row>
    <row r="3766" spans="27:30" x14ac:dyDescent="0.3">
      <c r="AA3766" s="37">
        <v>3746</v>
      </c>
      <c r="AB3766" s="37">
        <v>1.787863090551332</v>
      </c>
      <c r="AC3766" s="37">
        <v>2.8395982857370181</v>
      </c>
      <c r="AD3766" s="37">
        <v>3.4462242676708703</v>
      </c>
    </row>
    <row r="3767" spans="27:30" x14ac:dyDescent="0.3">
      <c r="AA3767" s="37">
        <v>3747</v>
      </c>
      <c r="AB3767" s="37">
        <v>1.8087907339132308</v>
      </c>
      <c r="AC3767" s="37">
        <v>2.9350128984821491</v>
      </c>
      <c r="AD3767" s="37">
        <v>3.319096025782843</v>
      </c>
    </row>
    <row r="3768" spans="27:30" x14ac:dyDescent="0.3">
      <c r="AA3768" s="37">
        <v>3748</v>
      </c>
      <c r="AB3768" s="37">
        <v>1.727383983352675</v>
      </c>
      <c r="AC3768" s="37">
        <v>2.8280240985253471</v>
      </c>
      <c r="AD3768" s="37">
        <v>3.2358608532621567</v>
      </c>
    </row>
    <row r="3769" spans="27:30" x14ac:dyDescent="0.3">
      <c r="AA3769" s="37">
        <v>3749</v>
      </c>
      <c r="AB3769" s="37">
        <v>1.7261944237270759</v>
      </c>
      <c r="AC3769" s="37">
        <v>2.6884645278782022</v>
      </c>
      <c r="AD3769" s="37">
        <v>3.292181400218487</v>
      </c>
    </row>
    <row r="3770" spans="27:30" x14ac:dyDescent="0.3">
      <c r="AA3770" s="37">
        <v>3750</v>
      </c>
      <c r="AB3770" s="37">
        <v>1.6837467057088169</v>
      </c>
      <c r="AC3770" s="37">
        <v>2.6257123852870321</v>
      </c>
      <c r="AD3770" s="37">
        <v>3.3355815221120251</v>
      </c>
    </row>
    <row r="3771" spans="27:30" x14ac:dyDescent="0.3">
      <c r="AA3771" s="37">
        <v>3751</v>
      </c>
      <c r="AB3771" s="37">
        <v>1.7532206197298212</v>
      </c>
      <c r="AC3771" s="37">
        <v>3.0210041472487981</v>
      </c>
      <c r="AD3771" s="37">
        <v>3.2710905074840495</v>
      </c>
    </row>
    <row r="3772" spans="27:30" x14ac:dyDescent="0.3">
      <c r="AA3772" s="37">
        <v>3752</v>
      </c>
      <c r="AB3772" s="37">
        <v>1.7938735560087966</v>
      </c>
      <c r="AC3772" s="37">
        <v>2.7524317153459092</v>
      </c>
      <c r="AD3772" s="37">
        <v>3.3817693461000959</v>
      </c>
    </row>
    <row r="3773" spans="27:30" x14ac:dyDescent="0.3">
      <c r="AA3773" s="37">
        <v>3753</v>
      </c>
      <c r="AB3773" s="37">
        <v>1.7859487491757675</v>
      </c>
      <c r="AC3773" s="37">
        <v>2.7659117664599955</v>
      </c>
      <c r="AD3773" s="37">
        <v>3.3155578572044999</v>
      </c>
    </row>
    <row r="3774" spans="27:30" x14ac:dyDescent="0.3">
      <c r="AA3774" s="37">
        <v>3754</v>
      </c>
      <c r="AB3774" s="37">
        <v>1.8137722989011997</v>
      </c>
      <c r="AC3774" s="37">
        <v>2.9452080518148147</v>
      </c>
      <c r="AD3774" s="37">
        <v>3.5457183089561006</v>
      </c>
    </row>
    <row r="3775" spans="27:30" x14ac:dyDescent="0.3">
      <c r="AA3775" s="37">
        <v>3755</v>
      </c>
      <c r="AB3775" s="37">
        <v>1.785408434828256</v>
      </c>
      <c r="AC3775" s="37">
        <v>2.6819143123292064</v>
      </c>
      <c r="AD3775" s="37">
        <v>3.2614061908636018</v>
      </c>
    </row>
    <row r="3776" spans="27:30" x14ac:dyDescent="0.3">
      <c r="AA3776" s="37">
        <v>3756</v>
      </c>
      <c r="AB3776" s="37">
        <v>1.8142424388790763</v>
      </c>
      <c r="AC3776" s="37">
        <v>2.8780316026629049</v>
      </c>
      <c r="AD3776" s="37">
        <v>3.1086768587401807</v>
      </c>
    </row>
    <row r="3777" spans="27:30" x14ac:dyDescent="0.3">
      <c r="AA3777" s="37">
        <v>3757</v>
      </c>
      <c r="AB3777" s="37">
        <v>1.7623981876832915</v>
      </c>
      <c r="AC3777" s="37">
        <v>2.8437678575812351</v>
      </c>
      <c r="AD3777" s="37">
        <v>3.338765441355537</v>
      </c>
    </row>
    <row r="3778" spans="27:30" x14ac:dyDescent="0.3">
      <c r="AA3778" s="37">
        <v>3758</v>
      </c>
      <c r="AB3778" s="37">
        <v>1.8299003377363969</v>
      </c>
      <c r="AC3778" s="37">
        <v>2.8784975380597695</v>
      </c>
      <c r="AD3778" s="37">
        <v>3.256683205052946</v>
      </c>
    </row>
    <row r="3779" spans="27:30" x14ac:dyDescent="0.3">
      <c r="AA3779" s="37">
        <v>3759</v>
      </c>
      <c r="AB3779" s="37">
        <v>1.7077566062316134</v>
      </c>
      <c r="AC3779" s="37">
        <v>2.7450490575894038</v>
      </c>
      <c r="AD3779" s="37">
        <v>3.425858377671434</v>
      </c>
    </row>
    <row r="3780" spans="27:30" x14ac:dyDescent="0.3">
      <c r="AA3780" s="37">
        <v>3760</v>
      </c>
      <c r="AB3780" s="37">
        <v>1.7689078531500932</v>
      </c>
      <c r="AC3780" s="37">
        <v>2.8717640301832472</v>
      </c>
      <c r="AD3780" s="37">
        <v>3.3493049003889666</v>
      </c>
    </row>
    <row r="3781" spans="27:30" x14ac:dyDescent="0.3">
      <c r="AA3781" s="37">
        <v>3761</v>
      </c>
      <c r="AB3781" s="37">
        <v>1.6769298402909596</v>
      </c>
      <c r="AC3781" s="37">
        <v>3.0124767596749575</v>
      </c>
      <c r="AD3781" s="37">
        <v>3.3249374942760106</v>
      </c>
    </row>
    <row r="3782" spans="27:30" x14ac:dyDescent="0.3">
      <c r="AA3782" s="37">
        <v>3762</v>
      </c>
      <c r="AB3782" s="37">
        <v>1.7799274574971629</v>
      </c>
      <c r="AC3782" s="37">
        <v>2.7408459709813773</v>
      </c>
      <c r="AD3782" s="37">
        <v>3.4223606024372346</v>
      </c>
    </row>
    <row r="3783" spans="27:30" x14ac:dyDescent="0.3">
      <c r="AA3783" s="37">
        <v>3763</v>
      </c>
      <c r="AB3783" s="37">
        <v>1.7873285433196271</v>
      </c>
      <c r="AC3783" s="37">
        <v>2.7607866293648722</v>
      </c>
      <c r="AD3783" s="37">
        <v>3.316656416643875</v>
      </c>
    </row>
    <row r="3784" spans="27:30" x14ac:dyDescent="0.3">
      <c r="AA3784" s="37">
        <v>3764</v>
      </c>
      <c r="AB3784" s="37">
        <v>1.761836910342371</v>
      </c>
      <c r="AC3784" s="37">
        <v>3.0901709074704797</v>
      </c>
      <c r="AD3784" s="37">
        <v>3.2846743068299236</v>
      </c>
    </row>
    <row r="3785" spans="27:30" x14ac:dyDescent="0.3">
      <c r="AA3785" s="37">
        <v>3765</v>
      </c>
      <c r="AB3785" s="37">
        <v>1.8517808336124053</v>
      </c>
      <c r="AC3785" s="37">
        <v>3.0159604362555146</v>
      </c>
      <c r="AD3785" s="37">
        <v>3.393680779661929</v>
      </c>
    </row>
    <row r="3786" spans="27:30" x14ac:dyDescent="0.3">
      <c r="AA3786" s="37">
        <v>3766</v>
      </c>
      <c r="AB3786" s="37">
        <v>1.8612117214304809</v>
      </c>
      <c r="AC3786" s="37">
        <v>2.7979909819377267</v>
      </c>
      <c r="AD3786" s="37">
        <v>3.2541431763311226</v>
      </c>
    </row>
    <row r="3787" spans="27:30" x14ac:dyDescent="0.3">
      <c r="AA3787" s="37">
        <v>3767</v>
      </c>
      <c r="AB3787" s="37">
        <v>1.785412377109926</v>
      </c>
      <c r="AC3787" s="37">
        <v>2.8763062003483837</v>
      </c>
      <c r="AD3787" s="37">
        <v>3.3322249998957649</v>
      </c>
    </row>
    <row r="3788" spans="27:30" x14ac:dyDescent="0.3">
      <c r="AA3788" s="37">
        <v>3768</v>
      </c>
      <c r="AB3788" s="37">
        <v>1.8166314861393738</v>
      </c>
      <c r="AC3788" s="37">
        <v>2.978768779626757</v>
      </c>
      <c r="AD3788" s="37">
        <v>3.3804162613408484</v>
      </c>
    </row>
    <row r="3789" spans="27:30" x14ac:dyDescent="0.3">
      <c r="AA3789" s="37">
        <v>3769</v>
      </c>
      <c r="AB3789" s="37">
        <v>1.8218710607014317</v>
      </c>
      <c r="AC3789" s="37">
        <v>2.832037670329711</v>
      </c>
      <c r="AD3789" s="37">
        <v>3.3419765412093629</v>
      </c>
    </row>
    <row r="3790" spans="27:30" x14ac:dyDescent="0.3">
      <c r="AA3790" s="37">
        <v>3770</v>
      </c>
      <c r="AB3790" s="37">
        <v>1.7698446515936082</v>
      </c>
      <c r="AC3790" s="37">
        <v>2.8069351272116032</v>
      </c>
      <c r="AD3790" s="37">
        <v>3.5060449985536715</v>
      </c>
    </row>
    <row r="3791" spans="27:30" x14ac:dyDescent="0.3">
      <c r="AA3791" s="37">
        <v>3771</v>
      </c>
      <c r="AB3791" s="37">
        <v>1.8836415611591746</v>
      </c>
      <c r="AC3791" s="37">
        <v>3.0363590548123427</v>
      </c>
      <c r="AD3791" s="37">
        <v>3.5449841562366378</v>
      </c>
    </row>
    <row r="3792" spans="27:30" x14ac:dyDescent="0.3">
      <c r="AA3792" s="37">
        <v>3772</v>
      </c>
      <c r="AB3792" s="37">
        <v>1.7407397840203886</v>
      </c>
      <c r="AC3792" s="37">
        <v>2.7882227196538154</v>
      </c>
      <c r="AD3792" s="37">
        <v>3.3172127098377544</v>
      </c>
    </row>
    <row r="3793" spans="27:30" x14ac:dyDescent="0.3">
      <c r="AA3793" s="37">
        <v>3773</v>
      </c>
      <c r="AB3793" s="37">
        <v>1.822090249790713</v>
      </c>
      <c r="AC3793" s="37">
        <v>2.8042832249500718</v>
      </c>
      <c r="AD3793" s="37">
        <v>3.0752221698987436</v>
      </c>
    </row>
    <row r="3794" spans="27:30" x14ac:dyDescent="0.3">
      <c r="AA3794" s="37">
        <v>3774</v>
      </c>
      <c r="AB3794" s="37">
        <v>1.7323561646699661</v>
      </c>
      <c r="AC3794" s="37">
        <v>2.9432222583556715</v>
      </c>
      <c r="AD3794" s="37">
        <v>3.2791729704331982</v>
      </c>
    </row>
    <row r="3795" spans="27:30" x14ac:dyDescent="0.3">
      <c r="AA3795" s="37">
        <v>3775</v>
      </c>
      <c r="AB3795" s="37">
        <v>1.810886160988584</v>
      </c>
      <c r="AC3795" s="37">
        <v>2.8561349913837768</v>
      </c>
      <c r="AD3795" s="37">
        <v>3.4499762954881903</v>
      </c>
    </row>
    <row r="3796" spans="27:30" x14ac:dyDescent="0.3">
      <c r="AA3796" s="37">
        <v>3776</v>
      </c>
      <c r="AB3796" s="37">
        <v>1.7513243763353179</v>
      </c>
      <c r="AC3796" s="37">
        <v>2.9633166193498437</v>
      </c>
      <c r="AD3796" s="37">
        <v>3.1727610192464306</v>
      </c>
    </row>
    <row r="3797" spans="27:30" x14ac:dyDescent="0.3">
      <c r="AA3797" s="37">
        <v>3777</v>
      </c>
      <c r="AB3797" s="37">
        <v>1.8102037005270566</v>
      </c>
      <c r="AC3797" s="37">
        <v>2.7931213437085516</v>
      </c>
      <c r="AD3797" s="37">
        <v>3.2646409847969249</v>
      </c>
    </row>
    <row r="3798" spans="27:30" x14ac:dyDescent="0.3">
      <c r="AA3798" s="37">
        <v>3778</v>
      </c>
      <c r="AB3798" s="37">
        <v>1.9216985226125602</v>
      </c>
      <c r="AC3798" s="37">
        <v>2.8310181935418326</v>
      </c>
      <c r="AD3798" s="37">
        <v>3.4543897339401952</v>
      </c>
    </row>
    <row r="3799" spans="27:30" x14ac:dyDescent="0.3">
      <c r="AA3799" s="37">
        <v>3779</v>
      </c>
      <c r="AB3799" s="37">
        <v>1.8081425166469618</v>
      </c>
      <c r="AC3799" s="37">
        <v>2.756670641435556</v>
      </c>
      <c r="AD3799" s="37">
        <v>3.4032160943587964</v>
      </c>
    </row>
    <row r="3800" spans="27:30" x14ac:dyDescent="0.3">
      <c r="AA3800" s="37">
        <v>3780</v>
      </c>
      <c r="AB3800" s="37">
        <v>1.8046303705695497</v>
      </c>
      <c r="AC3800" s="37">
        <v>2.7840147812043976</v>
      </c>
      <c r="AD3800" s="37">
        <v>3.524915851380011</v>
      </c>
    </row>
    <row r="3801" spans="27:30" x14ac:dyDescent="0.3">
      <c r="AA3801" s="37">
        <v>3781</v>
      </c>
      <c r="AB3801" s="37">
        <v>1.7425657250910567</v>
      </c>
      <c r="AC3801" s="37">
        <v>2.7068455910086024</v>
      </c>
      <c r="AD3801" s="37">
        <v>3.351103073154869</v>
      </c>
    </row>
    <row r="3802" spans="27:30" x14ac:dyDescent="0.3">
      <c r="AA3802" s="37">
        <v>3782</v>
      </c>
      <c r="AB3802" s="37">
        <v>1.7316031550880673</v>
      </c>
      <c r="AC3802" s="37">
        <v>2.669590842772076</v>
      </c>
      <c r="AD3802" s="37">
        <v>3.1788857991992829</v>
      </c>
    </row>
    <row r="3803" spans="27:30" x14ac:dyDescent="0.3">
      <c r="AA3803" s="37">
        <v>3783</v>
      </c>
      <c r="AB3803" s="37">
        <v>1.7557862590285198</v>
      </c>
      <c r="AC3803" s="37">
        <v>2.8358725742682869</v>
      </c>
      <c r="AD3803" s="37">
        <v>3.5084024076102462</v>
      </c>
    </row>
    <row r="3804" spans="27:30" x14ac:dyDescent="0.3">
      <c r="AA3804" s="37">
        <v>3784</v>
      </c>
      <c r="AB3804" s="37">
        <v>1.8327815376896459</v>
      </c>
      <c r="AC3804" s="37">
        <v>2.8926517694030678</v>
      </c>
      <c r="AD3804" s="37">
        <v>3.4455454738704026</v>
      </c>
    </row>
    <row r="3805" spans="27:30" x14ac:dyDescent="0.3">
      <c r="AA3805" s="37">
        <v>3785</v>
      </c>
      <c r="AB3805" s="37">
        <v>1.8681981213994601</v>
      </c>
      <c r="AC3805" s="37">
        <v>2.73245891639653</v>
      </c>
      <c r="AD3805" s="37">
        <v>3.2478777419001106</v>
      </c>
    </row>
    <row r="3806" spans="27:30" x14ac:dyDescent="0.3">
      <c r="AA3806" s="37">
        <v>3786</v>
      </c>
      <c r="AB3806" s="37">
        <v>1.7032686524377101</v>
      </c>
      <c r="AC3806" s="37">
        <v>2.7735810649695125</v>
      </c>
      <c r="AD3806" s="37">
        <v>3.6042543600520918</v>
      </c>
    </row>
    <row r="3807" spans="27:30" x14ac:dyDescent="0.3">
      <c r="AA3807" s="37">
        <v>3787</v>
      </c>
      <c r="AB3807" s="37">
        <v>1.8550959790248369</v>
      </c>
      <c r="AC3807" s="37">
        <v>2.8077140699891854</v>
      </c>
      <c r="AD3807" s="37">
        <v>3.5005995025182619</v>
      </c>
    </row>
    <row r="3808" spans="27:30" x14ac:dyDescent="0.3">
      <c r="AA3808" s="37">
        <v>3788</v>
      </c>
      <c r="AB3808" s="37">
        <v>1.7375840596541345</v>
      </c>
      <c r="AC3808" s="37">
        <v>2.7587635397542227</v>
      </c>
      <c r="AD3808" s="37">
        <v>3.2099818106707705</v>
      </c>
    </row>
    <row r="3809" spans="27:30" x14ac:dyDescent="0.3">
      <c r="AA3809" s="37">
        <v>3789</v>
      </c>
      <c r="AB3809" s="37">
        <v>1.7898900678941314</v>
      </c>
      <c r="AC3809" s="37">
        <v>2.8673858006613151</v>
      </c>
      <c r="AD3809" s="37">
        <v>3.3371074945483161</v>
      </c>
    </row>
    <row r="3810" spans="27:30" x14ac:dyDescent="0.3">
      <c r="AA3810" s="37">
        <v>3790</v>
      </c>
      <c r="AB3810" s="37">
        <v>1.7622727923653425</v>
      </c>
      <c r="AC3810" s="37">
        <v>2.6638543886889421</v>
      </c>
      <c r="AD3810" s="37">
        <v>3.4894371210462896</v>
      </c>
    </row>
    <row r="3811" spans="27:30" x14ac:dyDescent="0.3">
      <c r="AA3811" s="37">
        <v>3791</v>
      </c>
      <c r="AB3811" s="37">
        <v>1.784649552549141</v>
      </c>
      <c r="AC3811" s="37">
        <v>2.9453875758144363</v>
      </c>
      <c r="AD3811" s="37">
        <v>3.2537882111728429</v>
      </c>
    </row>
    <row r="3812" spans="27:30" x14ac:dyDescent="0.3">
      <c r="AA3812" s="37">
        <v>3792</v>
      </c>
      <c r="AB3812" s="37">
        <v>1.7635986159877248</v>
      </c>
      <c r="AC3812" s="37">
        <v>2.782488265122701</v>
      </c>
      <c r="AD3812" s="37">
        <v>3.3862500970359242</v>
      </c>
    </row>
    <row r="3813" spans="27:30" x14ac:dyDescent="0.3">
      <c r="AA3813" s="37">
        <v>3793</v>
      </c>
      <c r="AB3813" s="37">
        <v>1.848922241651229</v>
      </c>
      <c r="AC3813" s="37">
        <v>2.7123278263548625</v>
      </c>
      <c r="AD3813" s="37">
        <v>3.3227282287969691</v>
      </c>
    </row>
    <row r="3814" spans="27:30" x14ac:dyDescent="0.3">
      <c r="AA3814" s="37">
        <v>3794</v>
      </c>
      <c r="AB3814" s="37">
        <v>1.819276171304169</v>
      </c>
      <c r="AC3814" s="37">
        <v>2.9217011654238476</v>
      </c>
      <c r="AD3814" s="37">
        <v>3.3792136155120067</v>
      </c>
    </row>
    <row r="3815" spans="27:30" x14ac:dyDescent="0.3">
      <c r="AA3815" s="37">
        <v>3795</v>
      </c>
      <c r="AB3815" s="37">
        <v>1.8150396377715323</v>
      </c>
      <c r="AC3815" s="37">
        <v>2.8739635227489559</v>
      </c>
      <c r="AD3815" s="37">
        <v>3.3891935245449485</v>
      </c>
    </row>
    <row r="3816" spans="27:30" x14ac:dyDescent="0.3">
      <c r="AA3816" s="37">
        <v>3796</v>
      </c>
      <c r="AB3816" s="37">
        <v>1.7998468493846751</v>
      </c>
      <c r="AC3816" s="37">
        <v>2.7985289977581767</v>
      </c>
      <c r="AD3816" s="37">
        <v>3.418056750302557</v>
      </c>
    </row>
    <row r="3817" spans="27:30" x14ac:dyDescent="0.3">
      <c r="AA3817" s="37">
        <v>3797</v>
      </c>
      <c r="AB3817" s="37">
        <v>1.6826205441921362</v>
      </c>
      <c r="AC3817" s="37">
        <v>2.7920959927409181</v>
      </c>
      <c r="AD3817" s="37">
        <v>3.3910574351785892</v>
      </c>
    </row>
    <row r="3818" spans="27:30" x14ac:dyDescent="0.3">
      <c r="AA3818" s="37">
        <v>3798</v>
      </c>
      <c r="AB3818" s="37">
        <v>1.8880362855049311</v>
      </c>
      <c r="AC3818" s="37">
        <v>2.7658552158478602</v>
      </c>
      <c r="AD3818" s="37">
        <v>3.2323743821324173</v>
      </c>
    </row>
    <row r="3819" spans="27:30" x14ac:dyDescent="0.3">
      <c r="AA3819" s="37">
        <v>3799</v>
      </c>
      <c r="AB3819" s="37">
        <v>1.8409266211573365</v>
      </c>
      <c r="AC3819" s="37">
        <v>2.8241776569564263</v>
      </c>
      <c r="AD3819" s="37">
        <v>3.2719458879402281</v>
      </c>
    </row>
    <row r="3820" spans="27:30" x14ac:dyDescent="0.3">
      <c r="AA3820" s="37">
        <v>3800</v>
      </c>
      <c r="AB3820" s="37">
        <v>1.8183840230308406</v>
      </c>
      <c r="AC3820" s="37">
        <v>2.8554099393064072</v>
      </c>
      <c r="AD3820" s="37">
        <v>3.2864308127148876</v>
      </c>
    </row>
    <row r="3821" spans="27:30" x14ac:dyDescent="0.3">
      <c r="AA3821" s="37">
        <v>3801</v>
      </c>
      <c r="AB3821" s="37">
        <v>1.8513524589676853</v>
      </c>
      <c r="AC3821" s="37">
        <v>2.8797250470226583</v>
      </c>
      <c r="AD3821" s="37">
        <v>3.4410994607667367</v>
      </c>
    </row>
    <row r="3822" spans="27:30" x14ac:dyDescent="0.3">
      <c r="AA3822" s="37">
        <v>3802</v>
      </c>
      <c r="AB3822" s="37">
        <v>1.8431027707297771</v>
      </c>
      <c r="AC3822" s="37">
        <v>2.831069445135479</v>
      </c>
      <c r="AD3822" s="37">
        <v>2.9778902507811815</v>
      </c>
    </row>
    <row r="3823" spans="27:30" x14ac:dyDescent="0.3">
      <c r="AA3823" s="37">
        <v>3803</v>
      </c>
      <c r="AB3823" s="37">
        <v>1.7787352561571863</v>
      </c>
      <c r="AC3823" s="37">
        <v>2.9488473393488217</v>
      </c>
      <c r="AD3823" s="37">
        <v>3.5472104686576764</v>
      </c>
    </row>
    <row r="3824" spans="27:30" x14ac:dyDescent="0.3">
      <c r="AA3824" s="37">
        <v>3804</v>
      </c>
      <c r="AB3824" s="37">
        <v>1.7264193022113046</v>
      </c>
      <c r="AC3824" s="37">
        <v>2.9410531939674027</v>
      </c>
      <c r="AD3824" s="37">
        <v>3.3242083388803749</v>
      </c>
    </row>
    <row r="3825" spans="27:30" x14ac:dyDescent="0.3">
      <c r="AA3825" s="37">
        <v>3805</v>
      </c>
      <c r="AB3825" s="37">
        <v>1.8357246660641635</v>
      </c>
      <c r="AC3825" s="37">
        <v>2.6684882525929132</v>
      </c>
      <c r="AD3825" s="37">
        <v>3.0893307282384788</v>
      </c>
    </row>
    <row r="3826" spans="27:30" x14ac:dyDescent="0.3">
      <c r="AA3826" s="37">
        <v>3806</v>
      </c>
      <c r="AB3826" s="37">
        <v>1.7386746430530216</v>
      </c>
      <c r="AC3826" s="37">
        <v>2.7056497722060011</v>
      </c>
      <c r="AD3826" s="37">
        <v>3.2554318984170987</v>
      </c>
    </row>
    <row r="3827" spans="27:30" x14ac:dyDescent="0.3">
      <c r="AA3827" s="37">
        <v>3807</v>
      </c>
      <c r="AB3827" s="37">
        <v>1.7679896126273396</v>
      </c>
      <c r="AC3827" s="37">
        <v>3.0708994117409971</v>
      </c>
      <c r="AD3827" s="37">
        <v>3.2190793943686677</v>
      </c>
    </row>
    <row r="3828" spans="27:30" x14ac:dyDescent="0.3">
      <c r="AA3828" s="37">
        <v>3808</v>
      </c>
      <c r="AB3828" s="37">
        <v>1.7823010798143413</v>
      </c>
      <c r="AC3828" s="37">
        <v>2.76532841882953</v>
      </c>
      <c r="AD3828" s="37">
        <v>3.328411693724568</v>
      </c>
    </row>
    <row r="3829" spans="27:30" x14ac:dyDescent="0.3">
      <c r="AA3829" s="37">
        <v>3809</v>
      </c>
      <c r="AB3829" s="37">
        <v>1.7258435144753537</v>
      </c>
      <c r="AC3829" s="37">
        <v>2.6586759442572854</v>
      </c>
      <c r="AD3829" s="37">
        <v>3.2397201499042039</v>
      </c>
    </row>
    <row r="3830" spans="27:30" x14ac:dyDescent="0.3">
      <c r="AA3830" s="37">
        <v>3810</v>
      </c>
      <c r="AB3830" s="37">
        <v>1.6919161567997973</v>
      </c>
      <c r="AC3830" s="37">
        <v>2.860673042236392</v>
      </c>
      <c r="AD3830" s="37">
        <v>3.3322229515739985</v>
      </c>
    </row>
    <row r="3831" spans="27:30" x14ac:dyDescent="0.3">
      <c r="AA3831" s="37">
        <v>3811</v>
      </c>
      <c r="AB3831" s="37">
        <v>1.8120521757592354</v>
      </c>
      <c r="AC3831" s="37">
        <v>2.8275413418059707</v>
      </c>
      <c r="AD3831" s="37">
        <v>3.2252886998149224</v>
      </c>
    </row>
    <row r="3832" spans="27:30" x14ac:dyDescent="0.3">
      <c r="AA3832" s="37">
        <v>3812</v>
      </c>
      <c r="AB3832" s="37">
        <v>1.7542955943912779</v>
      </c>
      <c r="AC3832" s="37">
        <v>2.7365407898171012</v>
      </c>
      <c r="AD3832" s="37">
        <v>3.319255864876578</v>
      </c>
    </row>
    <row r="3833" spans="27:30" x14ac:dyDescent="0.3">
      <c r="AA3833" s="37">
        <v>3813</v>
      </c>
      <c r="AB3833" s="37">
        <v>1.7716391163745453</v>
      </c>
      <c r="AC3833" s="37">
        <v>2.714096847998746</v>
      </c>
      <c r="AD3833" s="37">
        <v>3.3411812655416999</v>
      </c>
    </row>
    <row r="3834" spans="27:30" x14ac:dyDescent="0.3">
      <c r="AA3834" s="37">
        <v>3814</v>
      </c>
      <c r="AB3834" s="37">
        <v>1.854726274972379</v>
      </c>
      <c r="AC3834" s="37">
        <v>2.9297847135494206</v>
      </c>
      <c r="AD3834" s="37">
        <v>3.4582003521394107</v>
      </c>
    </row>
    <row r="3835" spans="27:30" x14ac:dyDescent="0.3">
      <c r="AA3835" s="37">
        <v>3815</v>
      </c>
      <c r="AB3835" s="37">
        <v>1.8865640902994147</v>
      </c>
      <c r="AC3835" s="37">
        <v>2.8116796195845359</v>
      </c>
      <c r="AD3835" s="37">
        <v>3.3022465058961941</v>
      </c>
    </row>
    <row r="3836" spans="27:30" x14ac:dyDescent="0.3">
      <c r="AA3836" s="37">
        <v>3816</v>
      </c>
      <c r="AB3836" s="37">
        <v>1.8202457650723998</v>
      </c>
      <c r="AC3836" s="37">
        <v>2.9403273987517498</v>
      </c>
      <c r="AD3836" s="37">
        <v>3.4970971146077665</v>
      </c>
    </row>
    <row r="3837" spans="27:30" x14ac:dyDescent="0.3">
      <c r="AA3837" s="37">
        <v>3817</v>
      </c>
      <c r="AB3837" s="37">
        <v>1.7842217761225936</v>
      </c>
      <c r="AC3837" s="37">
        <v>2.8557284517942318</v>
      </c>
      <c r="AD3837" s="37">
        <v>3.3942286962721511</v>
      </c>
    </row>
    <row r="3838" spans="27:30" x14ac:dyDescent="0.3">
      <c r="AA3838" s="37">
        <v>3818</v>
      </c>
      <c r="AB3838" s="37">
        <v>1.7311547672432839</v>
      </c>
      <c r="AC3838" s="37">
        <v>2.8942123096383821</v>
      </c>
      <c r="AD3838" s="37">
        <v>3.2694218296718769</v>
      </c>
    </row>
    <row r="3839" spans="27:30" x14ac:dyDescent="0.3">
      <c r="AA3839" s="37">
        <v>3819</v>
      </c>
      <c r="AB3839" s="37">
        <v>1.7751139751132912</v>
      </c>
      <c r="AC3839" s="37">
        <v>2.7712638735203194</v>
      </c>
      <c r="AD3839" s="37">
        <v>3.2168128601333659</v>
      </c>
    </row>
    <row r="3840" spans="27:30" x14ac:dyDescent="0.3">
      <c r="AA3840" s="37">
        <v>3820</v>
      </c>
      <c r="AB3840" s="37">
        <v>1.8188408713626483</v>
      </c>
      <c r="AC3840" s="37">
        <v>2.9962363898123514</v>
      </c>
      <c r="AD3840" s="37">
        <v>3.2174509456659464</v>
      </c>
    </row>
    <row r="3841" spans="27:30" x14ac:dyDescent="0.3">
      <c r="AA3841" s="37">
        <v>3821</v>
      </c>
      <c r="AB3841" s="37">
        <v>1.7661129431973013</v>
      </c>
      <c r="AC3841" s="37">
        <v>2.7852630994139971</v>
      </c>
      <c r="AD3841" s="37">
        <v>3.2009959019124317</v>
      </c>
    </row>
    <row r="3842" spans="27:30" x14ac:dyDescent="0.3">
      <c r="AA3842" s="37">
        <v>3822</v>
      </c>
      <c r="AB3842" s="37">
        <v>1.8909220957842736</v>
      </c>
      <c r="AC3842" s="37">
        <v>2.9228888691225445</v>
      </c>
      <c r="AD3842" s="37">
        <v>3.3122069872868978</v>
      </c>
    </row>
    <row r="3843" spans="27:30" x14ac:dyDescent="0.3">
      <c r="AA3843" s="37">
        <v>3823</v>
      </c>
      <c r="AB3843" s="37">
        <v>1.9026738886652212</v>
      </c>
      <c r="AC3843" s="37">
        <v>2.8637449050044825</v>
      </c>
      <c r="AD3843" s="37">
        <v>3.4292236250433681</v>
      </c>
    </row>
    <row r="3844" spans="27:30" x14ac:dyDescent="0.3">
      <c r="AA3844" s="37">
        <v>3824</v>
      </c>
      <c r="AB3844" s="37">
        <v>1.8625471336002744</v>
      </c>
      <c r="AC3844" s="37">
        <v>2.7570495685114427</v>
      </c>
      <c r="AD3844" s="37">
        <v>3.3822763938951939</v>
      </c>
    </row>
    <row r="3845" spans="27:30" x14ac:dyDescent="0.3">
      <c r="AA3845" s="37">
        <v>3825</v>
      </c>
      <c r="AB3845" s="37">
        <v>1.7563263906666027</v>
      </c>
      <c r="AC3845" s="37">
        <v>3.0366486295795938</v>
      </c>
      <c r="AD3845" s="37">
        <v>3.3834351270795522</v>
      </c>
    </row>
    <row r="3846" spans="27:30" x14ac:dyDescent="0.3">
      <c r="AA3846" s="37">
        <v>3826</v>
      </c>
      <c r="AB3846" s="37">
        <v>1.7606926615671361</v>
      </c>
      <c r="AC3846" s="37">
        <v>2.8249547211544641</v>
      </c>
      <c r="AD3846" s="37">
        <v>3.3635232698101976</v>
      </c>
    </row>
    <row r="3847" spans="27:30" x14ac:dyDescent="0.3">
      <c r="AA3847" s="37">
        <v>3827</v>
      </c>
      <c r="AB3847" s="37">
        <v>1.853971668328656</v>
      </c>
      <c r="AC3847" s="37">
        <v>2.890737315499003</v>
      </c>
      <c r="AD3847" s="37">
        <v>3.2945961984702601</v>
      </c>
    </row>
    <row r="3848" spans="27:30" x14ac:dyDescent="0.3">
      <c r="AA3848" s="37">
        <v>3828</v>
      </c>
      <c r="AB3848" s="37">
        <v>1.8296078831804585</v>
      </c>
      <c r="AC3848" s="37">
        <v>2.8524853169536852</v>
      </c>
      <c r="AD3848" s="37">
        <v>3.3076908435634702</v>
      </c>
    </row>
    <row r="3849" spans="27:30" x14ac:dyDescent="0.3">
      <c r="AA3849" s="37">
        <v>3829</v>
      </c>
      <c r="AB3849" s="37">
        <v>1.7941613984639615</v>
      </c>
      <c r="AC3849" s="37">
        <v>2.8544432777311783</v>
      </c>
      <c r="AD3849" s="37">
        <v>3.4578333973117785</v>
      </c>
    </row>
    <row r="3850" spans="27:30" x14ac:dyDescent="0.3">
      <c r="AA3850" s="37">
        <v>3830</v>
      </c>
      <c r="AB3850" s="37">
        <v>1.8625813844118544</v>
      </c>
      <c r="AC3850" s="37">
        <v>2.7003887179542416</v>
      </c>
      <c r="AD3850" s="37">
        <v>3.4357019300321587</v>
      </c>
    </row>
    <row r="3851" spans="27:30" x14ac:dyDescent="0.3">
      <c r="AA3851" s="37">
        <v>3831</v>
      </c>
      <c r="AB3851" s="37">
        <v>1.795730565229438</v>
      </c>
      <c r="AC3851" s="37">
        <v>2.9888375676203807</v>
      </c>
      <c r="AD3851" s="37">
        <v>3.5066581697516708</v>
      </c>
    </row>
    <row r="3852" spans="27:30" x14ac:dyDescent="0.3">
      <c r="AA3852" s="37">
        <v>3832</v>
      </c>
      <c r="AB3852" s="37">
        <v>1.8063732643011616</v>
      </c>
      <c r="AC3852" s="37">
        <v>2.756058028725771</v>
      </c>
      <c r="AD3852" s="37">
        <v>3.3548815194672668</v>
      </c>
    </row>
    <row r="3853" spans="27:30" x14ac:dyDescent="0.3">
      <c r="AA3853" s="37">
        <v>3833</v>
      </c>
      <c r="AB3853" s="37">
        <v>1.8636522468967596</v>
      </c>
      <c r="AC3853" s="37">
        <v>3.0021412547172632</v>
      </c>
      <c r="AD3853" s="37">
        <v>3.2078592171284734</v>
      </c>
    </row>
    <row r="3854" spans="27:30" x14ac:dyDescent="0.3">
      <c r="AA3854" s="37">
        <v>3834</v>
      </c>
      <c r="AB3854" s="37">
        <v>1.8422051153761805</v>
      </c>
      <c r="AC3854" s="37">
        <v>2.8830490600105847</v>
      </c>
      <c r="AD3854" s="37">
        <v>3.4156498091016023</v>
      </c>
    </row>
    <row r="3855" spans="27:30" x14ac:dyDescent="0.3">
      <c r="AA3855" s="37">
        <v>3835</v>
      </c>
      <c r="AB3855" s="37">
        <v>1.7917727262768561</v>
      </c>
      <c r="AC3855" s="37">
        <v>2.8257775743789417</v>
      </c>
      <c r="AD3855" s="37">
        <v>3.3755478941912309</v>
      </c>
    </row>
    <row r="3856" spans="27:30" x14ac:dyDescent="0.3">
      <c r="AA3856" s="37">
        <v>3836</v>
      </c>
      <c r="AB3856" s="37">
        <v>1.7327072433343877</v>
      </c>
      <c r="AC3856" s="37">
        <v>2.7311821605983737</v>
      </c>
      <c r="AD3856" s="37">
        <v>3.3272546498771667</v>
      </c>
    </row>
    <row r="3857" spans="27:30" x14ac:dyDescent="0.3">
      <c r="AA3857" s="37">
        <v>3837</v>
      </c>
      <c r="AB3857" s="37">
        <v>1.8870334009164429</v>
      </c>
      <c r="AC3857" s="37">
        <v>2.9091734321796014</v>
      </c>
      <c r="AD3857" s="37">
        <v>3.3314933815950813</v>
      </c>
    </row>
    <row r="3858" spans="27:30" x14ac:dyDescent="0.3">
      <c r="AA3858" s="37">
        <v>3838</v>
      </c>
      <c r="AB3858" s="37">
        <v>1.8321567227632165</v>
      </c>
      <c r="AC3858" s="37">
        <v>2.8015164056514079</v>
      </c>
      <c r="AD3858" s="37">
        <v>3.7002900575698017</v>
      </c>
    </row>
    <row r="3859" spans="27:30" x14ac:dyDescent="0.3">
      <c r="AA3859" s="37">
        <v>3839</v>
      </c>
      <c r="AB3859" s="37">
        <v>1.8409534310872651</v>
      </c>
      <c r="AC3859" s="37">
        <v>2.774297750914926</v>
      </c>
      <c r="AD3859" s="37">
        <v>3.3646317851068779</v>
      </c>
    </row>
    <row r="3860" spans="27:30" x14ac:dyDescent="0.3">
      <c r="AA3860" s="37">
        <v>3840</v>
      </c>
      <c r="AB3860" s="37">
        <v>1.8407745381922798</v>
      </c>
      <c r="AC3860" s="37">
        <v>2.6780533479661037</v>
      </c>
      <c r="AD3860" s="37">
        <v>3.2272543390357522</v>
      </c>
    </row>
    <row r="3861" spans="27:30" x14ac:dyDescent="0.3">
      <c r="AA3861" s="37">
        <v>3841</v>
      </c>
      <c r="AB3861" s="37">
        <v>1.806188455061648</v>
      </c>
      <c r="AC3861" s="37">
        <v>2.7910413037079462</v>
      </c>
      <c r="AD3861" s="37">
        <v>3.1472446595387114</v>
      </c>
    </row>
    <row r="3862" spans="27:30" x14ac:dyDescent="0.3">
      <c r="AA3862" s="37">
        <v>3842</v>
      </c>
      <c r="AB3862" s="37">
        <v>1.7096340360800264</v>
      </c>
      <c r="AC3862" s="37">
        <v>2.9757548184834555</v>
      </c>
      <c r="AD3862" s="37">
        <v>3.2380552318137958</v>
      </c>
    </row>
    <row r="3863" spans="27:30" x14ac:dyDescent="0.3">
      <c r="AA3863" s="37">
        <v>3843</v>
      </c>
      <c r="AB3863" s="37">
        <v>1.7169668274596979</v>
      </c>
      <c r="AC3863" s="37">
        <v>2.9359358618977294</v>
      </c>
      <c r="AD3863" s="37">
        <v>3.3027741864870763</v>
      </c>
    </row>
    <row r="3864" spans="27:30" x14ac:dyDescent="0.3">
      <c r="AA3864" s="37">
        <v>3844</v>
      </c>
      <c r="AB3864" s="37">
        <v>1.8309841192970802</v>
      </c>
      <c r="AC3864" s="37">
        <v>2.9440460291948338</v>
      </c>
      <c r="AD3864" s="37">
        <v>3.3475504418686031</v>
      </c>
    </row>
    <row r="3865" spans="27:30" x14ac:dyDescent="0.3">
      <c r="AA3865" s="37">
        <v>3845</v>
      </c>
      <c r="AB3865" s="37">
        <v>1.9381055266930471</v>
      </c>
      <c r="AC3865" s="37">
        <v>2.8084055421286962</v>
      </c>
      <c r="AD3865" s="37">
        <v>3.439192484119924</v>
      </c>
    </row>
    <row r="3866" spans="27:30" x14ac:dyDescent="0.3">
      <c r="AA3866" s="37">
        <v>3846</v>
      </c>
      <c r="AB3866" s="37">
        <v>1.8729939958137831</v>
      </c>
      <c r="AC3866" s="37">
        <v>2.9482333625249435</v>
      </c>
      <c r="AD3866" s="37">
        <v>3.3825046017580056</v>
      </c>
    </row>
    <row r="3867" spans="27:30" x14ac:dyDescent="0.3">
      <c r="AA3867" s="37">
        <v>3847</v>
      </c>
      <c r="AB3867" s="37">
        <v>1.801577129175111</v>
      </c>
      <c r="AC3867" s="37">
        <v>3.0882975596822062</v>
      </c>
      <c r="AD3867" s="37">
        <v>3.4588264394594117</v>
      </c>
    </row>
    <row r="3868" spans="27:30" x14ac:dyDescent="0.3">
      <c r="AA3868" s="37">
        <v>3848</v>
      </c>
      <c r="AB3868" s="37">
        <v>1.8673168130236184</v>
      </c>
      <c r="AC3868" s="37">
        <v>2.9210118851051927</v>
      </c>
      <c r="AD3868" s="37">
        <v>3.3805000268813892</v>
      </c>
    </row>
    <row r="3869" spans="27:30" x14ac:dyDescent="0.3">
      <c r="AA3869" s="37">
        <v>3849</v>
      </c>
      <c r="AB3869" s="37">
        <v>1.8368745336952566</v>
      </c>
      <c r="AC3869" s="37">
        <v>2.8845362387000559</v>
      </c>
      <c r="AD3869" s="37">
        <v>3.3009945573271406</v>
      </c>
    </row>
    <row r="3870" spans="27:30" x14ac:dyDescent="0.3">
      <c r="AA3870" s="37">
        <v>3850</v>
      </c>
      <c r="AB3870" s="37">
        <v>1.8301662210610528</v>
      </c>
      <c r="AC3870" s="37">
        <v>2.9493519040837262</v>
      </c>
      <c r="AD3870" s="37">
        <v>3.1625790836392569</v>
      </c>
    </row>
    <row r="3871" spans="27:30" x14ac:dyDescent="0.3">
      <c r="AA3871" s="37">
        <v>3851</v>
      </c>
      <c r="AB3871" s="37">
        <v>1.7507117124765346</v>
      </c>
      <c r="AC3871" s="37">
        <v>3.0441702384579248</v>
      </c>
      <c r="AD3871" s="37">
        <v>3.1328308692108009</v>
      </c>
    </row>
    <row r="3872" spans="27:30" x14ac:dyDescent="0.3">
      <c r="AA3872" s="37">
        <v>3852</v>
      </c>
      <c r="AB3872" s="37">
        <v>1.8958767186828405</v>
      </c>
      <c r="AC3872" s="37">
        <v>2.6876677405790428</v>
      </c>
      <c r="AD3872" s="37">
        <v>3.4735851064752237</v>
      </c>
    </row>
    <row r="3873" spans="27:30" x14ac:dyDescent="0.3">
      <c r="AA3873" s="37">
        <v>3853</v>
      </c>
      <c r="AB3873" s="37">
        <v>1.7680274780234924</v>
      </c>
      <c r="AC3873" s="37">
        <v>3.05994259160977</v>
      </c>
      <c r="AD3873" s="37">
        <v>3.4065222157067376</v>
      </c>
    </row>
    <row r="3874" spans="27:30" x14ac:dyDescent="0.3">
      <c r="AA3874" s="37">
        <v>3854</v>
      </c>
      <c r="AB3874" s="37">
        <v>1.6908943849188998</v>
      </c>
      <c r="AC3874" s="37">
        <v>2.8162704399157077</v>
      </c>
      <c r="AD3874" s="37">
        <v>3.5021627808724807</v>
      </c>
    </row>
    <row r="3875" spans="27:30" x14ac:dyDescent="0.3">
      <c r="AA3875" s="37">
        <v>3855</v>
      </c>
      <c r="AB3875" s="37">
        <v>1.8475478532653553</v>
      </c>
      <c r="AC3875" s="37">
        <v>2.914243734886719</v>
      </c>
      <c r="AD3875" s="37">
        <v>3.3243947502655469</v>
      </c>
    </row>
    <row r="3876" spans="27:30" x14ac:dyDescent="0.3">
      <c r="AA3876" s="37">
        <v>3856</v>
      </c>
      <c r="AB3876" s="37">
        <v>1.7351118022500593</v>
      </c>
      <c r="AC3876" s="37">
        <v>2.7740736081697492</v>
      </c>
      <c r="AD3876" s="37">
        <v>3.4129903244248054</v>
      </c>
    </row>
    <row r="3877" spans="27:30" x14ac:dyDescent="0.3">
      <c r="AA3877" s="37">
        <v>3857</v>
      </c>
      <c r="AB3877" s="37">
        <v>1.8411427413790449</v>
      </c>
      <c r="AC3877" s="37">
        <v>2.9012186804745537</v>
      </c>
      <c r="AD3877" s="37">
        <v>3.3859683122478761</v>
      </c>
    </row>
    <row r="3878" spans="27:30" x14ac:dyDescent="0.3">
      <c r="AA3878" s="37">
        <v>3858</v>
      </c>
      <c r="AB3878" s="37">
        <v>1.7417570767733306</v>
      </c>
      <c r="AC3878" s="37">
        <v>2.8538323686657732</v>
      </c>
      <c r="AD3878" s="37">
        <v>3.5283318896646825</v>
      </c>
    </row>
    <row r="3879" spans="27:30" x14ac:dyDescent="0.3">
      <c r="AA3879" s="37">
        <v>3859</v>
      </c>
      <c r="AB3879" s="37">
        <v>1.6527149021198564</v>
      </c>
      <c r="AC3879" s="37">
        <v>2.95306589937922</v>
      </c>
      <c r="AD3879" s="37">
        <v>3.4778622091886664</v>
      </c>
    </row>
    <row r="3880" spans="27:30" x14ac:dyDescent="0.3">
      <c r="AA3880" s="37">
        <v>3860</v>
      </c>
      <c r="AB3880" s="37">
        <v>1.7784626017499077</v>
      </c>
      <c r="AC3880" s="37">
        <v>3.0887919018551462</v>
      </c>
      <c r="AD3880" s="37">
        <v>3.1768650959006446</v>
      </c>
    </row>
    <row r="3881" spans="27:30" x14ac:dyDescent="0.3">
      <c r="AA3881" s="37">
        <v>3861</v>
      </c>
      <c r="AB3881" s="37">
        <v>1.7310129214894443</v>
      </c>
      <c r="AC3881" s="37">
        <v>2.9843361085335456</v>
      </c>
      <c r="AD3881" s="37">
        <v>3.3516283364812565</v>
      </c>
    </row>
    <row r="3882" spans="27:30" x14ac:dyDescent="0.3">
      <c r="AA3882" s="37">
        <v>3862</v>
      </c>
      <c r="AB3882" s="37">
        <v>1.7468841734268115</v>
      </c>
      <c r="AC3882" s="37">
        <v>2.9555028672217678</v>
      </c>
      <c r="AD3882" s="37">
        <v>3.5191489276655905</v>
      </c>
    </row>
    <row r="3883" spans="27:30" x14ac:dyDescent="0.3">
      <c r="AA3883" s="37">
        <v>3863</v>
      </c>
      <c r="AB3883" s="37">
        <v>1.8083616916515097</v>
      </c>
      <c r="AC3883" s="37">
        <v>2.8299556386706741</v>
      </c>
      <c r="AD3883" s="37">
        <v>3.5483344666878645</v>
      </c>
    </row>
    <row r="3884" spans="27:30" x14ac:dyDescent="0.3">
      <c r="AA3884" s="37">
        <v>3864</v>
      </c>
      <c r="AB3884" s="37">
        <v>1.7531347754067901</v>
      </c>
      <c r="AC3884" s="37">
        <v>2.8148167959656716</v>
      </c>
      <c r="AD3884" s="37">
        <v>3.4466934668558054</v>
      </c>
    </row>
    <row r="3885" spans="27:30" x14ac:dyDescent="0.3">
      <c r="AA3885" s="37">
        <v>3865</v>
      </c>
      <c r="AB3885" s="37">
        <v>1.7716952665785339</v>
      </c>
      <c r="AC3885" s="37">
        <v>2.8560913587858678</v>
      </c>
      <c r="AD3885" s="37">
        <v>3.3256638847736659</v>
      </c>
    </row>
    <row r="3886" spans="27:30" x14ac:dyDescent="0.3">
      <c r="AA3886" s="37">
        <v>3866</v>
      </c>
      <c r="AB3886" s="37">
        <v>1.7342392520514953</v>
      </c>
      <c r="AC3886" s="37">
        <v>2.6572085968629149</v>
      </c>
      <c r="AD3886" s="37">
        <v>3.5339444195783356</v>
      </c>
    </row>
    <row r="3887" spans="27:30" x14ac:dyDescent="0.3">
      <c r="AA3887" s="37">
        <v>3867</v>
      </c>
      <c r="AB3887" s="37">
        <v>1.6662936449352386</v>
      </c>
      <c r="AC3887" s="37">
        <v>2.730621908164462</v>
      </c>
      <c r="AD3887" s="37">
        <v>3.4799231888009445</v>
      </c>
    </row>
    <row r="3888" spans="27:30" x14ac:dyDescent="0.3">
      <c r="AA3888" s="37">
        <v>3868</v>
      </c>
      <c r="AB3888" s="37">
        <v>1.8146412374999896</v>
      </c>
      <c r="AC3888" s="37">
        <v>2.7222446939755751</v>
      </c>
      <c r="AD3888" s="37">
        <v>3.0768233984015829</v>
      </c>
    </row>
    <row r="3889" spans="27:30" x14ac:dyDescent="0.3">
      <c r="AA3889" s="37">
        <v>3869</v>
      </c>
      <c r="AB3889" s="37">
        <v>1.8981726837424293</v>
      </c>
      <c r="AC3889" s="37">
        <v>2.7956206480348893</v>
      </c>
      <c r="AD3889" s="37">
        <v>3.4476600807732432</v>
      </c>
    </row>
    <row r="3890" spans="27:30" x14ac:dyDescent="0.3">
      <c r="AA3890" s="37">
        <v>3870</v>
      </c>
      <c r="AB3890" s="37">
        <v>1.78986411065913</v>
      </c>
      <c r="AC3890" s="37">
        <v>2.6956271582354683</v>
      </c>
      <c r="AD3890" s="37">
        <v>3.5166711841853129</v>
      </c>
    </row>
    <row r="3891" spans="27:30" x14ac:dyDescent="0.3">
      <c r="AA3891" s="37">
        <v>3871</v>
      </c>
      <c r="AB3891" s="37">
        <v>1.6341164662773795</v>
      </c>
      <c r="AC3891" s="37">
        <v>3.0967124899591125</v>
      </c>
      <c r="AD3891" s="37">
        <v>3.1776236648366147</v>
      </c>
    </row>
    <row r="3892" spans="27:30" x14ac:dyDescent="0.3">
      <c r="AA3892" s="37">
        <v>3872</v>
      </c>
      <c r="AB3892" s="37">
        <v>1.8636025384018056</v>
      </c>
      <c r="AC3892" s="37">
        <v>2.9822753258094785</v>
      </c>
      <c r="AD3892" s="37">
        <v>3.4314887879972864</v>
      </c>
    </row>
    <row r="3893" spans="27:30" x14ac:dyDescent="0.3">
      <c r="AA3893" s="37">
        <v>3873</v>
      </c>
      <c r="AB3893" s="37">
        <v>1.7271766724452926</v>
      </c>
      <c r="AC3893" s="37">
        <v>2.8961148856735832</v>
      </c>
      <c r="AD3893" s="37">
        <v>3.354155404767305</v>
      </c>
    </row>
    <row r="3894" spans="27:30" x14ac:dyDescent="0.3">
      <c r="AA3894" s="37">
        <v>3874</v>
      </c>
      <c r="AB3894" s="37">
        <v>1.6240598183747978</v>
      </c>
      <c r="AC3894" s="37">
        <v>2.9151818305288186</v>
      </c>
      <c r="AD3894" s="37">
        <v>3.416181076753626</v>
      </c>
    </row>
    <row r="3895" spans="27:30" x14ac:dyDescent="0.3">
      <c r="AA3895" s="37">
        <v>3875</v>
      </c>
      <c r="AB3895" s="37">
        <v>1.8551980459359771</v>
      </c>
      <c r="AC3895" s="37">
        <v>2.7377407622919177</v>
      </c>
      <c r="AD3895" s="37">
        <v>3.2930592756788548</v>
      </c>
    </row>
    <row r="3896" spans="27:30" x14ac:dyDescent="0.3">
      <c r="AA3896" s="37">
        <v>3876</v>
      </c>
      <c r="AB3896" s="37">
        <v>1.9015368122996563</v>
      </c>
      <c r="AC3896" s="37">
        <v>2.7225088464698843</v>
      </c>
      <c r="AD3896" s="37">
        <v>3.3290930507001812</v>
      </c>
    </row>
    <row r="3897" spans="27:30" x14ac:dyDescent="0.3">
      <c r="AA3897" s="37">
        <v>3877</v>
      </c>
      <c r="AB3897" s="37">
        <v>1.8803953548723431</v>
      </c>
      <c r="AC3897" s="37">
        <v>2.8290219741630764</v>
      </c>
      <c r="AD3897" s="37">
        <v>3.3593040067391353</v>
      </c>
    </row>
    <row r="3898" spans="27:30" x14ac:dyDescent="0.3">
      <c r="AA3898" s="37">
        <v>3878</v>
      </c>
      <c r="AB3898" s="37">
        <v>1.8048211344385214</v>
      </c>
      <c r="AC3898" s="37">
        <v>2.9043599756696978</v>
      </c>
      <c r="AD3898" s="37">
        <v>3.2643601659558477</v>
      </c>
    </row>
    <row r="3899" spans="27:30" x14ac:dyDescent="0.3">
      <c r="AA3899" s="37">
        <v>3879</v>
      </c>
      <c r="AB3899" s="37">
        <v>1.7414468690505054</v>
      </c>
      <c r="AC3899" s="37">
        <v>2.8740114351118633</v>
      </c>
      <c r="AD3899" s="37">
        <v>3.1522604123361404</v>
      </c>
    </row>
    <row r="3900" spans="27:30" x14ac:dyDescent="0.3">
      <c r="AA3900" s="37">
        <v>3880</v>
      </c>
      <c r="AB3900" s="37">
        <v>1.7518800168922888</v>
      </c>
      <c r="AC3900" s="37">
        <v>2.8396469234859301</v>
      </c>
      <c r="AD3900" s="37">
        <v>3.3425033762810297</v>
      </c>
    </row>
    <row r="3901" spans="27:30" x14ac:dyDescent="0.3">
      <c r="AA3901" s="37">
        <v>3881</v>
      </c>
      <c r="AB3901" s="37">
        <v>1.8046575512419309</v>
      </c>
      <c r="AC3901" s="37">
        <v>2.7219998109931556</v>
      </c>
      <c r="AD3901" s="37">
        <v>3.4124272072534287</v>
      </c>
    </row>
    <row r="3902" spans="27:30" x14ac:dyDescent="0.3">
      <c r="AA3902" s="37">
        <v>3882</v>
      </c>
      <c r="AB3902" s="37">
        <v>1.8611615774326891</v>
      </c>
      <c r="AC3902" s="37">
        <v>2.9572746346127201</v>
      </c>
      <c r="AD3902" s="37">
        <v>3.3920029993311469</v>
      </c>
    </row>
    <row r="3903" spans="27:30" x14ac:dyDescent="0.3">
      <c r="AA3903" s="37">
        <v>3883</v>
      </c>
      <c r="AB3903" s="37">
        <v>1.8308182563202435</v>
      </c>
      <c r="AC3903" s="37">
        <v>2.68472861893965</v>
      </c>
      <c r="AD3903" s="37">
        <v>3.3402784061832058</v>
      </c>
    </row>
    <row r="3904" spans="27:30" x14ac:dyDescent="0.3">
      <c r="AA3904" s="37">
        <v>3884</v>
      </c>
      <c r="AB3904" s="37">
        <v>1.7947456738434331</v>
      </c>
      <c r="AC3904" s="37">
        <v>2.8507845937742529</v>
      </c>
      <c r="AD3904" s="37">
        <v>3.4782861727682088</v>
      </c>
    </row>
    <row r="3905" spans="27:30" x14ac:dyDescent="0.3">
      <c r="AA3905" s="37">
        <v>3885</v>
      </c>
      <c r="AB3905" s="37">
        <v>1.8346390159469341</v>
      </c>
      <c r="AC3905" s="37">
        <v>2.7565174976361417</v>
      </c>
      <c r="AD3905" s="37">
        <v>3.2547127229533119</v>
      </c>
    </row>
    <row r="3906" spans="27:30" x14ac:dyDescent="0.3">
      <c r="AA3906" s="37">
        <v>3886</v>
      </c>
      <c r="AB3906" s="37">
        <v>1.7395110916603225</v>
      </c>
      <c r="AC3906" s="37">
        <v>2.7069378456801183</v>
      </c>
      <c r="AD3906" s="37">
        <v>3.1501336021820885</v>
      </c>
    </row>
    <row r="3907" spans="27:30" x14ac:dyDescent="0.3">
      <c r="AA3907" s="37">
        <v>3887</v>
      </c>
      <c r="AB3907" s="37">
        <v>1.7387935792370661</v>
      </c>
      <c r="AC3907" s="37">
        <v>3.1196123614083446</v>
      </c>
      <c r="AD3907" s="37">
        <v>3.3846277399279705</v>
      </c>
    </row>
    <row r="3908" spans="27:30" x14ac:dyDescent="0.3">
      <c r="AA3908" s="37">
        <v>3888</v>
      </c>
      <c r="AB3908" s="37">
        <v>1.8156913047399323</v>
      </c>
      <c r="AC3908" s="37">
        <v>2.8221275355513304</v>
      </c>
      <c r="AD3908" s="37">
        <v>3.6225238897354006</v>
      </c>
    </row>
    <row r="3909" spans="27:30" x14ac:dyDescent="0.3">
      <c r="AA3909" s="37">
        <v>3889</v>
      </c>
      <c r="AB3909" s="37">
        <v>1.84797137593056</v>
      </c>
      <c r="AC3909" s="37">
        <v>2.7647374968846834</v>
      </c>
      <c r="AD3909" s="37">
        <v>3.3831612873922112</v>
      </c>
    </row>
    <row r="3910" spans="27:30" x14ac:dyDescent="0.3">
      <c r="AA3910" s="37">
        <v>3890</v>
      </c>
      <c r="AB3910" s="37">
        <v>1.7742637360753044</v>
      </c>
      <c r="AC3910" s="37">
        <v>2.9397212839001279</v>
      </c>
      <c r="AD3910" s="37">
        <v>3.2540657426777035</v>
      </c>
    </row>
    <row r="3911" spans="27:30" x14ac:dyDescent="0.3">
      <c r="AA3911" s="37">
        <v>3891</v>
      </c>
      <c r="AB3911" s="37">
        <v>1.9031334109515952</v>
      </c>
      <c r="AC3911" s="37">
        <v>2.8393637191512076</v>
      </c>
      <c r="AD3911" s="37">
        <v>3.25293368566467</v>
      </c>
    </row>
    <row r="3912" spans="27:30" x14ac:dyDescent="0.3">
      <c r="AA3912" s="37">
        <v>3892</v>
      </c>
      <c r="AB3912" s="37">
        <v>1.7219851656971337</v>
      </c>
      <c r="AC3912" s="37">
        <v>2.7956566669627416</v>
      </c>
      <c r="AD3912" s="37">
        <v>3.2354217148027966</v>
      </c>
    </row>
    <row r="3913" spans="27:30" x14ac:dyDescent="0.3">
      <c r="AA3913" s="37">
        <v>3893</v>
      </c>
      <c r="AB3913" s="37">
        <v>1.7487611503655227</v>
      </c>
      <c r="AC3913" s="37">
        <v>2.906504190249438</v>
      </c>
      <c r="AD3913" s="37">
        <v>3.1059742772682126</v>
      </c>
    </row>
    <row r="3914" spans="27:30" x14ac:dyDescent="0.3">
      <c r="AA3914" s="37">
        <v>3894</v>
      </c>
      <c r="AB3914" s="37">
        <v>1.7822433031556524</v>
      </c>
      <c r="AC3914" s="37">
        <v>2.8485836312621551</v>
      </c>
      <c r="AD3914" s="37">
        <v>3.4041707931771827</v>
      </c>
    </row>
    <row r="3915" spans="27:30" x14ac:dyDescent="0.3">
      <c r="AA3915" s="37">
        <v>3895</v>
      </c>
      <c r="AB3915" s="37">
        <v>1.7385071541638708</v>
      </c>
      <c r="AC3915" s="37">
        <v>2.7221588055966697</v>
      </c>
      <c r="AD3915" s="37">
        <v>3.2175577101783293</v>
      </c>
    </row>
    <row r="3916" spans="27:30" x14ac:dyDescent="0.3">
      <c r="AA3916" s="37">
        <v>3896</v>
      </c>
      <c r="AB3916" s="37">
        <v>1.8144671165124542</v>
      </c>
      <c r="AC3916" s="37">
        <v>3.0271627553358811</v>
      </c>
      <c r="AD3916" s="37">
        <v>3.1031754674424703</v>
      </c>
    </row>
    <row r="3917" spans="27:30" x14ac:dyDescent="0.3">
      <c r="AA3917" s="37">
        <v>3897</v>
      </c>
      <c r="AB3917" s="37">
        <v>1.8293687581845468</v>
      </c>
      <c r="AC3917" s="37">
        <v>2.9246497223485415</v>
      </c>
      <c r="AD3917" s="37">
        <v>3.4038952920953709</v>
      </c>
    </row>
    <row r="3918" spans="27:30" x14ac:dyDescent="0.3">
      <c r="AA3918" s="37">
        <v>3898</v>
      </c>
      <c r="AB3918" s="37">
        <v>1.7787369870417113</v>
      </c>
      <c r="AC3918" s="37">
        <v>2.7817319392883961</v>
      </c>
      <c r="AD3918" s="37">
        <v>3.5007123622004053</v>
      </c>
    </row>
    <row r="3919" spans="27:30" x14ac:dyDescent="0.3">
      <c r="AA3919" s="37">
        <v>3899</v>
      </c>
      <c r="AB3919" s="37">
        <v>1.7543913988915203</v>
      </c>
      <c r="AC3919" s="37">
        <v>2.8143191945036006</v>
      </c>
      <c r="AD3919" s="37">
        <v>3.3630707526720189</v>
      </c>
    </row>
    <row r="3920" spans="27:30" x14ac:dyDescent="0.3">
      <c r="AA3920" s="37">
        <v>3900</v>
      </c>
      <c r="AB3920" s="37">
        <v>1.795376347574303</v>
      </c>
      <c r="AC3920" s="37">
        <v>2.6431373261629694</v>
      </c>
      <c r="AD3920" s="37">
        <v>3.2133052092698793</v>
      </c>
    </row>
    <row r="3921" spans="27:30" x14ac:dyDescent="0.3">
      <c r="AA3921" s="37">
        <v>3901</v>
      </c>
      <c r="AB3921" s="37">
        <v>1.7828401796679598</v>
      </c>
      <c r="AC3921" s="37">
        <v>2.9535511895948532</v>
      </c>
      <c r="AD3921" s="37">
        <v>3.3348243726229962</v>
      </c>
    </row>
    <row r="3922" spans="27:30" x14ac:dyDescent="0.3">
      <c r="AA3922" s="37">
        <v>3902</v>
      </c>
      <c r="AB3922" s="37">
        <v>1.771824190861286</v>
      </c>
      <c r="AC3922" s="37">
        <v>2.8195804677512073</v>
      </c>
      <c r="AD3922" s="37">
        <v>3.387794470216134</v>
      </c>
    </row>
    <row r="3923" spans="27:30" x14ac:dyDescent="0.3">
      <c r="AA3923" s="37">
        <v>3903</v>
      </c>
      <c r="AB3923" s="37">
        <v>1.7623495478219289</v>
      </c>
      <c r="AC3923" s="37">
        <v>2.9202743198452397</v>
      </c>
      <c r="AD3923" s="37">
        <v>3.3432665084950672</v>
      </c>
    </row>
    <row r="3924" spans="27:30" x14ac:dyDescent="0.3">
      <c r="AA3924" s="37">
        <v>3904</v>
      </c>
      <c r="AB3924" s="37">
        <v>1.8131402983534559</v>
      </c>
      <c r="AC3924" s="37">
        <v>2.7086639603994338</v>
      </c>
      <c r="AD3924" s="37">
        <v>3.4057996528140881</v>
      </c>
    </row>
    <row r="3925" spans="27:30" x14ac:dyDescent="0.3">
      <c r="AA3925" s="37">
        <v>3905</v>
      </c>
      <c r="AB3925" s="37">
        <v>1.8363714620582043</v>
      </c>
      <c r="AC3925" s="37">
        <v>2.8859516996714278</v>
      </c>
      <c r="AD3925" s="37">
        <v>3.6097911667695253</v>
      </c>
    </row>
    <row r="3926" spans="27:30" x14ac:dyDescent="0.3">
      <c r="AA3926" s="37">
        <v>3906</v>
      </c>
      <c r="AB3926" s="37">
        <v>1.8862554349468443</v>
      </c>
      <c r="AC3926" s="37">
        <v>2.8595008267933992</v>
      </c>
      <c r="AD3926" s="37">
        <v>3.4052130987582063</v>
      </c>
    </row>
    <row r="3927" spans="27:30" x14ac:dyDescent="0.3">
      <c r="AA3927" s="37">
        <v>3907</v>
      </c>
      <c r="AB3927" s="37">
        <v>1.8552642350813215</v>
      </c>
      <c r="AC3927" s="37">
        <v>2.8375517641235541</v>
      </c>
      <c r="AD3927" s="37">
        <v>3.3020413990348199</v>
      </c>
    </row>
    <row r="3928" spans="27:30" x14ac:dyDescent="0.3">
      <c r="AA3928" s="37">
        <v>3908</v>
      </c>
      <c r="AB3928" s="37">
        <v>1.8319017596262186</v>
      </c>
      <c r="AC3928" s="37">
        <v>3.0152303438188475</v>
      </c>
      <c r="AD3928" s="37">
        <v>3.5298219751451292</v>
      </c>
    </row>
    <row r="3929" spans="27:30" x14ac:dyDescent="0.3">
      <c r="AA3929" s="37">
        <v>3909</v>
      </c>
      <c r="AB3929" s="37">
        <v>1.8348695071729424</v>
      </c>
      <c r="AC3929" s="37">
        <v>2.6948964154063981</v>
      </c>
      <c r="AD3929" s="37">
        <v>3.2516520531623687</v>
      </c>
    </row>
    <row r="3930" spans="27:30" x14ac:dyDescent="0.3">
      <c r="AA3930" s="37">
        <v>3910</v>
      </c>
      <c r="AB3930" s="37">
        <v>1.7131522778730388</v>
      </c>
      <c r="AC3930" s="37">
        <v>2.9029114581514972</v>
      </c>
      <c r="AD3930" s="37">
        <v>3.3094715913184962</v>
      </c>
    </row>
    <row r="3931" spans="27:30" x14ac:dyDescent="0.3">
      <c r="AA3931" s="37">
        <v>3911</v>
      </c>
      <c r="AB3931" s="37">
        <v>1.7647888435584074</v>
      </c>
      <c r="AC3931" s="37">
        <v>3.0787016542488117</v>
      </c>
      <c r="AD3931" s="37">
        <v>3.2888259236526016</v>
      </c>
    </row>
    <row r="3932" spans="27:30" x14ac:dyDescent="0.3">
      <c r="AA3932" s="37">
        <v>3912</v>
      </c>
      <c r="AB3932" s="37">
        <v>1.7615079833360385</v>
      </c>
      <c r="AC3932" s="37">
        <v>2.8241817128887172</v>
      </c>
      <c r="AD3932" s="37">
        <v>3.065662263050227</v>
      </c>
    </row>
    <row r="3933" spans="27:30" x14ac:dyDescent="0.3">
      <c r="AA3933" s="37">
        <v>3913</v>
      </c>
      <c r="AB3933" s="37">
        <v>1.8687567788882558</v>
      </c>
      <c r="AC3933" s="37">
        <v>2.7483315466375116</v>
      </c>
      <c r="AD3933" s="37">
        <v>3.4820622906271699</v>
      </c>
    </row>
    <row r="3934" spans="27:30" x14ac:dyDescent="0.3">
      <c r="AA3934" s="37">
        <v>3914</v>
      </c>
      <c r="AB3934" s="37">
        <v>1.8106698214129968</v>
      </c>
      <c r="AC3934" s="37">
        <v>2.7785829163926854</v>
      </c>
      <c r="AD3934" s="37">
        <v>3.2307988281523947</v>
      </c>
    </row>
    <row r="3935" spans="27:30" x14ac:dyDescent="0.3">
      <c r="AA3935" s="37">
        <v>3915</v>
      </c>
      <c r="AB3935" s="37">
        <v>1.8893235822382322</v>
      </c>
      <c r="AC3935" s="37">
        <v>2.7623276460474471</v>
      </c>
      <c r="AD3935" s="37">
        <v>3.4733824962653412</v>
      </c>
    </row>
    <row r="3936" spans="27:30" x14ac:dyDescent="0.3">
      <c r="AA3936" s="37">
        <v>3916</v>
      </c>
      <c r="AB3936" s="37">
        <v>1.7825738086570382</v>
      </c>
      <c r="AC3936" s="37">
        <v>2.8052524964224532</v>
      </c>
      <c r="AD3936" s="37">
        <v>3.4597258654312273</v>
      </c>
    </row>
    <row r="3937" spans="27:30" x14ac:dyDescent="0.3">
      <c r="AA3937" s="37">
        <v>3917</v>
      </c>
      <c r="AB3937" s="37">
        <v>1.773792008430942</v>
      </c>
      <c r="AC3937" s="37">
        <v>2.8698477739760362</v>
      </c>
      <c r="AD3937" s="37">
        <v>3.3247633795826435</v>
      </c>
    </row>
    <row r="3938" spans="27:30" x14ac:dyDescent="0.3">
      <c r="AA3938" s="37">
        <v>3918</v>
      </c>
      <c r="AB3938" s="37">
        <v>1.8070798126770988</v>
      </c>
      <c r="AC3938" s="37">
        <v>2.843556536038879</v>
      </c>
      <c r="AD3938" s="37">
        <v>3.6131527790228706</v>
      </c>
    </row>
    <row r="3939" spans="27:30" x14ac:dyDescent="0.3">
      <c r="AA3939" s="37">
        <v>3919</v>
      </c>
      <c r="AB3939" s="37">
        <v>1.8483636481599033</v>
      </c>
      <c r="AC3939" s="37">
        <v>2.9591485271931943</v>
      </c>
      <c r="AD3939" s="37">
        <v>3.3165552163287373</v>
      </c>
    </row>
    <row r="3940" spans="27:30" x14ac:dyDescent="0.3">
      <c r="AA3940" s="37">
        <v>3920</v>
      </c>
      <c r="AB3940" s="37">
        <v>1.8402029443104011</v>
      </c>
      <c r="AC3940" s="37">
        <v>3.0105773146707135</v>
      </c>
      <c r="AD3940" s="37">
        <v>3.1857148141599763</v>
      </c>
    </row>
    <row r="3941" spans="27:30" x14ac:dyDescent="0.3">
      <c r="AA3941" s="37">
        <v>3921</v>
      </c>
      <c r="AB3941" s="37">
        <v>1.6976499291370051</v>
      </c>
      <c r="AC3941" s="37">
        <v>2.7463388324859901</v>
      </c>
      <c r="AD3941" s="37">
        <v>3.3270706439649254</v>
      </c>
    </row>
    <row r="3942" spans="27:30" x14ac:dyDescent="0.3">
      <c r="AA3942" s="37">
        <v>3922</v>
      </c>
      <c r="AB3942" s="37">
        <v>1.762367810413326</v>
      </c>
      <c r="AC3942" s="37">
        <v>2.943496740523547</v>
      </c>
      <c r="AD3942" s="37">
        <v>3.4367971470033858</v>
      </c>
    </row>
    <row r="3943" spans="27:30" x14ac:dyDescent="0.3">
      <c r="AA3943" s="37">
        <v>3923</v>
      </c>
      <c r="AB3943" s="37">
        <v>1.7157835580466758</v>
      </c>
      <c r="AC3943" s="37">
        <v>2.8424611114797633</v>
      </c>
      <c r="AD3943" s="37">
        <v>3.0757623217196142</v>
      </c>
    </row>
    <row r="3944" spans="27:30" x14ac:dyDescent="0.3">
      <c r="AA3944" s="37">
        <v>3924</v>
      </c>
      <c r="AB3944" s="37">
        <v>1.7462905319202264</v>
      </c>
      <c r="AC3944" s="37">
        <v>2.7430464237195666</v>
      </c>
      <c r="AD3944" s="37">
        <v>3.457105836552496</v>
      </c>
    </row>
    <row r="3945" spans="27:30" x14ac:dyDescent="0.3">
      <c r="AA3945" s="37">
        <v>3925</v>
      </c>
      <c r="AB3945" s="37">
        <v>1.7711813374825744</v>
      </c>
      <c r="AC3945" s="37">
        <v>2.8552619107512838</v>
      </c>
      <c r="AD3945" s="37">
        <v>3.264782453952181</v>
      </c>
    </row>
    <row r="3946" spans="27:30" x14ac:dyDescent="0.3">
      <c r="AA3946" s="37">
        <v>3926</v>
      </c>
      <c r="AB3946" s="37">
        <v>1.7834858132721407</v>
      </c>
      <c r="AC3946" s="37">
        <v>2.7522900454199353</v>
      </c>
      <c r="AD3946" s="37">
        <v>3.1674012786145695</v>
      </c>
    </row>
    <row r="3947" spans="27:30" x14ac:dyDescent="0.3">
      <c r="AA3947" s="37">
        <v>3927</v>
      </c>
      <c r="AB3947" s="37">
        <v>1.6633533413695238</v>
      </c>
      <c r="AC3947" s="37">
        <v>2.9751626436452083</v>
      </c>
      <c r="AD3947" s="37">
        <v>3.4061894246743449</v>
      </c>
    </row>
    <row r="3948" spans="27:30" x14ac:dyDescent="0.3">
      <c r="AA3948" s="37">
        <v>3928</v>
      </c>
      <c r="AB3948" s="37">
        <v>1.7644809553636209</v>
      </c>
      <c r="AC3948" s="37">
        <v>2.8491452103212822</v>
      </c>
      <c r="AD3948" s="37">
        <v>3.3094314215988385</v>
      </c>
    </row>
    <row r="3949" spans="27:30" x14ac:dyDescent="0.3">
      <c r="AA3949" s="37">
        <v>3929</v>
      </c>
      <c r="AB3949" s="37">
        <v>1.7305400620727096</v>
      </c>
      <c r="AC3949" s="37">
        <v>2.8248865454245857</v>
      </c>
      <c r="AD3949" s="37">
        <v>3.2384500317629192</v>
      </c>
    </row>
    <row r="3950" spans="27:30" x14ac:dyDescent="0.3">
      <c r="AA3950" s="37">
        <v>3930</v>
      </c>
      <c r="AB3950" s="37">
        <v>1.8884368681868462</v>
      </c>
      <c r="AC3950" s="37">
        <v>2.7135166641546347</v>
      </c>
      <c r="AD3950" s="37">
        <v>3.2877299997314573</v>
      </c>
    </row>
    <row r="3951" spans="27:30" x14ac:dyDescent="0.3">
      <c r="AA3951" s="37">
        <v>3931</v>
      </c>
      <c r="AB3951" s="37">
        <v>1.6533714649190479</v>
      </c>
      <c r="AC3951" s="37">
        <v>2.7072210377372259</v>
      </c>
      <c r="AD3951" s="37">
        <v>3.254628359460416</v>
      </c>
    </row>
    <row r="3952" spans="27:30" x14ac:dyDescent="0.3">
      <c r="AA3952" s="37">
        <v>3932</v>
      </c>
      <c r="AB3952" s="37">
        <v>1.7566646111323427</v>
      </c>
      <c r="AC3952" s="37">
        <v>2.8341590405007788</v>
      </c>
      <c r="AD3952" s="37">
        <v>3.1891067901415235</v>
      </c>
    </row>
    <row r="3953" spans="27:30" x14ac:dyDescent="0.3">
      <c r="AA3953" s="37">
        <v>3933</v>
      </c>
      <c r="AB3953" s="37">
        <v>1.7125851310590436</v>
      </c>
      <c r="AC3953" s="37">
        <v>2.8861635411579623</v>
      </c>
      <c r="AD3953" s="37">
        <v>3.4258951674210731</v>
      </c>
    </row>
    <row r="3954" spans="27:30" x14ac:dyDescent="0.3">
      <c r="AA3954" s="37">
        <v>3934</v>
      </c>
      <c r="AB3954" s="37">
        <v>1.7262832605867209</v>
      </c>
      <c r="AC3954" s="37">
        <v>2.6421414488817883</v>
      </c>
      <c r="AD3954" s="37">
        <v>3.4470242186768156</v>
      </c>
    </row>
    <row r="3955" spans="27:30" x14ac:dyDescent="0.3">
      <c r="AA3955" s="37">
        <v>3935</v>
      </c>
      <c r="AB3955" s="37">
        <v>1.8876555620436386</v>
      </c>
      <c r="AC3955" s="37">
        <v>2.8840294855434729</v>
      </c>
      <c r="AD3955" s="37">
        <v>3.1709820310153138</v>
      </c>
    </row>
    <row r="3956" spans="27:30" x14ac:dyDescent="0.3">
      <c r="AA3956" s="37">
        <v>3936</v>
      </c>
      <c r="AB3956" s="37">
        <v>1.7604236773072606</v>
      </c>
      <c r="AC3956" s="37">
        <v>2.7502697162972138</v>
      </c>
      <c r="AD3956" s="37">
        <v>3.2197150416170675</v>
      </c>
    </row>
    <row r="3957" spans="27:30" x14ac:dyDescent="0.3">
      <c r="AA3957" s="37">
        <v>3937</v>
      </c>
      <c r="AB3957" s="37">
        <v>1.8523688946839014</v>
      </c>
      <c r="AC3957" s="37">
        <v>2.7598786167156173</v>
      </c>
      <c r="AD3957" s="37">
        <v>3.2099581676708806</v>
      </c>
    </row>
    <row r="3958" spans="27:30" x14ac:dyDescent="0.3">
      <c r="AA3958" s="37">
        <v>3938</v>
      </c>
      <c r="AB3958" s="37">
        <v>1.8604308566811474</v>
      </c>
      <c r="AC3958" s="37">
        <v>2.8305917284813966</v>
      </c>
      <c r="AD3958" s="37">
        <v>2.9472022500131572</v>
      </c>
    </row>
    <row r="3959" spans="27:30" x14ac:dyDescent="0.3">
      <c r="AA3959" s="37">
        <v>3939</v>
      </c>
      <c r="AB3959" s="37">
        <v>1.8833128404253301</v>
      </c>
      <c r="AC3959" s="37">
        <v>2.8206113085344064</v>
      </c>
      <c r="AD3959" s="37">
        <v>3.3767896496705281</v>
      </c>
    </row>
    <row r="3960" spans="27:30" x14ac:dyDescent="0.3">
      <c r="AA3960" s="37">
        <v>3940</v>
      </c>
      <c r="AB3960" s="37">
        <v>1.6727578923560693</v>
      </c>
      <c r="AC3960" s="37">
        <v>3.106619532199101</v>
      </c>
      <c r="AD3960" s="37">
        <v>3.2160078349516761</v>
      </c>
    </row>
    <row r="3961" spans="27:30" x14ac:dyDescent="0.3">
      <c r="AA3961" s="37">
        <v>3941</v>
      </c>
      <c r="AB3961" s="37">
        <v>1.7209273377509646</v>
      </c>
      <c r="AC3961" s="37">
        <v>2.9818716004055088</v>
      </c>
      <c r="AD3961" s="37">
        <v>3.2880702123028138</v>
      </c>
    </row>
    <row r="3962" spans="27:30" x14ac:dyDescent="0.3">
      <c r="AA3962" s="37">
        <v>3942</v>
      </c>
      <c r="AB3962" s="37">
        <v>1.7082594355415244</v>
      </c>
      <c r="AC3962" s="37">
        <v>2.7578966341621038</v>
      </c>
      <c r="AD3962" s="37">
        <v>3.1524682039662344</v>
      </c>
    </row>
    <row r="3963" spans="27:30" x14ac:dyDescent="0.3">
      <c r="AA3963" s="37">
        <v>3943</v>
      </c>
      <c r="AB3963" s="37">
        <v>1.7534418194570436</v>
      </c>
      <c r="AC3963" s="37">
        <v>2.9557052414175495</v>
      </c>
      <c r="AD3963" s="37">
        <v>3.4034948121839901</v>
      </c>
    </row>
    <row r="3964" spans="27:30" x14ac:dyDescent="0.3">
      <c r="AA3964" s="37">
        <v>3944</v>
      </c>
      <c r="AB3964" s="37">
        <v>1.7888013899611479</v>
      </c>
      <c r="AC3964" s="37">
        <v>2.7634769522597673</v>
      </c>
      <c r="AD3964" s="37">
        <v>3.3180060767219572</v>
      </c>
    </row>
    <row r="3965" spans="27:30" x14ac:dyDescent="0.3">
      <c r="AA3965" s="37">
        <v>3945</v>
      </c>
      <c r="AB3965" s="37">
        <v>1.7750659020606763</v>
      </c>
      <c r="AC3965" s="37">
        <v>2.9559413450013814</v>
      </c>
      <c r="AD3965" s="37">
        <v>3.4114973711653729</v>
      </c>
    </row>
    <row r="3966" spans="27:30" x14ac:dyDescent="0.3">
      <c r="AA3966" s="37">
        <v>3946</v>
      </c>
      <c r="AB3966" s="37">
        <v>1.7772251420930243</v>
      </c>
      <c r="AC3966" s="37">
        <v>2.7427182504787377</v>
      </c>
      <c r="AD3966" s="37">
        <v>3.3541230235640596</v>
      </c>
    </row>
    <row r="3967" spans="27:30" x14ac:dyDescent="0.3">
      <c r="AA3967" s="37">
        <v>3947</v>
      </c>
      <c r="AB3967" s="37">
        <v>1.7451628706816655</v>
      </c>
      <c r="AC3967" s="37">
        <v>2.8220967881337424</v>
      </c>
      <c r="AD3967" s="37">
        <v>3.1821618352654273</v>
      </c>
    </row>
    <row r="3968" spans="27:30" x14ac:dyDescent="0.3">
      <c r="AA3968" s="37">
        <v>3948</v>
      </c>
      <c r="AB3968" s="37">
        <v>1.7466719073803558</v>
      </c>
      <c r="AC3968" s="37">
        <v>2.6837922484702332</v>
      </c>
      <c r="AD3968" s="37">
        <v>3.2854594387742142</v>
      </c>
    </row>
    <row r="3969" spans="27:30" x14ac:dyDescent="0.3">
      <c r="AA3969" s="37">
        <v>3949</v>
      </c>
      <c r="AB3969" s="37">
        <v>1.8125755085238884</v>
      </c>
      <c r="AC3969" s="37">
        <v>2.8606636982566069</v>
      </c>
      <c r="AD3969" s="37">
        <v>3.3196684147359115</v>
      </c>
    </row>
    <row r="3970" spans="27:30" x14ac:dyDescent="0.3">
      <c r="AA3970" s="37">
        <v>3950</v>
      </c>
      <c r="AB3970" s="37">
        <v>1.7228851207879117</v>
      </c>
      <c r="AC3970" s="37">
        <v>2.962643974702162</v>
      </c>
      <c r="AD3970" s="37">
        <v>3.2022646366181911</v>
      </c>
    </row>
    <row r="3971" spans="27:30" x14ac:dyDescent="0.3">
      <c r="AA3971" s="37">
        <v>3951</v>
      </c>
      <c r="AB3971" s="37">
        <v>1.7847506911745294</v>
      </c>
      <c r="AC3971" s="37">
        <v>3.015613313840058</v>
      </c>
      <c r="AD3971" s="37">
        <v>3.3994655693499238</v>
      </c>
    </row>
    <row r="3972" spans="27:30" x14ac:dyDescent="0.3">
      <c r="AA3972" s="37">
        <v>3952</v>
      </c>
      <c r="AB3972" s="37">
        <v>1.8531586153286475</v>
      </c>
      <c r="AC3972" s="37">
        <v>2.5644872074147709</v>
      </c>
      <c r="AD3972" s="37">
        <v>3.2110976142466341</v>
      </c>
    </row>
    <row r="3973" spans="27:30" x14ac:dyDescent="0.3">
      <c r="AA3973" s="37">
        <v>3953</v>
      </c>
      <c r="AB3973" s="37">
        <v>1.8871861583138922</v>
      </c>
      <c r="AC3973" s="37">
        <v>2.7439256159806273</v>
      </c>
      <c r="AD3973" s="37">
        <v>3.3433336629376398</v>
      </c>
    </row>
    <row r="3974" spans="27:30" x14ac:dyDescent="0.3">
      <c r="AA3974" s="37">
        <v>3954</v>
      </c>
      <c r="AB3974" s="37">
        <v>1.8390901121128869</v>
      </c>
      <c r="AC3974" s="37">
        <v>2.850816777468649</v>
      </c>
      <c r="AD3974" s="37">
        <v>3.3864031592551198</v>
      </c>
    </row>
    <row r="3975" spans="27:30" x14ac:dyDescent="0.3">
      <c r="AA3975" s="37">
        <v>3955</v>
      </c>
      <c r="AB3975" s="37">
        <v>1.789244166380191</v>
      </c>
      <c r="AC3975" s="37">
        <v>2.839469910045072</v>
      </c>
      <c r="AD3975" s="37">
        <v>3.2687866478860212</v>
      </c>
    </row>
    <row r="3976" spans="27:30" x14ac:dyDescent="0.3">
      <c r="AA3976" s="37">
        <v>3956</v>
      </c>
      <c r="AB3976" s="37">
        <v>1.8076450240624429</v>
      </c>
      <c r="AC3976" s="37">
        <v>3.0152157263839596</v>
      </c>
      <c r="AD3976" s="37">
        <v>3.5071105855529674</v>
      </c>
    </row>
    <row r="3977" spans="27:30" x14ac:dyDescent="0.3">
      <c r="AA3977" s="37">
        <v>3957</v>
      </c>
      <c r="AB3977" s="37">
        <v>1.7935418206738394</v>
      </c>
      <c r="AC3977" s="37">
        <v>2.8911802206973571</v>
      </c>
      <c r="AD3977" s="37">
        <v>3.2814192117662495</v>
      </c>
    </row>
    <row r="3978" spans="27:30" x14ac:dyDescent="0.3">
      <c r="AA3978" s="37">
        <v>3958</v>
      </c>
      <c r="AB3978" s="37">
        <v>1.8494789540087289</v>
      </c>
      <c r="AC3978" s="37">
        <v>2.9148426693097531</v>
      </c>
      <c r="AD3978" s="37">
        <v>3.3261770630669298</v>
      </c>
    </row>
    <row r="3979" spans="27:30" x14ac:dyDescent="0.3">
      <c r="AA3979" s="37">
        <v>3959</v>
      </c>
      <c r="AB3979" s="37">
        <v>1.8616482170485478</v>
      </c>
      <c r="AC3979" s="37">
        <v>2.9554191415348976</v>
      </c>
      <c r="AD3979" s="37">
        <v>3.2051218750995178</v>
      </c>
    </row>
    <row r="3980" spans="27:30" x14ac:dyDescent="0.3">
      <c r="AA3980" s="37">
        <v>3960</v>
      </c>
      <c r="AB3980" s="37">
        <v>1.9242932020482015</v>
      </c>
      <c r="AC3980" s="37">
        <v>2.7848106574616751</v>
      </c>
      <c r="AD3980" s="37">
        <v>3.257480555811703</v>
      </c>
    </row>
    <row r="3981" spans="27:30" x14ac:dyDescent="0.3">
      <c r="AA3981" s="37">
        <v>3961</v>
      </c>
      <c r="AB3981" s="37">
        <v>1.9052709713954978</v>
      </c>
      <c r="AC3981" s="37">
        <v>2.8318187243371749</v>
      </c>
      <c r="AD3981" s="37">
        <v>3.4133642326700073</v>
      </c>
    </row>
    <row r="3982" spans="27:30" x14ac:dyDescent="0.3">
      <c r="AA3982" s="37">
        <v>3962</v>
      </c>
      <c r="AB3982" s="37">
        <v>1.8013377540674709</v>
      </c>
      <c r="AC3982" s="37">
        <v>2.7720230680933353</v>
      </c>
      <c r="AD3982" s="37">
        <v>3.3765252671900812</v>
      </c>
    </row>
    <row r="3983" spans="27:30" x14ac:dyDescent="0.3">
      <c r="AA3983" s="37">
        <v>3963</v>
      </c>
      <c r="AB3983" s="37">
        <v>1.8247357737708354</v>
      </c>
      <c r="AC3983" s="37">
        <v>2.7628437682431102</v>
      </c>
      <c r="AD3983" s="37">
        <v>3.403446653301994</v>
      </c>
    </row>
    <row r="3984" spans="27:30" x14ac:dyDescent="0.3">
      <c r="AA3984" s="37">
        <v>3964</v>
      </c>
      <c r="AB3984" s="37">
        <v>1.7818239935325941</v>
      </c>
      <c r="AC3984" s="37">
        <v>2.7868652680956214</v>
      </c>
      <c r="AD3984" s="37">
        <v>3.2244623617397918</v>
      </c>
    </row>
    <row r="3985" spans="27:30" x14ac:dyDescent="0.3">
      <c r="AA3985" s="37">
        <v>3965</v>
      </c>
      <c r="AB3985" s="37">
        <v>1.8148417735137323</v>
      </c>
      <c r="AC3985" s="37">
        <v>2.886507480626598</v>
      </c>
      <c r="AD3985" s="37">
        <v>3.5327111914132181</v>
      </c>
    </row>
    <row r="3986" spans="27:30" x14ac:dyDescent="0.3">
      <c r="AA3986" s="37">
        <v>3966</v>
      </c>
      <c r="AB3986" s="37">
        <v>1.8146992487817271</v>
      </c>
      <c r="AC3986" s="37">
        <v>2.8108989708131928</v>
      </c>
      <c r="AD3986" s="37">
        <v>3.2690266124849163</v>
      </c>
    </row>
    <row r="3987" spans="27:30" x14ac:dyDescent="0.3">
      <c r="AA3987" s="37">
        <v>3967</v>
      </c>
      <c r="AB3987" s="37">
        <v>1.7354421808958433</v>
      </c>
      <c r="AC3987" s="37">
        <v>2.7883489674250796</v>
      </c>
      <c r="AD3987" s="37">
        <v>3.5113618124513111</v>
      </c>
    </row>
    <row r="3988" spans="27:30" x14ac:dyDescent="0.3">
      <c r="AA3988" s="37">
        <v>3968</v>
      </c>
      <c r="AB3988" s="37">
        <v>1.7900364177292516</v>
      </c>
      <c r="AC3988" s="37">
        <v>2.8975470383982671</v>
      </c>
      <c r="AD3988" s="37">
        <v>3.3231018785944602</v>
      </c>
    </row>
    <row r="3989" spans="27:30" x14ac:dyDescent="0.3">
      <c r="AA3989" s="37">
        <v>3969</v>
      </c>
      <c r="AB3989" s="37">
        <v>1.7743049918265941</v>
      </c>
      <c r="AC3989" s="37">
        <v>2.7941350944117342</v>
      </c>
      <c r="AD3989" s="37">
        <v>3.2682629894750073</v>
      </c>
    </row>
    <row r="3990" spans="27:30" x14ac:dyDescent="0.3">
      <c r="AA3990" s="37">
        <v>3970</v>
      </c>
      <c r="AB3990" s="37">
        <v>1.7515582166180725</v>
      </c>
      <c r="AC3990" s="37">
        <v>2.7857568945317781</v>
      </c>
      <c r="AD3990" s="37">
        <v>3.2429967150538093</v>
      </c>
    </row>
    <row r="3991" spans="27:30" x14ac:dyDescent="0.3">
      <c r="AA3991" s="37">
        <v>3971</v>
      </c>
      <c r="AB3991" s="37">
        <v>1.7707086471746356</v>
      </c>
      <c r="AC3991" s="37">
        <v>2.8416678496099119</v>
      </c>
      <c r="AD3991" s="37">
        <v>3.495725734824386</v>
      </c>
    </row>
    <row r="3992" spans="27:30" x14ac:dyDescent="0.3">
      <c r="AA3992" s="37">
        <v>3972</v>
      </c>
      <c r="AB3992" s="37">
        <v>1.6500944686330599</v>
      </c>
      <c r="AC3992" s="37">
        <v>2.9541270788704095</v>
      </c>
      <c r="AD3992" s="37">
        <v>3.2621360548779763</v>
      </c>
    </row>
    <row r="3993" spans="27:30" x14ac:dyDescent="0.3">
      <c r="AA3993" s="37">
        <v>3973</v>
      </c>
      <c r="AB3993" s="37">
        <v>1.834105494891747</v>
      </c>
      <c r="AC3993" s="37">
        <v>2.9223096616452806</v>
      </c>
      <c r="AD3993" s="37">
        <v>3.4031329413541922</v>
      </c>
    </row>
    <row r="3994" spans="27:30" x14ac:dyDescent="0.3">
      <c r="AA3994" s="37">
        <v>3974</v>
      </c>
      <c r="AB3994" s="37">
        <v>1.9187767430746623</v>
      </c>
      <c r="AC3994" s="37">
        <v>2.6520740461567796</v>
      </c>
      <c r="AD3994" s="37">
        <v>3.4078062833577154</v>
      </c>
    </row>
    <row r="3995" spans="27:30" x14ac:dyDescent="0.3">
      <c r="AA3995" s="37">
        <v>3975</v>
      </c>
      <c r="AB3995" s="37">
        <v>1.8420411092709514</v>
      </c>
      <c r="AC3995" s="37">
        <v>2.9409504908274142</v>
      </c>
      <c r="AD3995" s="37">
        <v>3.5322332138209913</v>
      </c>
    </row>
    <row r="3996" spans="27:30" x14ac:dyDescent="0.3">
      <c r="AA3996" s="37">
        <v>3976</v>
      </c>
      <c r="AB3996" s="37">
        <v>1.8142259930359657</v>
      </c>
      <c r="AC3996" s="37">
        <v>2.7574288451125071</v>
      </c>
      <c r="AD3996" s="37">
        <v>3.2052308194560744</v>
      </c>
    </row>
    <row r="3997" spans="27:30" x14ac:dyDescent="0.3">
      <c r="AA3997" s="37">
        <v>3977</v>
      </c>
      <c r="AB3997" s="37">
        <v>1.7258483952327466</v>
      </c>
      <c r="AC3997" s="37">
        <v>2.9173447427876393</v>
      </c>
      <c r="AD3997" s="37">
        <v>3.5402218164760888</v>
      </c>
    </row>
    <row r="3998" spans="27:30" x14ac:dyDescent="0.3">
      <c r="AA3998" s="37">
        <v>3978</v>
      </c>
      <c r="AB3998" s="37">
        <v>1.8896913405002385</v>
      </c>
      <c r="AC3998" s="37">
        <v>2.9345755487631373</v>
      </c>
      <c r="AD3998" s="37">
        <v>3.370901669752886</v>
      </c>
    </row>
    <row r="3999" spans="27:30" x14ac:dyDescent="0.3">
      <c r="AA3999" s="37">
        <v>3979</v>
      </c>
      <c r="AB3999" s="37">
        <v>1.8813585288073287</v>
      </c>
      <c r="AC3999" s="37">
        <v>2.7765786429537367</v>
      </c>
      <c r="AD3999" s="37">
        <v>3.3174021580427224</v>
      </c>
    </row>
    <row r="4000" spans="27:30" x14ac:dyDescent="0.3">
      <c r="AA4000" s="37">
        <v>3980</v>
      </c>
      <c r="AB4000" s="37">
        <v>1.8499243483112275</v>
      </c>
      <c r="AC4000" s="37">
        <v>2.7908741531311736</v>
      </c>
      <c r="AD4000" s="37">
        <v>3.3345342309549206</v>
      </c>
    </row>
    <row r="4001" spans="27:30" x14ac:dyDescent="0.3">
      <c r="AA4001" s="37">
        <v>3981</v>
      </c>
      <c r="AB4001" s="37">
        <v>1.78844870405323</v>
      </c>
      <c r="AC4001" s="37">
        <v>2.7994056439244224</v>
      </c>
      <c r="AD4001" s="37">
        <v>3.3262900688843198</v>
      </c>
    </row>
    <row r="4002" spans="27:30" x14ac:dyDescent="0.3">
      <c r="AA4002" s="37">
        <v>3982</v>
      </c>
      <c r="AB4002" s="37">
        <v>1.8596398955698634</v>
      </c>
      <c r="AC4002" s="37">
        <v>2.9590536659902731</v>
      </c>
      <c r="AD4002" s="37">
        <v>3.3222921255239513</v>
      </c>
    </row>
    <row r="4003" spans="27:30" x14ac:dyDescent="0.3">
      <c r="AA4003" s="37">
        <v>3983</v>
      </c>
      <c r="AB4003" s="37">
        <v>1.7683121446968875</v>
      </c>
      <c r="AC4003" s="37">
        <v>2.7968106768919432</v>
      </c>
      <c r="AD4003" s="37">
        <v>3.2221411042961874</v>
      </c>
    </row>
    <row r="4004" spans="27:30" x14ac:dyDescent="0.3">
      <c r="AA4004" s="37">
        <v>3984</v>
      </c>
      <c r="AB4004" s="37">
        <v>1.7841181223823654</v>
      </c>
      <c r="AC4004" s="37">
        <v>2.8486753041573163</v>
      </c>
      <c r="AD4004" s="37">
        <v>3.2392108098890833</v>
      </c>
    </row>
    <row r="4005" spans="27:30" x14ac:dyDescent="0.3">
      <c r="AA4005" s="37">
        <v>3985</v>
      </c>
      <c r="AB4005" s="37">
        <v>1.8179180889291766</v>
      </c>
      <c r="AC4005" s="37">
        <v>2.9182687623658849</v>
      </c>
      <c r="AD4005" s="37">
        <v>3.4007874978558599</v>
      </c>
    </row>
    <row r="4006" spans="27:30" x14ac:dyDescent="0.3">
      <c r="AA4006" s="37">
        <v>3986</v>
      </c>
      <c r="AB4006" s="37">
        <v>1.7513334330158725</v>
      </c>
      <c r="AC4006" s="37">
        <v>2.7936226860189382</v>
      </c>
      <c r="AD4006" s="37">
        <v>3.5015186746864311</v>
      </c>
    </row>
    <row r="4007" spans="27:30" x14ac:dyDescent="0.3">
      <c r="AA4007" s="37">
        <v>3987</v>
      </c>
      <c r="AB4007" s="37">
        <v>1.801944282750221</v>
      </c>
      <c r="AC4007" s="37">
        <v>2.906132880736759</v>
      </c>
      <c r="AD4007" s="37">
        <v>3.4783243060121016</v>
      </c>
    </row>
    <row r="4008" spans="27:30" x14ac:dyDescent="0.3">
      <c r="AA4008" s="37">
        <v>3988</v>
      </c>
      <c r="AB4008" s="37">
        <v>1.7885833264323996</v>
      </c>
      <c r="AC4008" s="37">
        <v>2.8541467992976108</v>
      </c>
      <c r="AD4008" s="37">
        <v>3.5066987525685933</v>
      </c>
    </row>
    <row r="4009" spans="27:30" x14ac:dyDescent="0.3">
      <c r="AA4009" s="37">
        <v>3989</v>
      </c>
      <c r="AB4009" s="37">
        <v>1.7268879306939899</v>
      </c>
      <c r="AC4009" s="37">
        <v>2.8611115658366071</v>
      </c>
      <c r="AD4009" s="37">
        <v>3.1443346731700337</v>
      </c>
    </row>
    <row r="4010" spans="27:30" x14ac:dyDescent="0.3">
      <c r="AA4010" s="37">
        <v>3990</v>
      </c>
      <c r="AB4010" s="37">
        <v>1.7703446649819565</v>
      </c>
      <c r="AC4010" s="37">
        <v>2.8917867715765966</v>
      </c>
      <c r="AD4010" s="37">
        <v>3.2242032618499343</v>
      </c>
    </row>
    <row r="4011" spans="27:30" x14ac:dyDescent="0.3">
      <c r="AA4011" s="37">
        <v>3991</v>
      </c>
      <c r="AB4011" s="37">
        <v>1.7753222344863748</v>
      </c>
      <c r="AC4011" s="37">
        <v>2.8505273606594383</v>
      </c>
      <c r="AD4011" s="37">
        <v>3.4418055675060488</v>
      </c>
    </row>
    <row r="4012" spans="27:30" x14ac:dyDescent="0.3">
      <c r="AA4012" s="37">
        <v>3992</v>
      </c>
      <c r="AB4012" s="37">
        <v>1.7728043369184461</v>
      </c>
      <c r="AC4012" s="37">
        <v>2.9166500120694487</v>
      </c>
      <c r="AD4012" s="37">
        <v>3.2528576328064167</v>
      </c>
    </row>
    <row r="4013" spans="27:30" x14ac:dyDescent="0.3">
      <c r="AA4013" s="37">
        <v>3993</v>
      </c>
      <c r="AB4013" s="37">
        <v>1.6664732681718719</v>
      </c>
      <c r="AC4013" s="37">
        <v>2.7449679936717057</v>
      </c>
      <c r="AD4013" s="37">
        <v>3.3770509088880947</v>
      </c>
    </row>
    <row r="4014" spans="27:30" x14ac:dyDescent="0.3">
      <c r="AA4014" s="37">
        <v>3994</v>
      </c>
      <c r="AB4014" s="37">
        <v>1.791262937160842</v>
      </c>
      <c r="AC4014" s="37">
        <v>2.8025287214551469</v>
      </c>
      <c r="AD4014" s="37">
        <v>3.4129194666115668</v>
      </c>
    </row>
    <row r="4015" spans="27:30" x14ac:dyDescent="0.3">
      <c r="AA4015" s="37">
        <v>3995</v>
      </c>
      <c r="AB4015" s="37">
        <v>1.7925531758125208</v>
      </c>
      <c r="AC4015" s="37">
        <v>2.9403578555896441</v>
      </c>
      <c r="AD4015" s="37">
        <v>3.2329486426665337</v>
      </c>
    </row>
    <row r="4016" spans="27:30" x14ac:dyDescent="0.3">
      <c r="AA4016" s="37">
        <v>3996</v>
      </c>
      <c r="AB4016" s="37">
        <v>1.7199055006348982</v>
      </c>
      <c r="AC4016" s="37">
        <v>2.9569560452338819</v>
      </c>
      <c r="AD4016" s="37">
        <v>3.2160652955632201</v>
      </c>
    </row>
    <row r="4017" spans="27:30" x14ac:dyDescent="0.3">
      <c r="AA4017" s="37">
        <v>3997</v>
      </c>
      <c r="AB4017" s="37">
        <v>1.8699230284117248</v>
      </c>
      <c r="AC4017" s="37">
        <v>2.8546602290369023</v>
      </c>
      <c r="AD4017" s="37">
        <v>3.2953740753156198</v>
      </c>
    </row>
    <row r="4018" spans="27:30" x14ac:dyDescent="0.3">
      <c r="AA4018" s="37">
        <v>3998</v>
      </c>
      <c r="AB4018" s="37">
        <v>1.8091554778789747</v>
      </c>
      <c r="AC4018" s="37">
        <v>2.8278869550344918</v>
      </c>
      <c r="AD4018" s="37">
        <v>3.3939731335170111</v>
      </c>
    </row>
    <row r="4019" spans="27:30" x14ac:dyDescent="0.3">
      <c r="AA4019" s="37">
        <v>3999</v>
      </c>
      <c r="AB4019" s="37">
        <v>1.6948605843202469</v>
      </c>
      <c r="AC4019" s="37">
        <v>2.8959289518649984</v>
      </c>
      <c r="AD4019" s="37">
        <v>3.2220340873898188</v>
      </c>
    </row>
    <row r="4020" spans="27:30" x14ac:dyDescent="0.3">
      <c r="AA4020" s="37">
        <v>4000</v>
      </c>
      <c r="AB4020" s="37">
        <v>1.8037331184691372</v>
      </c>
      <c r="AC4020" s="37">
        <v>2.7057122888811174</v>
      </c>
      <c r="AD4020" s="37">
        <v>3.2868770403643457</v>
      </c>
    </row>
    <row r="4021" spans="27:30" x14ac:dyDescent="0.3">
      <c r="AA4021" s="37">
        <v>4001</v>
      </c>
      <c r="AB4021" s="37">
        <v>1.8210045363460696</v>
      </c>
      <c r="AC4021" s="37">
        <v>2.8287451522239677</v>
      </c>
      <c r="AD4021" s="37">
        <v>3.320146263033728</v>
      </c>
    </row>
    <row r="4022" spans="27:30" x14ac:dyDescent="0.3">
      <c r="AA4022" s="37">
        <v>4002</v>
      </c>
      <c r="AB4022" s="37">
        <v>1.8222184476858401</v>
      </c>
      <c r="AC4022" s="37">
        <v>2.6841340124893858</v>
      </c>
      <c r="AD4022" s="37">
        <v>3.3956863736587848</v>
      </c>
    </row>
    <row r="4023" spans="27:30" x14ac:dyDescent="0.3">
      <c r="AA4023" s="37">
        <v>4003</v>
      </c>
      <c r="AB4023" s="37">
        <v>1.7809124834409771</v>
      </c>
      <c r="AC4023" s="37">
        <v>2.777303041782643</v>
      </c>
      <c r="AD4023" s="37">
        <v>3.4976080682995283</v>
      </c>
    </row>
    <row r="4024" spans="27:30" x14ac:dyDescent="0.3">
      <c r="AA4024" s="37">
        <v>4004</v>
      </c>
      <c r="AB4024" s="37">
        <v>1.6856631451768294</v>
      </c>
      <c r="AC4024" s="37">
        <v>2.8789038806542502</v>
      </c>
      <c r="AD4024" s="37">
        <v>3.3382492429015773</v>
      </c>
    </row>
    <row r="4025" spans="27:30" x14ac:dyDescent="0.3">
      <c r="AA4025" s="37">
        <v>4005</v>
      </c>
      <c r="AB4025" s="37">
        <v>1.7916013310370711</v>
      </c>
      <c r="AC4025" s="37">
        <v>2.9757860021750502</v>
      </c>
      <c r="AD4025" s="37">
        <v>3.2590218404211129</v>
      </c>
    </row>
    <row r="4026" spans="27:30" x14ac:dyDescent="0.3">
      <c r="AA4026" s="37">
        <v>4006</v>
      </c>
      <c r="AB4026" s="37">
        <v>1.8448048520476297</v>
      </c>
      <c r="AC4026" s="37">
        <v>2.7021570570352278</v>
      </c>
      <c r="AD4026" s="37">
        <v>3.4362366806910813</v>
      </c>
    </row>
    <row r="4027" spans="27:30" x14ac:dyDescent="0.3">
      <c r="AA4027" s="37">
        <v>4007</v>
      </c>
      <c r="AB4027" s="37">
        <v>1.7454864894860134</v>
      </c>
      <c r="AC4027" s="37">
        <v>2.8703539682878501</v>
      </c>
      <c r="AD4027" s="37">
        <v>3.2585500519048498</v>
      </c>
    </row>
    <row r="4028" spans="27:30" x14ac:dyDescent="0.3">
      <c r="AA4028" s="37">
        <v>4008</v>
      </c>
      <c r="AB4028" s="37">
        <v>1.6782376615651722</v>
      </c>
      <c r="AC4028" s="37">
        <v>3.0194923207950022</v>
      </c>
      <c r="AD4028" s="37">
        <v>3.3743054615912409</v>
      </c>
    </row>
    <row r="4029" spans="27:30" x14ac:dyDescent="0.3">
      <c r="AA4029" s="37">
        <v>4009</v>
      </c>
      <c r="AB4029" s="37">
        <v>1.7757077294030976</v>
      </c>
      <c r="AC4029" s="37">
        <v>3.0301515730606283</v>
      </c>
      <c r="AD4029" s="37">
        <v>3.4315376822575998</v>
      </c>
    </row>
    <row r="4030" spans="27:30" x14ac:dyDescent="0.3">
      <c r="AA4030" s="37">
        <v>4010</v>
      </c>
      <c r="AB4030" s="37">
        <v>1.7854542928813983</v>
      </c>
      <c r="AC4030" s="37">
        <v>2.8991183047606879</v>
      </c>
      <c r="AD4030" s="37">
        <v>3.2763794753720186</v>
      </c>
    </row>
    <row r="4031" spans="27:30" x14ac:dyDescent="0.3">
      <c r="AA4031" s="37">
        <v>4011</v>
      </c>
      <c r="AB4031" s="37">
        <v>1.6941827181956479</v>
      </c>
      <c r="AC4031" s="37">
        <v>2.7971432516898425</v>
      </c>
      <c r="AD4031" s="37">
        <v>3.2789526396527746</v>
      </c>
    </row>
    <row r="4032" spans="27:30" x14ac:dyDescent="0.3">
      <c r="AA4032" s="37">
        <v>4012</v>
      </c>
      <c r="AB4032" s="37">
        <v>1.6876846552547184</v>
      </c>
      <c r="AC4032" s="37">
        <v>2.8265541796765112</v>
      </c>
      <c r="AD4032" s="37">
        <v>3.1478983549222357</v>
      </c>
    </row>
    <row r="4033" spans="27:30" x14ac:dyDescent="0.3">
      <c r="AA4033" s="37">
        <v>4013</v>
      </c>
      <c r="AB4033" s="37">
        <v>1.7627810700219628</v>
      </c>
      <c r="AC4033" s="37">
        <v>2.8123565534510524</v>
      </c>
      <c r="AD4033" s="37">
        <v>3.2870267664696375</v>
      </c>
    </row>
    <row r="4034" spans="27:30" x14ac:dyDescent="0.3">
      <c r="AA4034" s="37">
        <v>4014</v>
      </c>
      <c r="AB4034" s="37">
        <v>1.8029666962243693</v>
      </c>
      <c r="AC4034" s="37">
        <v>2.7671564946221716</v>
      </c>
      <c r="AD4034" s="37">
        <v>3.3344163227433143</v>
      </c>
    </row>
    <row r="4035" spans="27:30" x14ac:dyDescent="0.3">
      <c r="AA4035" s="37">
        <v>4015</v>
      </c>
      <c r="AB4035" s="37">
        <v>1.7705532966361073</v>
      </c>
      <c r="AC4035" s="37">
        <v>2.7971180089132694</v>
      </c>
      <c r="AD4035" s="37">
        <v>3.3955328712296993</v>
      </c>
    </row>
    <row r="4036" spans="27:30" x14ac:dyDescent="0.3">
      <c r="AA4036" s="37">
        <v>4016</v>
      </c>
      <c r="AB4036" s="37">
        <v>1.7436269652877383</v>
      </c>
      <c r="AC4036" s="37">
        <v>2.7439105212745374</v>
      </c>
      <c r="AD4036" s="37">
        <v>3.2714588075880164</v>
      </c>
    </row>
    <row r="4037" spans="27:30" x14ac:dyDescent="0.3">
      <c r="AA4037" s="37">
        <v>4017</v>
      </c>
      <c r="AB4037" s="37">
        <v>1.7812437064265443</v>
      </c>
      <c r="AC4037" s="37">
        <v>2.9885814444296019</v>
      </c>
      <c r="AD4037" s="37">
        <v>3.4550806682276716</v>
      </c>
    </row>
    <row r="4038" spans="27:30" x14ac:dyDescent="0.3">
      <c r="AA4038" s="37">
        <v>4018</v>
      </c>
      <c r="AB4038" s="37">
        <v>1.7959947879721803</v>
      </c>
      <c r="AC4038" s="37">
        <v>2.8989170315291317</v>
      </c>
      <c r="AD4038" s="37">
        <v>3.3449488604181248</v>
      </c>
    </row>
    <row r="4039" spans="27:30" x14ac:dyDescent="0.3">
      <c r="AA4039" s="37">
        <v>4019</v>
      </c>
      <c r="AB4039" s="37">
        <v>1.8368752400262416</v>
      </c>
      <c r="AC4039" s="37">
        <v>2.9433870401262112</v>
      </c>
      <c r="AD4039" s="37">
        <v>3.6082604206255482</v>
      </c>
    </row>
    <row r="4040" spans="27:30" x14ac:dyDescent="0.3">
      <c r="AA4040" s="37">
        <v>4020</v>
      </c>
      <c r="AB4040" s="37">
        <v>1.8326686352269665</v>
      </c>
      <c r="AC4040" s="37">
        <v>2.8091893297743993</v>
      </c>
      <c r="AD4040" s="37">
        <v>3.2626373783774114</v>
      </c>
    </row>
    <row r="4041" spans="27:30" x14ac:dyDescent="0.3">
      <c r="AA4041" s="37">
        <v>4021</v>
      </c>
      <c r="AB4041" s="37">
        <v>1.8395838515717442</v>
      </c>
      <c r="AC4041" s="37">
        <v>2.9669744488133687</v>
      </c>
      <c r="AD4041" s="37">
        <v>3.3232056718073286</v>
      </c>
    </row>
    <row r="4042" spans="27:30" x14ac:dyDescent="0.3">
      <c r="AA4042" s="37">
        <v>4022</v>
      </c>
      <c r="AB4042" s="37">
        <v>1.7365517312028704</v>
      </c>
      <c r="AC4042" s="37">
        <v>2.8908542284817487</v>
      </c>
      <c r="AD4042" s="37">
        <v>3.1996406724746151</v>
      </c>
    </row>
    <row r="4043" spans="27:30" x14ac:dyDescent="0.3">
      <c r="AA4043" s="37">
        <v>4023</v>
      </c>
      <c r="AB4043" s="37">
        <v>1.8526565783425111</v>
      </c>
      <c r="AC4043" s="37">
        <v>2.7387225413238805</v>
      </c>
      <c r="AD4043" s="37">
        <v>3.526707812648251</v>
      </c>
    </row>
    <row r="4044" spans="27:30" x14ac:dyDescent="0.3">
      <c r="AA4044" s="37">
        <v>4024</v>
      </c>
      <c r="AB4044" s="37">
        <v>1.7370579918133862</v>
      </c>
      <c r="AC4044" s="37">
        <v>3.075153590689558</v>
      </c>
      <c r="AD4044" s="37">
        <v>3.6772724810850925</v>
      </c>
    </row>
    <row r="4045" spans="27:30" x14ac:dyDescent="0.3">
      <c r="AA4045" s="37">
        <v>4025</v>
      </c>
      <c r="AB4045" s="37">
        <v>1.8379521093467399</v>
      </c>
      <c r="AC4045" s="37">
        <v>2.9603696442606591</v>
      </c>
      <c r="AD4045" s="37">
        <v>3.1034313766364567</v>
      </c>
    </row>
    <row r="4046" spans="27:30" x14ac:dyDescent="0.3">
      <c r="AA4046" s="37">
        <v>4026</v>
      </c>
      <c r="AB4046" s="37">
        <v>1.7370163636051685</v>
      </c>
      <c r="AC4046" s="37">
        <v>2.7851991878831694</v>
      </c>
      <c r="AD4046" s="37">
        <v>3.192058053220979</v>
      </c>
    </row>
    <row r="4047" spans="27:30" x14ac:dyDescent="0.3">
      <c r="AA4047" s="37">
        <v>4027</v>
      </c>
      <c r="AB4047" s="37">
        <v>1.8451064316281496</v>
      </c>
      <c r="AC4047" s="37">
        <v>2.9486279789510275</v>
      </c>
      <c r="AD4047" s="37">
        <v>3.2327890371949377</v>
      </c>
    </row>
    <row r="4048" spans="27:30" x14ac:dyDescent="0.3">
      <c r="AA4048" s="37">
        <v>4028</v>
      </c>
      <c r="AB4048" s="37">
        <v>1.7827901922292679</v>
      </c>
      <c r="AC4048" s="37">
        <v>2.9379611135292611</v>
      </c>
      <c r="AD4048" s="37">
        <v>3.3381220742024564</v>
      </c>
    </row>
    <row r="4049" spans="27:30" x14ac:dyDescent="0.3">
      <c r="AA4049" s="37">
        <v>4029</v>
      </c>
      <c r="AB4049" s="37">
        <v>1.8146061741639532</v>
      </c>
      <c r="AC4049" s="37">
        <v>2.7054897363850574</v>
      </c>
      <c r="AD4049" s="37">
        <v>3.0282529407690615</v>
      </c>
    </row>
    <row r="4050" spans="27:30" x14ac:dyDescent="0.3">
      <c r="AA4050" s="37">
        <v>4030</v>
      </c>
      <c r="AB4050" s="37">
        <v>1.8834339282942714</v>
      </c>
      <c r="AC4050" s="37">
        <v>2.81739615214665</v>
      </c>
      <c r="AD4050" s="37">
        <v>3.3176038287732101</v>
      </c>
    </row>
    <row r="4051" spans="27:30" x14ac:dyDescent="0.3">
      <c r="AA4051" s="37">
        <v>4031</v>
      </c>
      <c r="AB4051" s="37">
        <v>1.7779051724895909</v>
      </c>
      <c r="AC4051" s="37">
        <v>2.8001928226538748</v>
      </c>
      <c r="AD4051" s="37">
        <v>3.3197133267681558</v>
      </c>
    </row>
    <row r="4052" spans="27:30" x14ac:dyDescent="0.3">
      <c r="AA4052" s="37">
        <v>4032</v>
      </c>
      <c r="AB4052" s="37">
        <v>1.8787076385433514</v>
      </c>
      <c r="AC4052" s="37">
        <v>2.79570725104425</v>
      </c>
      <c r="AD4052" s="37">
        <v>3.5920888367572421</v>
      </c>
    </row>
    <row r="4053" spans="27:30" x14ac:dyDescent="0.3">
      <c r="AA4053" s="37">
        <v>4033</v>
      </c>
      <c r="AB4053" s="37">
        <v>1.7701608205406636</v>
      </c>
      <c r="AC4053" s="37">
        <v>2.9379389399113456</v>
      </c>
      <c r="AD4053" s="37">
        <v>3.3337942175454796</v>
      </c>
    </row>
    <row r="4054" spans="27:30" x14ac:dyDescent="0.3">
      <c r="AA4054" s="37">
        <v>4034</v>
      </c>
      <c r="AB4054" s="37">
        <v>1.8148149614375177</v>
      </c>
      <c r="AC4054" s="37">
        <v>2.7676393815262283</v>
      </c>
      <c r="AD4054" s="37">
        <v>3.2445717768107212</v>
      </c>
    </row>
    <row r="4055" spans="27:30" x14ac:dyDescent="0.3">
      <c r="AA4055" s="37">
        <v>4035</v>
      </c>
      <c r="AB4055" s="37">
        <v>1.8519009645102593</v>
      </c>
      <c r="AC4055" s="37">
        <v>2.8880223348485741</v>
      </c>
      <c r="AD4055" s="37">
        <v>3.4308705325914852</v>
      </c>
    </row>
    <row r="4056" spans="27:30" x14ac:dyDescent="0.3">
      <c r="AA4056" s="37">
        <v>4036</v>
      </c>
      <c r="AB4056" s="37">
        <v>1.8358553418503745</v>
      </c>
      <c r="AC4056" s="37">
        <v>2.9097063577068605</v>
      </c>
      <c r="AD4056" s="37">
        <v>3.3404252636119951</v>
      </c>
    </row>
    <row r="4057" spans="27:30" x14ac:dyDescent="0.3">
      <c r="AA4057" s="37">
        <v>4037</v>
      </c>
      <c r="AB4057" s="37">
        <v>1.8220600095191557</v>
      </c>
      <c r="AC4057" s="37">
        <v>2.8998269114653423</v>
      </c>
      <c r="AD4057" s="37">
        <v>3.1759717260066829</v>
      </c>
    </row>
    <row r="4058" spans="27:30" x14ac:dyDescent="0.3">
      <c r="AA4058" s="37">
        <v>4038</v>
      </c>
      <c r="AB4058" s="37">
        <v>1.8545461505909397</v>
      </c>
      <c r="AC4058" s="37">
        <v>2.8274915660410058</v>
      </c>
      <c r="AD4058" s="37">
        <v>3.2281174597527311</v>
      </c>
    </row>
    <row r="4059" spans="27:30" x14ac:dyDescent="0.3">
      <c r="AA4059" s="37">
        <v>4039</v>
      </c>
      <c r="AB4059" s="37">
        <v>1.8120196801488544</v>
      </c>
      <c r="AC4059" s="37">
        <v>2.999423548928942</v>
      </c>
      <c r="AD4059" s="37">
        <v>3.3672385889406171</v>
      </c>
    </row>
    <row r="4060" spans="27:30" x14ac:dyDescent="0.3">
      <c r="AA4060" s="37">
        <v>4040</v>
      </c>
      <c r="AB4060" s="37">
        <v>1.7661966077206326</v>
      </c>
      <c r="AC4060" s="37">
        <v>2.5956729493425068</v>
      </c>
      <c r="AD4060" s="37">
        <v>3.2050700960188778</v>
      </c>
    </row>
    <row r="4061" spans="27:30" x14ac:dyDescent="0.3">
      <c r="AA4061" s="37">
        <v>4041</v>
      </c>
      <c r="AB4061" s="37">
        <v>1.7863194772004507</v>
      </c>
      <c r="AC4061" s="37">
        <v>2.796949163126794</v>
      </c>
      <c r="AD4061" s="37">
        <v>3.2812710384397055</v>
      </c>
    </row>
    <row r="4062" spans="27:30" x14ac:dyDescent="0.3">
      <c r="AA4062" s="37">
        <v>4042</v>
      </c>
      <c r="AB4062" s="37">
        <v>1.9489354627472832</v>
      </c>
      <c r="AC4062" s="37">
        <v>2.7952781881221536</v>
      </c>
      <c r="AD4062" s="37">
        <v>3.4145434600590123</v>
      </c>
    </row>
    <row r="4063" spans="27:30" x14ac:dyDescent="0.3">
      <c r="AA4063" s="37">
        <v>4043</v>
      </c>
      <c r="AB4063" s="37">
        <v>1.7391272900707639</v>
      </c>
      <c r="AC4063" s="37">
        <v>2.8619709716223554</v>
      </c>
      <c r="AD4063" s="37">
        <v>3.4579502763651666</v>
      </c>
    </row>
    <row r="4064" spans="27:30" x14ac:dyDescent="0.3">
      <c r="AA4064" s="37">
        <v>4044</v>
      </c>
      <c r="AB4064" s="37">
        <v>1.7905380875515611</v>
      </c>
      <c r="AC4064" s="37">
        <v>2.8110090344352265</v>
      </c>
      <c r="AD4064" s="37">
        <v>3.4013320042582782</v>
      </c>
    </row>
    <row r="4065" spans="27:30" x14ac:dyDescent="0.3">
      <c r="AA4065" s="37">
        <v>4045</v>
      </c>
      <c r="AB4065" s="37">
        <v>1.7951416751160116</v>
      </c>
      <c r="AC4065" s="37">
        <v>2.6477327984750185</v>
      </c>
      <c r="AD4065" s="37">
        <v>3.1458295457186107</v>
      </c>
    </row>
    <row r="4066" spans="27:30" x14ac:dyDescent="0.3">
      <c r="AA4066" s="37">
        <v>4046</v>
      </c>
      <c r="AB4066" s="37">
        <v>1.759722649600854</v>
      </c>
      <c r="AC4066" s="37">
        <v>2.9371351293915233</v>
      </c>
      <c r="AD4066" s="37">
        <v>3.2864846529319838</v>
      </c>
    </row>
    <row r="4067" spans="27:30" x14ac:dyDescent="0.3">
      <c r="AA4067" s="37">
        <v>4047</v>
      </c>
      <c r="AB4067" s="37">
        <v>1.9505375482090499</v>
      </c>
      <c r="AC4067" s="37">
        <v>3.0463569753194233</v>
      </c>
      <c r="AD4067" s="37">
        <v>3.3459267532704957</v>
      </c>
    </row>
    <row r="4068" spans="27:30" x14ac:dyDescent="0.3">
      <c r="AA4068" s="37">
        <v>4048</v>
      </c>
      <c r="AB4068" s="37">
        <v>1.7145533321410713</v>
      </c>
      <c r="AC4068" s="37">
        <v>2.7698817155242317</v>
      </c>
      <c r="AD4068" s="37">
        <v>3.502814590805003</v>
      </c>
    </row>
    <row r="4069" spans="27:30" x14ac:dyDescent="0.3">
      <c r="AA4069" s="37">
        <v>4049</v>
      </c>
      <c r="AB4069" s="37">
        <v>1.7953982458323334</v>
      </c>
      <c r="AC4069" s="37">
        <v>2.8849822372720606</v>
      </c>
      <c r="AD4069" s="37">
        <v>3.3304117170199077</v>
      </c>
    </row>
    <row r="4070" spans="27:30" x14ac:dyDescent="0.3">
      <c r="AA4070" s="37">
        <v>4050</v>
      </c>
      <c r="AB4070" s="37">
        <v>1.7371944197407152</v>
      </c>
      <c r="AC4070" s="37">
        <v>2.7409687295164216</v>
      </c>
      <c r="AD4070" s="37">
        <v>3.2803398972305553</v>
      </c>
    </row>
    <row r="4071" spans="27:30" x14ac:dyDescent="0.3">
      <c r="AA4071" s="37">
        <v>4051</v>
      </c>
      <c r="AB4071" s="37">
        <v>1.7768054609742037</v>
      </c>
      <c r="AC4071" s="37">
        <v>2.9719645496405258</v>
      </c>
      <c r="AD4071" s="37">
        <v>3.4554201669900695</v>
      </c>
    </row>
    <row r="4072" spans="27:30" x14ac:dyDescent="0.3">
      <c r="AA4072" s="37">
        <v>4052</v>
      </c>
      <c r="AB4072" s="37">
        <v>1.8542899286026238</v>
      </c>
      <c r="AC4072" s="37">
        <v>2.7653445890783783</v>
      </c>
      <c r="AD4072" s="37">
        <v>3.4207876337086942</v>
      </c>
    </row>
    <row r="4073" spans="27:30" x14ac:dyDescent="0.3">
      <c r="AA4073" s="37">
        <v>4053</v>
      </c>
      <c r="AB4073" s="37">
        <v>1.7808714762117825</v>
      </c>
      <c r="AC4073" s="37">
        <v>2.8425805449295254</v>
      </c>
      <c r="AD4073" s="37">
        <v>3.1207386522411205</v>
      </c>
    </row>
    <row r="4074" spans="27:30" x14ac:dyDescent="0.3">
      <c r="AA4074" s="37">
        <v>4054</v>
      </c>
      <c r="AB4074" s="37">
        <v>1.780736108155492</v>
      </c>
      <c r="AC4074" s="37">
        <v>2.7323186835593991</v>
      </c>
      <c r="AD4074" s="37">
        <v>3.2614973567476939</v>
      </c>
    </row>
    <row r="4075" spans="27:30" x14ac:dyDescent="0.3">
      <c r="AA4075" s="37">
        <v>4055</v>
      </c>
      <c r="AB4075" s="37">
        <v>1.7146089069365249</v>
      </c>
      <c r="AC4075" s="37">
        <v>2.8107373869916401</v>
      </c>
      <c r="AD4075" s="37">
        <v>3.3618372512691783</v>
      </c>
    </row>
    <row r="4076" spans="27:30" x14ac:dyDescent="0.3">
      <c r="AA4076" s="37">
        <v>4056</v>
      </c>
      <c r="AB4076" s="37">
        <v>1.6399368665246186</v>
      </c>
      <c r="AC4076" s="37">
        <v>2.7393324306666158</v>
      </c>
      <c r="AD4076" s="37">
        <v>3.4666204789510124</v>
      </c>
    </row>
    <row r="4077" spans="27:30" x14ac:dyDescent="0.3">
      <c r="AA4077" s="37">
        <v>4057</v>
      </c>
      <c r="AB4077" s="37">
        <v>1.6765689241278281</v>
      </c>
      <c r="AC4077" s="37">
        <v>2.6891002806429753</v>
      </c>
      <c r="AD4077" s="37">
        <v>3.2520992877262094</v>
      </c>
    </row>
    <row r="4078" spans="27:30" x14ac:dyDescent="0.3">
      <c r="AA4078" s="37">
        <v>4058</v>
      </c>
      <c r="AB4078" s="37">
        <v>1.7104027574258132</v>
      </c>
      <c r="AC4078" s="37">
        <v>3.034922133638271</v>
      </c>
      <c r="AD4078" s="37">
        <v>3.4201678098909096</v>
      </c>
    </row>
    <row r="4079" spans="27:30" x14ac:dyDescent="0.3">
      <c r="AA4079" s="37">
        <v>4059</v>
      </c>
      <c r="AB4079" s="37">
        <v>1.8153915267709413</v>
      </c>
      <c r="AC4079" s="37">
        <v>2.9456041294930619</v>
      </c>
      <c r="AD4079" s="37">
        <v>3.2966221666846556</v>
      </c>
    </row>
    <row r="4080" spans="27:30" x14ac:dyDescent="0.3">
      <c r="AA4080" s="37">
        <v>4060</v>
      </c>
      <c r="AB4080" s="37">
        <v>1.7048547850850837</v>
      </c>
      <c r="AC4080" s="37">
        <v>2.722569940056712</v>
      </c>
      <c r="AD4080" s="37">
        <v>3.2235471615162337</v>
      </c>
    </row>
    <row r="4081" spans="27:30" x14ac:dyDescent="0.3">
      <c r="AA4081" s="37">
        <v>4061</v>
      </c>
      <c r="AB4081" s="37">
        <v>1.8978027261891637</v>
      </c>
      <c r="AC4081" s="37">
        <v>2.82292304533255</v>
      </c>
      <c r="AD4081" s="37">
        <v>3.5149799009296077</v>
      </c>
    </row>
    <row r="4082" spans="27:30" x14ac:dyDescent="0.3">
      <c r="AA4082" s="37">
        <v>4062</v>
      </c>
      <c r="AB4082" s="37">
        <v>1.8623288629866421</v>
      </c>
      <c r="AC4082" s="37">
        <v>2.8278513523276572</v>
      </c>
      <c r="AD4082" s="37">
        <v>3.1517452678984839</v>
      </c>
    </row>
    <row r="4083" spans="27:30" x14ac:dyDescent="0.3">
      <c r="AA4083" s="37">
        <v>4063</v>
      </c>
      <c r="AB4083" s="37">
        <v>1.8938823108665039</v>
      </c>
      <c r="AC4083" s="37">
        <v>2.7281231796763179</v>
      </c>
      <c r="AD4083" s="37">
        <v>3.3311111275364658</v>
      </c>
    </row>
    <row r="4084" spans="27:30" x14ac:dyDescent="0.3">
      <c r="AA4084" s="37">
        <v>4064</v>
      </c>
      <c r="AB4084" s="37">
        <v>1.750121638911607</v>
      </c>
      <c r="AC4084" s="37">
        <v>2.8660873362562902</v>
      </c>
      <c r="AD4084" s="37">
        <v>3.4012805992554913</v>
      </c>
    </row>
    <row r="4085" spans="27:30" x14ac:dyDescent="0.3">
      <c r="AA4085" s="37">
        <v>4065</v>
      </c>
      <c r="AB4085" s="37">
        <v>1.7156003476932322</v>
      </c>
      <c r="AC4085" s="37">
        <v>2.7619200717081749</v>
      </c>
      <c r="AD4085" s="37">
        <v>3.3590412081916816</v>
      </c>
    </row>
    <row r="4086" spans="27:30" x14ac:dyDescent="0.3">
      <c r="AA4086" s="37">
        <v>4066</v>
      </c>
      <c r="AB4086" s="37">
        <v>1.7466727728245286</v>
      </c>
      <c r="AC4086" s="37">
        <v>2.7736144517231338</v>
      </c>
      <c r="AD4086" s="37">
        <v>3.2146168729209355</v>
      </c>
    </row>
    <row r="4087" spans="27:30" x14ac:dyDescent="0.3">
      <c r="AA4087" s="37">
        <v>4067</v>
      </c>
      <c r="AB4087" s="37">
        <v>1.9175450876504356</v>
      </c>
      <c r="AC4087" s="37">
        <v>2.7655210794398837</v>
      </c>
      <c r="AD4087" s="37">
        <v>3.2576592609627899</v>
      </c>
    </row>
    <row r="4088" spans="27:30" x14ac:dyDescent="0.3">
      <c r="AA4088" s="37">
        <v>4068</v>
      </c>
      <c r="AB4088" s="37">
        <v>1.8736303469423303</v>
      </c>
      <c r="AC4088" s="37">
        <v>2.6303581591006151</v>
      </c>
      <c r="AD4088" s="37">
        <v>3.3110517076020227</v>
      </c>
    </row>
    <row r="4089" spans="27:30" x14ac:dyDescent="0.3">
      <c r="AA4089" s="37">
        <v>4069</v>
      </c>
      <c r="AB4089" s="37">
        <v>1.8509727453060199</v>
      </c>
      <c r="AC4089" s="37">
        <v>2.6811782799833193</v>
      </c>
      <c r="AD4089" s="37">
        <v>3.2484160674366658</v>
      </c>
    </row>
    <row r="4090" spans="27:30" x14ac:dyDescent="0.3">
      <c r="AA4090" s="37">
        <v>4070</v>
      </c>
      <c r="AB4090" s="37">
        <v>1.7843798994330811</v>
      </c>
      <c r="AC4090" s="37">
        <v>2.8086433089455918</v>
      </c>
      <c r="AD4090" s="37">
        <v>3.440098889200323</v>
      </c>
    </row>
    <row r="4091" spans="27:30" x14ac:dyDescent="0.3">
      <c r="AA4091" s="37">
        <v>4071</v>
      </c>
      <c r="AB4091" s="37">
        <v>1.80635381475995</v>
      </c>
      <c r="AC4091" s="37">
        <v>2.7439526487291448</v>
      </c>
      <c r="AD4091" s="37">
        <v>3.3038518435773172</v>
      </c>
    </row>
    <row r="4092" spans="27:30" x14ac:dyDescent="0.3">
      <c r="AA4092" s="37">
        <v>4072</v>
      </c>
      <c r="AB4092" s="37">
        <v>1.7557426660104118</v>
      </c>
      <c r="AC4092" s="37">
        <v>2.8500437314331961</v>
      </c>
      <c r="AD4092" s="37">
        <v>3.3142917188875498</v>
      </c>
    </row>
    <row r="4093" spans="27:30" x14ac:dyDescent="0.3">
      <c r="AA4093" s="37">
        <v>4073</v>
      </c>
      <c r="AB4093" s="37">
        <v>1.654879408741412</v>
      </c>
      <c r="AC4093" s="37">
        <v>2.9717098074551722</v>
      </c>
      <c r="AD4093" s="37">
        <v>3.1070621254783304</v>
      </c>
    </row>
    <row r="4094" spans="27:30" x14ac:dyDescent="0.3">
      <c r="AA4094" s="37">
        <v>4074</v>
      </c>
      <c r="AB4094" s="37">
        <v>1.658010401601016</v>
      </c>
      <c r="AC4094" s="37">
        <v>2.7243686669804328</v>
      </c>
      <c r="AD4094" s="37">
        <v>3.3909305276473529</v>
      </c>
    </row>
    <row r="4095" spans="27:30" x14ac:dyDescent="0.3">
      <c r="AA4095" s="37">
        <v>4075</v>
      </c>
      <c r="AB4095" s="37">
        <v>1.6994609135346448</v>
      </c>
      <c r="AC4095" s="37">
        <v>2.9634040808369648</v>
      </c>
      <c r="AD4095" s="37">
        <v>3.2208563660875051</v>
      </c>
    </row>
    <row r="4096" spans="27:30" x14ac:dyDescent="0.3">
      <c r="AA4096" s="37">
        <v>4076</v>
      </c>
      <c r="AB4096" s="37">
        <v>1.8849006906716235</v>
      </c>
      <c r="AC4096" s="37">
        <v>2.7751755297453227</v>
      </c>
      <c r="AD4096" s="37">
        <v>3.2389413300736338</v>
      </c>
    </row>
    <row r="4097" spans="27:30" x14ac:dyDescent="0.3">
      <c r="AA4097" s="37">
        <v>4077</v>
      </c>
      <c r="AB4097" s="37">
        <v>1.8248433730646176</v>
      </c>
      <c r="AC4097" s="37">
        <v>2.9998666020310707</v>
      </c>
      <c r="AD4097" s="37">
        <v>3.5020205515579965</v>
      </c>
    </row>
    <row r="4098" spans="27:30" x14ac:dyDescent="0.3">
      <c r="AA4098" s="37">
        <v>4078</v>
      </c>
      <c r="AB4098" s="37">
        <v>1.8407697535534553</v>
      </c>
      <c r="AC4098" s="37">
        <v>2.7137463894196894</v>
      </c>
      <c r="AD4098" s="37">
        <v>3.3446413918525533</v>
      </c>
    </row>
    <row r="4099" spans="27:30" x14ac:dyDescent="0.3">
      <c r="AA4099" s="37">
        <v>4079</v>
      </c>
      <c r="AB4099" s="37">
        <v>1.7707267501586308</v>
      </c>
      <c r="AC4099" s="37">
        <v>2.9066010174459236</v>
      </c>
      <c r="AD4099" s="37">
        <v>3.5617324613889161</v>
      </c>
    </row>
    <row r="4100" spans="27:30" x14ac:dyDescent="0.3">
      <c r="AA4100" s="37">
        <v>4080</v>
      </c>
      <c r="AB4100" s="37">
        <v>1.7719209523982458</v>
      </c>
      <c r="AC4100" s="37">
        <v>2.7686636743461759</v>
      </c>
      <c r="AD4100" s="37">
        <v>3.4523447259698914</v>
      </c>
    </row>
    <row r="4101" spans="27:30" x14ac:dyDescent="0.3">
      <c r="AA4101" s="37">
        <v>4081</v>
      </c>
      <c r="AB4101" s="37">
        <v>1.6957894255140906</v>
      </c>
      <c r="AC4101" s="37">
        <v>2.6683968039563348</v>
      </c>
      <c r="AD4101" s="37">
        <v>3.2152664025773614</v>
      </c>
    </row>
    <row r="4102" spans="27:30" x14ac:dyDescent="0.3">
      <c r="AA4102" s="37">
        <v>4082</v>
      </c>
      <c r="AB4102" s="37">
        <v>1.930862343222532</v>
      </c>
      <c r="AC4102" s="37">
        <v>2.7555482412226664</v>
      </c>
      <c r="AD4102" s="37">
        <v>3.3190858583290512</v>
      </c>
    </row>
    <row r="4103" spans="27:30" x14ac:dyDescent="0.3">
      <c r="AA4103" s="37">
        <v>4083</v>
      </c>
      <c r="AB4103" s="37">
        <v>1.8102841010916404</v>
      </c>
      <c r="AC4103" s="37">
        <v>3.0005510554910044</v>
      </c>
      <c r="AD4103" s="37">
        <v>3.3408557494530409</v>
      </c>
    </row>
    <row r="4104" spans="27:30" x14ac:dyDescent="0.3">
      <c r="AA4104" s="37">
        <v>4084</v>
      </c>
      <c r="AB4104" s="37">
        <v>1.7793052769884516</v>
      </c>
      <c r="AC4104" s="37">
        <v>2.9668334187711674</v>
      </c>
      <c r="AD4104" s="37">
        <v>3.3894248426117088</v>
      </c>
    </row>
    <row r="4105" spans="27:30" x14ac:dyDescent="0.3">
      <c r="AA4105" s="37">
        <v>4085</v>
      </c>
      <c r="AB4105" s="37">
        <v>1.7714629064305971</v>
      </c>
      <c r="AC4105" s="37">
        <v>3.1391913849651427</v>
      </c>
      <c r="AD4105" s="37">
        <v>3.5567845296471026</v>
      </c>
    </row>
    <row r="4106" spans="27:30" x14ac:dyDescent="0.3">
      <c r="AA4106" s="37">
        <v>4086</v>
      </c>
      <c r="AB4106" s="37">
        <v>1.7398713086898072</v>
      </c>
      <c r="AC4106" s="37">
        <v>3.0124523152122888</v>
      </c>
      <c r="AD4106" s="37">
        <v>3.435808530021407</v>
      </c>
    </row>
    <row r="4107" spans="27:30" x14ac:dyDescent="0.3">
      <c r="AA4107" s="37">
        <v>4087</v>
      </c>
      <c r="AB4107" s="37">
        <v>1.7486435400069464</v>
      </c>
      <c r="AC4107" s="37">
        <v>2.8789802458076181</v>
      </c>
      <c r="AD4107" s="37">
        <v>3.2722564973931192</v>
      </c>
    </row>
    <row r="4108" spans="27:30" x14ac:dyDescent="0.3">
      <c r="AA4108" s="37">
        <v>4088</v>
      </c>
      <c r="AB4108" s="37">
        <v>1.8425609566723706</v>
      </c>
      <c r="AC4108" s="37">
        <v>2.7963035844742303</v>
      </c>
      <c r="AD4108" s="37">
        <v>3.4647447852898527</v>
      </c>
    </row>
    <row r="4109" spans="27:30" x14ac:dyDescent="0.3">
      <c r="AA4109" s="37">
        <v>4089</v>
      </c>
      <c r="AB4109" s="37">
        <v>1.8482873089437688</v>
      </c>
      <c r="AC4109" s="37">
        <v>2.7209076725339978</v>
      </c>
      <c r="AD4109" s="37">
        <v>3.3458231343196236</v>
      </c>
    </row>
    <row r="4110" spans="27:30" x14ac:dyDescent="0.3">
      <c r="AA4110" s="37">
        <v>4090</v>
      </c>
      <c r="AB4110" s="37">
        <v>1.7241711611429473</v>
      </c>
      <c r="AC4110" s="37">
        <v>2.7741847878493346</v>
      </c>
      <c r="AD4110" s="37">
        <v>3.1085982932629852</v>
      </c>
    </row>
    <row r="4111" spans="27:30" x14ac:dyDescent="0.3">
      <c r="AA4111" s="37">
        <v>4091</v>
      </c>
      <c r="AB4111" s="37">
        <v>1.8376575199589704</v>
      </c>
      <c r="AC4111" s="37">
        <v>2.852739514109266</v>
      </c>
      <c r="AD4111" s="37">
        <v>3.408005577566942</v>
      </c>
    </row>
    <row r="4112" spans="27:30" x14ac:dyDescent="0.3">
      <c r="AA4112" s="37">
        <v>4092</v>
      </c>
      <c r="AB4112" s="37">
        <v>1.85755384331986</v>
      </c>
      <c r="AC4112" s="37">
        <v>2.8952078440968179</v>
      </c>
      <c r="AD4112" s="37">
        <v>3.249306641807741</v>
      </c>
    </row>
    <row r="4113" spans="27:30" x14ac:dyDescent="0.3">
      <c r="AA4113" s="37">
        <v>4093</v>
      </c>
      <c r="AB4113" s="37">
        <v>1.7890242962642964</v>
      </c>
      <c r="AC4113" s="37">
        <v>3.0695432011123027</v>
      </c>
      <c r="AD4113" s="37">
        <v>3.2582835628966529</v>
      </c>
    </row>
    <row r="4114" spans="27:30" x14ac:dyDescent="0.3">
      <c r="AA4114" s="37">
        <v>4094</v>
      </c>
      <c r="AB4114" s="37">
        <v>1.7621978634969031</v>
      </c>
      <c r="AC4114" s="37">
        <v>2.7984051095310374</v>
      </c>
      <c r="AD4114" s="37">
        <v>3.5827955677438967</v>
      </c>
    </row>
    <row r="4115" spans="27:30" x14ac:dyDescent="0.3">
      <c r="AA4115" s="37">
        <v>4095</v>
      </c>
      <c r="AB4115" s="37">
        <v>1.802214371003714</v>
      </c>
      <c r="AC4115" s="37">
        <v>2.7578628783863524</v>
      </c>
      <c r="AD4115" s="37">
        <v>3.2319792176744011</v>
      </c>
    </row>
    <row r="4116" spans="27:30" x14ac:dyDescent="0.3">
      <c r="AA4116" s="37">
        <v>4096</v>
      </c>
      <c r="AB4116" s="37">
        <v>1.7129688166229124</v>
      </c>
      <c r="AC4116" s="37">
        <v>2.9442846318077969</v>
      </c>
      <c r="AD4116" s="37">
        <v>3.2862454096353524</v>
      </c>
    </row>
    <row r="4117" spans="27:30" x14ac:dyDescent="0.3">
      <c r="AA4117" s="37">
        <v>4097</v>
      </c>
      <c r="AB4117" s="37">
        <v>1.7930247901695076</v>
      </c>
      <c r="AC4117" s="37">
        <v>2.9492808464356308</v>
      </c>
      <c r="AD4117" s="37">
        <v>3.4066385541633313</v>
      </c>
    </row>
    <row r="4118" spans="27:30" x14ac:dyDescent="0.3">
      <c r="AA4118" s="37">
        <v>4098</v>
      </c>
      <c r="AB4118" s="37">
        <v>1.7940501916726277</v>
      </c>
      <c r="AC4118" s="37">
        <v>2.8594623606967708</v>
      </c>
      <c r="AD4118" s="37">
        <v>3.2353918014829626</v>
      </c>
    </row>
    <row r="4119" spans="27:30" x14ac:dyDescent="0.3">
      <c r="AA4119" s="37">
        <v>4099</v>
      </c>
      <c r="AB4119" s="37">
        <v>1.8782105625537073</v>
      </c>
      <c r="AC4119" s="37">
        <v>2.8577084021539774</v>
      </c>
      <c r="AD4119" s="37">
        <v>3.3087470386534603</v>
      </c>
    </row>
    <row r="4120" spans="27:30" x14ac:dyDescent="0.3">
      <c r="AA4120" s="37">
        <v>4100</v>
      </c>
      <c r="AB4120" s="37">
        <v>1.7094489028110997</v>
      </c>
      <c r="AC4120" s="37">
        <v>2.8785950321332021</v>
      </c>
      <c r="AD4120" s="37">
        <v>3.499113520300027</v>
      </c>
    </row>
    <row r="4121" spans="27:30" x14ac:dyDescent="0.3">
      <c r="AA4121" s="37">
        <v>4101</v>
      </c>
      <c r="AB4121" s="37">
        <v>1.8040659270980817</v>
      </c>
      <c r="AC4121" s="37">
        <v>2.8355462769506485</v>
      </c>
      <c r="AD4121" s="37">
        <v>3.4045210072116445</v>
      </c>
    </row>
    <row r="4122" spans="27:30" x14ac:dyDescent="0.3">
      <c r="AA4122" s="37">
        <v>4102</v>
      </c>
      <c r="AB4122" s="37">
        <v>1.7605725220669646</v>
      </c>
      <c r="AC4122" s="37">
        <v>2.8392756690095444</v>
      </c>
      <c r="AD4122" s="37">
        <v>3.2245429326859174</v>
      </c>
    </row>
    <row r="4123" spans="27:30" x14ac:dyDescent="0.3">
      <c r="AA4123" s="37">
        <v>4103</v>
      </c>
      <c r="AB4123" s="37">
        <v>1.8163511132983448</v>
      </c>
      <c r="AC4123" s="37">
        <v>2.8519531093123947</v>
      </c>
      <c r="AD4123" s="37">
        <v>3.3980922206415243</v>
      </c>
    </row>
    <row r="4124" spans="27:30" x14ac:dyDescent="0.3">
      <c r="AA4124" s="37">
        <v>4104</v>
      </c>
      <c r="AB4124" s="37">
        <v>1.7726211696813456</v>
      </c>
      <c r="AC4124" s="37">
        <v>2.8363572079008703</v>
      </c>
      <c r="AD4124" s="37">
        <v>3.3621347018026051</v>
      </c>
    </row>
    <row r="4125" spans="27:30" x14ac:dyDescent="0.3">
      <c r="AA4125" s="37">
        <v>4105</v>
      </c>
      <c r="AB4125" s="37">
        <v>1.8370154747444238</v>
      </c>
      <c r="AC4125" s="37">
        <v>2.7241511294693224</v>
      </c>
      <c r="AD4125" s="37">
        <v>3.1767532446724536</v>
      </c>
    </row>
    <row r="4126" spans="27:30" x14ac:dyDescent="0.3">
      <c r="AA4126" s="37">
        <v>4106</v>
      </c>
      <c r="AB4126" s="37">
        <v>1.8386744774126773</v>
      </c>
      <c r="AC4126" s="37">
        <v>2.9313104925985369</v>
      </c>
      <c r="AD4126" s="37">
        <v>3.2461045544935621</v>
      </c>
    </row>
    <row r="4127" spans="27:30" x14ac:dyDescent="0.3">
      <c r="AA4127" s="37">
        <v>4107</v>
      </c>
      <c r="AB4127" s="37">
        <v>1.7216297099400502</v>
      </c>
      <c r="AC4127" s="37">
        <v>2.9358874329768381</v>
      </c>
      <c r="AD4127" s="37">
        <v>3.3068830276517978</v>
      </c>
    </row>
    <row r="4128" spans="27:30" x14ac:dyDescent="0.3">
      <c r="AA4128" s="37">
        <v>4108</v>
      </c>
      <c r="AB4128" s="37">
        <v>1.756755444709752</v>
      </c>
      <c r="AC4128" s="37">
        <v>2.9261185623681785</v>
      </c>
      <c r="AD4128" s="37">
        <v>3.3151972702237096</v>
      </c>
    </row>
    <row r="4129" spans="27:30" x14ac:dyDescent="0.3">
      <c r="AA4129" s="37">
        <v>4109</v>
      </c>
      <c r="AB4129" s="37">
        <v>1.8652081386818338</v>
      </c>
      <c r="AC4129" s="37">
        <v>2.8244492354642565</v>
      </c>
      <c r="AD4129" s="37">
        <v>3.307429486797512</v>
      </c>
    </row>
    <row r="4130" spans="27:30" x14ac:dyDescent="0.3">
      <c r="AA4130" s="37">
        <v>4110</v>
      </c>
      <c r="AB4130" s="37">
        <v>1.7206080533954127</v>
      </c>
      <c r="AC4130" s="37">
        <v>2.8162862064957395</v>
      </c>
      <c r="AD4130" s="37">
        <v>3.366732584959065</v>
      </c>
    </row>
    <row r="4131" spans="27:30" x14ac:dyDescent="0.3">
      <c r="AA4131" s="37">
        <v>4111</v>
      </c>
      <c r="AB4131" s="37">
        <v>1.8338674684097196</v>
      </c>
      <c r="AC4131" s="37">
        <v>2.8505706593436639</v>
      </c>
      <c r="AD4131" s="37">
        <v>3.2021596135104944</v>
      </c>
    </row>
    <row r="4132" spans="27:30" x14ac:dyDescent="0.3">
      <c r="AA4132" s="37">
        <v>4112</v>
      </c>
      <c r="AB4132" s="37">
        <v>1.716813328862274</v>
      </c>
      <c r="AC4132" s="37">
        <v>2.8022352992362181</v>
      </c>
      <c r="AD4132" s="37">
        <v>3.371064674260309</v>
      </c>
    </row>
    <row r="4133" spans="27:30" x14ac:dyDescent="0.3">
      <c r="AA4133" s="37">
        <v>4113</v>
      </c>
      <c r="AB4133" s="37">
        <v>1.7601886158207567</v>
      </c>
      <c r="AC4133" s="37">
        <v>2.7452475154632752</v>
      </c>
      <c r="AD4133" s="37">
        <v>3.2132911599851011</v>
      </c>
    </row>
    <row r="4134" spans="27:30" x14ac:dyDescent="0.3">
      <c r="AA4134" s="37">
        <v>4114</v>
      </c>
      <c r="AB4134" s="37">
        <v>1.868246060061667</v>
      </c>
      <c r="AC4134" s="37">
        <v>2.7297759390581571</v>
      </c>
      <c r="AD4134" s="37">
        <v>3.4619309363410435</v>
      </c>
    </row>
    <row r="4135" spans="27:30" x14ac:dyDescent="0.3">
      <c r="AA4135" s="37">
        <v>4115</v>
      </c>
      <c r="AB4135" s="37">
        <v>1.7500243543848482</v>
      </c>
      <c r="AC4135" s="37">
        <v>2.8427433789798888</v>
      </c>
      <c r="AD4135" s="37">
        <v>3.3186082873156049</v>
      </c>
    </row>
    <row r="4136" spans="27:30" x14ac:dyDescent="0.3">
      <c r="AA4136" s="37">
        <v>4116</v>
      </c>
      <c r="AB4136" s="37">
        <v>1.7209650951234994</v>
      </c>
      <c r="AC4136" s="37">
        <v>2.6575227868204538</v>
      </c>
      <c r="AD4136" s="37">
        <v>3.428069789565964</v>
      </c>
    </row>
    <row r="4137" spans="27:30" x14ac:dyDescent="0.3">
      <c r="AA4137" s="37">
        <v>4117</v>
      </c>
      <c r="AB4137" s="37">
        <v>1.8057928826079441</v>
      </c>
      <c r="AC4137" s="37">
        <v>2.9034227984076391</v>
      </c>
      <c r="AD4137" s="37">
        <v>3.4973417652818783</v>
      </c>
    </row>
    <row r="4138" spans="27:30" x14ac:dyDescent="0.3">
      <c r="AA4138" s="37">
        <v>4118</v>
      </c>
      <c r="AB4138" s="37">
        <v>1.771122812180022</v>
      </c>
      <c r="AC4138" s="37">
        <v>2.9413788536427092</v>
      </c>
      <c r="AD4138" s="37">
        <v>3.3866882541614736</v>
      </c>
    </row>
    <row r="4139" spans="27:30" x14ac:dyDescent="0.3">
      <c r="AA4139" s="37">
        <v>4119</v>
      </c>
      <c r="AB4139" s="37">
        <v>1.8232817697923569</v>
      </c>
      <c r="AC4139" s="37">
        <v>2.766546956154242</v>
      </c>
      <c r="AD4139" s="37">
        <v>3.4933208197901653</v>
      </c>
    </row>
    <row r="4140" spans="27:30" x14ac:dyDescent="0.3">
      <c r="AA4140" s="37">
        <v>4120</v>
      </c>
      <c r="AB4140" s="37">
        <v>1.7108667164965263</v>
      </c>
      <c r="AC4140" s="37">
        <v>2.8867801475667503</v>
      </c>
      <c r="AD4140" s="37">
        <v>3.4290977836714744</v>
      </c>
    </row>
    <row r="4141" spans="27:30" x14ac:dyDescent="0.3">
      <c r="AA4141" s="37">
        <v>4121</v>
      </c>
      <c r="AB4141" s="37">
        <v>1.8732012209409217</v>
      </c>
      <c r="AC4141" s="37">
        <v>2.818849549426131</v>
      </c>
      <c r="AD4141" s="37">
        <v>3.4884778818114701</v>
      </c>
    </row>
    <row r="4142" spans="27:30" x14ac:dyDescent="0.3">
      <c r="AA4142" s="37">
        <v>4122</v>
      </c>
      <c r="AB4142" s="37">
        <v>1.8294039434522922</v>
      </c>
      <c r="AC4142" s="37">
        <v>2.8104277699774087</v>
      </c>
      <c r="AD4142" s="37">
        <v>3.3178093840837435</v>
      </c>
    </row>
    <row r="4143" spans="27:30" x14ac:dyDescent="0.3">
      <c r="AA4143" s="37">
        <v>4123</v>
      </c>
      <c r="AB4143" s="37">
        <v>1.7851846282969517</v>
      </c>
      <c r="AC4143" s="37">
        <v>3.1713575385583748</v>
      </c>
      <c r="AD4143" s="37">
        <v>3.3027682639266436</v>
      </c>
    </row>
    <row r="4144" spans="27:30" x14ac:dyDescent="0.3">
      <c r="AA4144" s="37">
        <v>4124</v>
      </c>
      <c r="AB4144" s="37">
        <v>1.7991846833418923</v>
      </c>
      <c r="AC4144" s="37">
        <v>2.8094528037873743</v>
      </c>
      <c r="AD4144" s="37">
        <v>3.4729814612399914</v>
      </c>
    </row>
    <row r="4145" spans="27:30" x14ac:dyDescent="0.3">
      <c r="AA4145" s="37">
        <v>4125</v>
      </c>
      <c r="AB4145" s="37">
        <v>1.6594529545206331</v>
      </c>
      <c r="AC4145" s="37">
        <v>2.7937002123567094</v>
      </c>
      <c r="AD4145" s="37">
        <v>3.2274462820814356</v>
      </c>
    </row>
    <row r="4146" spans="27:30" x14ac:dyDescent="0.3">
      <c r="AA4146" s="37">
        <v>4126</v>
      </c>
      <c r="AB4146" s="37">
        <v>1.7881158927646099</v>
      </c>
      <c r="AC4146" s="37">
        <v>2.9241186024367187</v>
      </c>
      <c r="AD4146" s="37">
        <v>3.3994821394823602</v>
      </c>
    </row>
    <row r="4147" spans="27:30" x14ac:dyDescent="0.3">
      <c r="AA4147" s="37">
        <v>4127</v>
      </c>
      <c r="AB4147" s="37">
        <v>1.7391212450946181</v>
      </c>
      <c r="AC4147" s="37">
        <v>2.7620118970925587</v>
      </c>
      <c r="AD4147" s="37">
        <v>3.3538333818456696</v>
      </c>
    </row>
    <row r="4148" spans="27:30" x14ac:dyDescent="0.3">
      <c r="AA4148" s="37">
        <v>4128</v>
      </c>
      <c r="AB4148" s="37">
        <v>1.8042415138486581</v>
      </c>
      <c r="AC4148" s="37">
        <v>2.8377073281985901</v>
      </c>
      <c r="AD4148" s="37">
        <v>3.4671757733403097</v>
      </c>
    </row>
    <row r="4149" spans="27:30" x14ac:dyDescent="0.3">
      <c r="AA4149" s="37">
        <v>4129</v>
      </c>
      <c r="AB4149" s="37">
        <v>1.7392071742702468</v>
      </c>
      <c r="AC4149" s="37">
        <v>2.6854427328368438</v>
      </c>
      <c r="AD4149" s="37">
        <v>3.3192902233922164</v>
      </c>
    </row>
    <row r="4150" spans="27:30" x14ac:dyDescent="0.3">
      <c r="AA4150" s="37">
        <v>4130</v>
      </c>
      <c r="AB4150" s="37">
        <v>1.8161505199005679</v>
      </c>
      <c r="AC4150" s="37">
        <v>2.9955235617468503</v>
      </c>
      <c r="AD4150" s="37">
        <v>3.4965625639235256</v>
      </c>
    </row>
    <row r="4151" spans="27:30" x14ac:dyDescent="0.3">
      <c r="AA4151" s="37">
        <v>4131</v>
      </c>
      <c r="AB4151" s="37">
        <v>1.889792718760595</v>
      </c>
      <c r="AC4151" s="37">
        <v>2.9929748941123675</v>
      </c>
      <c r="AD4151" s="37">
        <v>3.4365020637991441</v>
      </c>
    </row>
    <row r="4152" spans="27:30" x14ac:dyDescent="0.3">
      <c r="AA4152" s="37">
        <v>4132</v>
      </c>
      <c r="AB4152" s="37">
        <v>1.8191557846382638</v>
      </c>
      <c r="AC4152" s="37">
        <v>2.8789760634283668</v>
      </c>
      <c r="AD4152" s="37">
        <v>3.2000056981995826</v>
      </c>
    </row>
    <row r="4153" spans="27:30" x14ac:dyDescent="0.3">
      <c r="AA4153" s="37">
        <v>4133</v>
      </c>
      <c r="AB4153" s="37">
        <v>1.8958561637286888</v>
      </c>
      <c r="AC4153" s="37">
        <v>2.8146809885509021</v>
      </c>
      <c r="AD4153" s="37">
        <v>3.1883276450016473</v>
      </c>
    </row>
    <row r="4154" spans="27:30" x14ac:dyDescent="0.3">
      <c r="AA4154" s="37">
        <v>4134</v>
      </c>
      <c r="AB4154" s="37">
        <v>1.8340782016917003</v>
      </c>
      <c r="AC4154" s="37">
        <v>2.8433220429261334</v>
      </c>
      <c r="AD4154" s="37">
        <v>3.3456721761350527</v>
      </c>
    </row>
    <row r="4155" spans="27:30" x14ac:dyDescent="0.3">
      <c r="AA4155" s="37">
        <v>4135</v>
      </c>
      <c r="AB4155" s="37">
        <v>1.7065953483989085</v>
      </c>
      <c r="AC4155" s="37">
        <v>2.7705786382423123</v>
      </c>
      <c r="AD4155" s="37">
        <v>3.2272715405468384</v>
      </c>
    </row>
    <row r="4156" spans="27:30" x14ac:dyDescent="0.3">
      <c r="AA4156" s="37">
        <v>4136</v>
      </c>
      <c r="AB4156" s="37">
        <v>1.8193656179269864</v>
      </c>
      <c r="AC4156" s="37">
        <v>2.6988140424372737</v>
      </c>
      <c r="AD4156" s="37">
        <v>3.3743509066417205</v>
      </c>
    </row>
    <row r="4157" spans="27:30" x14ac:dyDescent="0.3">
      <c r="AA4157" s="37">
        <v>4137</v>
      </c>
      <c r="AB4157" s="37">
        <v>1.769999672778177</v>
      </c>
      <c r="AC4157" s="37">
        <v>2.8568826626675388</v>
      </c>
      <c r="AD4157" s="37">
        <v>3.5408052367520453</v>
      </c>
    </row>
    <row r="4158" spans="27:30" x14ac:dyDescent="0.3">
      <c r="AA4158" s="37">
        <v>4138</v>
      </c>
      <c r="AB4158" s="37">
        <v>1.7066642849488118</v>
      </c>
      <c r="AC4158" s="37">
        <v>2.8442078987610961</v>
      </c>
      <c r="AD4158" s="37">
        <v>3.4275705112794808</v>
      </c>
    </row>
    <row r="4159" spans="27:30" x14ac:dyDescent="0.3">
      <c r="AA4159" s="37">
        <v>4139</v>
      </c>
      <c r="AB4159" s="37">
        <v>1.8636870739034754</v>
      </c>
      <c r="AC4159" s="37">
        <v>2.8275592070784588</v>
      </c>
      <c r="AD4159" s="37">
        <v>3.3445337150705212</v>
      </c>
    </row>
    <row r="4160" spans="27:30" x14ac:dyDescent="0.3">
      <c r="AA4160" s="37">
        <v>4140</v>
      </c>
      <c r="AB4160" s="37">
        <v>1.8919104792789445</v>
      </c>
      <c r="AC4160" s="37">
        <v>2.9287829618304904</v>
      </c>
      <c r="AD4160" s="37">
        <v>3.3381040002290834</v>
      </c>
    </row>
    <row r="4161" spans="27:30" x14ac:dyDescent="0.3">
      <c r="AA4161" s="37">
        <v>4141</v>
      </c>
      <c r="AB4161" s="37">
        <v>1.9136266200633414</v>
      </c>
      <c r="AC4161" s="37">
        <v>2.9335275893570363</v>
      </c>
      <c r="AD4161" s="37">
        <v>3.4583695277627919</v>
      </c>
    </row>
    <row r="4162" spans="27:30" x14ac:dyDescent="0.3">
      <c r="AA4162" s="37">
        <v>4142</v>
      </c>
      <c r="AB4162" s="37">
        <v>1.7947435704729697</v>
      </c>
      <c r="AC4162" s="37">
        <v>2.9478315697202895</v>
      </c>
      <c r="AD4162" s="37">
        <v>3.2774101275739866</v>
      </c>
    </row>
    <row r="4163" spans="27:30" x14ac:dyDescent="0.3">
      <c r="AA4163" s="37">
        <v>4143</v>
      </c>
      <c r="AB4163" s="37">
        <v>1.7100306378679466</v>
      </c>
      <c r="AC4163" s="37">
        <v>2.9252295885469661</v>
      </c>
      <c r="AD4163" s="37">
        <v>3.4222652725867886</v>
      </c>
    </row>
    <row r="4164" spans="27:30" x14ac:dyDescent="0.3">
      <c r="AA4164" s="37">
        <v>4144</v>
      </c>
      <c r="AB4164" s="37">
        <v>1.7603030524405294</v>
      </c>
      <c r="AC4164" s="37">
        <v>2.848876056901851</v>
      </c>
      <c r="AD4164" s="37">
        <v>3.3986853790715674</v>
      </c>
    </row>
    <row r="4165" spans="27:30" x14ac:dyDescent="0.3">
      <c r="AA4165" s="37">
        <v>4145</v>
      </c>
      <c r="AB4165" s="37">
        <v>1.7957178055023852</v>
      </c>
      <c r="AC4165" s="37">
        <v>2.7734774361052987</v>
      </c>
      <c r="AD4165" s="37">
        <v>3.4218085891970658</v>
      </c>
    </row>
    <row r="4166" spans="27:30" x14ac:dyDescent="0.3">
      <c r="AA4166" s="37">
        <v>4146</v>
      </c>
      <c r="AB4166" s="37">
        <v>1.701997723904221</v>
      </c>
      <c r="AC4166" s="37">
        <v>2.8927197035705015</v>
      </c>
      <c r="AD4166" s="37">
        <v>3.4934247346369052</v>
      </c>
    </row>
    <row r="4167" spans="27:30" x14ac:dyDescent="0.3">
      <c r="AA4167" s="37">
        <v>4147</v>
      </c>
      <c r="AB4167" s="37">
        <v>1.8677040876898992</v>
      </c>
      <c r="AC4167" s="37">
        <v>2.9152052741147485</v>
      </c>
      <c r="AD4167" s="37">
        <v>3.4669631883160008</v>
      </c>
    </row>
    <row r="4168" spans="27:30" x14ac:dyDescent="0.3">
      <c r="AA4168" s="37">
        <v>4148</v>
      </c>
      <c r="AB4168" s="37">
        <v>1.8414869540789878</v>
      </c>
      <c r="AC4168" s="37">
        <v>2.7289359049880799</v>
      </c>
      <c r="AD4168" s="37">
        <v>3.5282006923043956</v>
      </c>
    </row>
    <row r="4169" spans="27:30" x14ac:dyDescent="0.3">
      <c r="AA4169" s="37">
        <v>4149</v>
      </c>
      <c r="AB4169" s="37">
        <v>1.8219254463284904</v>
      </c>
      <c r="AC4169" s="37">
        <v>2.8207515947322608</v>
      </c>
      <c r="AD4169" s="37">
        <v>3.1125750633686753</v>
      </c>
    </row>
    <row r="4170" spans="27:30" x14ac:dyDescent="0.3">
      <c r="AA4170" s="37">
        <v>4150</v>
      </c>
      <c r="AB4170" s="37">
        <v>1.7229995749690987</v>
      </c>
      <c r="AC4170" s="37">
        <v>2.8356001539113875</v>
      </c>
      <c r="AD4170" s="37">
        <v>3.3789171651710959</v>
      </c>
    </row>
    <row r="4171" spans="27:30" x14ac:dyDescent="0.3">
      <c r="AA4171" s="37">
        <v>4151</v>
      </c>
      <c r="AB4171" s="37">
        <v>1.7894301486852375</v>
      </c>
      <c r="AC4171" s="37">
        <v>2.9319891234464293</v>
      </c>
      <c r="AD4171" s="37">
        <v>3.2987231229982084</v>
      </c>
    </row>
    <row r="4172" spans="27:30" x14ac:dyDescent="0.3">
      <c r="AA4172" s="37">
        <v>4152</v>
      </c>
      <c r="AB4172" s="37">
        <v>1.658280148227401</v>
      </c>
      <c r="AC4172" s="37">
        <v>2.9157289215278848</v>
      </c>
      <c r="AD4172" s="37">
        <v>3.4208528510626097</v>
      </c>
    </row>
    <row r="4173" spans="27:30" x14ac:dyDescent="0.3">
      <c r="AA4173" s="37">
        <v>4153</v>
      </c>
      <c r="AB4173" s="37">
        <v>1.7751881137107695</v>
      </c>
      <c r="AC4173" s="37">
        <v>2.7806701573277599</v>
      </c>
      <c r="AD4173" s="37">
        <v>3.443895168736411</v>
      </c>
    </row>
    <row r="4174" spans="27:30" x14ac:dyDescent="0.3">
      <c r="AA4174" s="37">
        <v>4154</v>
      </c>
      <c r="AB4174" s="37">
        <v>1.9047847367320485</v>
      </c>
      <c r="AC4174" s="37">
        <v>2.7239424718114362</v>
      </c>
      <c r="AD4174" s="37">
        <v>3.2583689141732086</v>
      </c>
    </row>
    <row r="4175" spans="27:30" x14ac:dyDescent="0.3">
      <c r="AA4175" s="37">
        <v>4155</v>
      </c>
      <c r="AB4175" s="37">
        <v>1.8543741478225313</v>
      </c>
      <c r="AC4175" s="37">
        <v>2.8615441166557485</v>
      </c>
      <c r="AD4175" s="37">
        <v>3.2952764844490408</v>
      </c>
    </row>
    <row r="4176" spans="27:30" x14ac:dyDescent="0.3">
      <c r="AA4176" s="37">
        <v>4156</v>
      </c>
      <c r="AB4176" s="37">
        <v>1.8430809266282988</v>
      </c>
      <c r="AC4176" s="37">
        <v>2.7919018453772222</v>
      </c>
      <c r="AD4176" s="37">
        <v>3.3162673783546586</v>
      </c>
    </row>
    <row r="4177" spans="27:30" x14ac:dyDescent="0.3">
      <c r="AA4177" s="37">
        <v>4157</v>
      </c>
      <c r="AB4177" s="37">
        <v>1.7913041959927147</v>
      </c>
      <c r="AC4177" s="37">
        <v>2.8617518943713192</v>
      </c>
      <c r="AD4177" s="37">
        <v>3.2862444199059508</v>
      </c>
    </row>
    <row r="4178" spans="27:30" x14ac:dyDescent="0.3">
      <c r="AA4178" s="37">
        <v>4158</v>
      </c>
      <c r="AB4178" s="37">
        <v>1.7735178643396707</v>
      </c>
      <c r="AC4178" s="37">
        <v>3.0326810168523073</v>
      </c>
      <c r="AD4178" s="37">
        <v>3.2995401442765662</v>
      </c>
    </row>
    <row r="4179" spans="27:30" x14ac:dyDescent="0.3">
      <c r="AA4179" s="37">
        <v>4159</v>
      </c>
      <c r="AB4179" s="37">
        <v>1.8294575188233582</v>
      </c>
      <c r="AC4179" s="37">
        <v>2.7625691356756517</v>
      </c>
      <c r="AD4179" s="37">
        <v>3.4668525240274994</v>
      </c>
    </row>
    <row r="4180" spans="27:30" x14ac:dyDescent="0.3">
      <c r="AA4180" s="37">
        <v>4160</v>
      </c>
      <c r="AB4180" s="37">
        <v>1.7067586899218179</v>
      </c>
      <c r="AC4180" s="37">
        <v>2.6064540889485452</v>
      </c>
      <c r="AD4180" s="37">
        <v>3.4966650226966083</v>
      </c>
    </row>
    <row r="4181" spans="27:30" x14ac:dyDescent="0.3">
      <c r="AA4181" s="37">
        <v>4161</v>
      </c>
      <c r="AB4181" s="37">
        <v>1.8015495131533033</v>
      </c>
      <c r="AC4181" s="37">
        <v>2.8458108001487146</v>
      </c>
      <c r="AD4181" s="37">
        <v>3.482126282847303</v>
      </c>
    </row>
    <row r="4182" spans="27:30" x14ac:dyDescent="0.3">
      <c r="AA4182" s="37">
        <v>4162</v>
      </c>
      <c r="AB4182" s="37">
        <v>1.7094527452290953</v>
      </c>
      <c r="AC4182" s="37">
        <v>2.9497843155734094</v>
      </c>
      <c r="AD4182" s="37">
        <v>3.5291689040024874</v>
      </c>
    </row>
    <row r="4183" spans="27:30" x14ac:dyDescent="0.3">
      <c r="AA4183" s="37">
        <v>4163</v>
      </c>
      <c r="AB4183" s="37">
        <v>1.7178997330110335</v>
      </c>
      <c r="AC4183" s="37">
        <v>2.8378849089171596</v>
      </c>
      <c r="AD4183" s="37">
        <v>3.4821648622787564</v>
      </c>
    </row>
    <row r="4184" spans="27:30" x14ac:dyDescent="0.3">
      <c r="AA4184" s="37">
        <v>4164</v>
      </c>
      <c r="AB4184" s="37">
        <v>1.8946577391986359</v>
      </c>
      <c r="AC4184" s="37">
        <v>2.7854289704879491</v>
      </c>
      <c r="AD4184" s="37">
        <v>3.4205171583375313</v>
      </c>
    </row>
    <row r="4185" spans="27:30" x14ac:dyDescent="0.3">
      <c r="AA4185" s="37">
        <v>4165</v>
      </c>
      <c r="AB4185" s="37">
        <v>1.8336941639681834</v>
      </c>
      <c r="AC4185" s="37">
        <v>2.6362670659158027</v>
      </c>
      <c r="AD4185" s="37">
        <v>3.0952889255486822</v>
      </c>
    </row>
    <row r="4186" spans="27:30" x14ac:dyDescent="0.3">
      <c r="AA4186" s="37">
        <v>4166</v>
      </c>
      <c r="AB4186" s="37">
        <v>1.8659920254870932</v>
      </c>
      <c r="AC4186" s="37">
        <v>3.1389874533671622</v>
      </c>
      <c r="AD4186" s="37">
        <v>3.3980750070856796</v>
      </c>
    </row>
    <row r="4187" spans="27:30" x14ac:dyDescent="0.3">
      <c r="AA4187" s="37">
        <v>4167</v>
      </c>
      <c r="AB4187" s="37">
        <v>1.7739838023466752</v>
      </c>
      <c r="AC4187" s="37">
        <v>2.7319133433964584</v>
      </c>
      <c r="AD4187" s="37">
        <v>3.0661812239880573</v>
      </c>
    </row>
    <row r="4188" spans="27:30" x14ac:dyDescent="0.3">
      <c r="AA4188" s="37">
        <v>4168</v>
      </c>
      <c r="AB4188" s="37">
        <v>1.7528839185833263</v>
      </c>
      <c r="AC4188" s="37">
        <v>2.7142861718423195</v>
      </c>
      <c r="AD4188" s="37">
        <v>3.3195923258808975</v>
      </c>
    </row>
    <row r="4189" spans="27:30" x14ac:dyDescent="0.3">
      <c r="AA4189" s="37">
        <v>4169</v>
      </c>
      <c r="AB4189" s="37">
        <v>1.8486342760532244</v>
      </c>
      <c r="AC4189" s="37">
        <v>2.8391185167124036</v>
      </c>
      <c r="AD4189" s="37">
        <v>3.3802902662363756</v>
      </c>
    </row>
    <row r="4190" spans="27:30" x14ac:dyDescent="0.3">
      <c r="AA4190" s="37">
        <v>4170</v>
      </c>
      <c r="AB4190" s="37">
        <v>1.7924511984256728</v>
      </c>
      <c r="AC4190" s="37">
        <v>2.8150776329477747</v>
      </c>
      <c r="AD4190" s="37">
        <v>3.3761885930219839</v>
      </c>
    </row>
    <row r="4191" spans="27:30" x14ac:dyDescent="0.3">
      <c r="AA4191" s="37">
        <v>4171</v>
      </c>
      <c r="AB4191" s="37">
        <v>1.8322760298000715</v>
      </c>
      <c r="AC4191" s="37">
        <v>2.9788989030400863</v>
      </c>
      <c r="AD4191" s="37">
        <v>3.322745575839158</v>
      </c>
    </row>
    <row r="4192" spans="27:30" x14ac:dyDescent="0.3">
      <c r="AA4192" s="37">
        <v>4172</v>
      </c>
      <c r="AB4192" s="37">
        <v>1.8828523833835393</v>
      </c>
      <c r="AC4192" s="37">
        <v>2.7917957441507113</v>
      </c>
      <c r="AD4192" s="37">
        <v>3.4774972460580877</v>
      </c>
    </row>
    <row r="4193" spans="27:30" x14ac:dyDescent="0.3">
      <c r="AA4193" s="37">
        <v>4173</v>
      </c>
      <c r="AB4193" s="37">
        <v>1.7360886403291893</v>
      </c>
      <c r="AC4193" s="37">
        <v>2.7189180077244512</v>
      </c>
      <c r="AD4193" s="37">
        <v>3.2945334122490797</v>
      </c>
    </row>
    <row r="4194" spans="27:30" x14ac:dyDescent="0.3">
      <c r="AA4194" s="37">
        <v>4174</v>
      </c>
      <c r="AB4194" s="37">
        <v>1.842971517927869</v>
      </c>
      <c r="AC4194" s="37">
        <v>2.7421971436089039</v>
      </c>
      <c r="AD4194" s="37">
        <v>3.4197873979612488</v>
      </c>
    </row>
    <row r="4195" spans="27:30" x14ac:dyDescent="0.3">
      <c r="AA4195" s="37">
        <v>4175</v>
      </c>
      <c r="AB4195" s="37">
        <v>1.8181014389353891</v>
      </c>
      <c r="AC4195" s="37">
        <v>2.8443236419945972</v>
      </c>
      <c r="AD4195" s="37">
        <v>3.2774842284103816</v>
      </c>
    </row>
    <row r="4196" spans="27:30" x14ac:dyDescent="0.3">
      <c r="AA4196" s="37">
        <v>4176</v>
      </c>
      <c r="AB4196" s="37">
        <v>1.7438274354728127</v>
      </c>
      <c r="AC4196" s="37">
        <v>2.7266355790232781</v>
      </c>
      <c r="AD4196" s="37">
        <v>3.3839818046035179</v>
      </c>
    </row>
    <row r="4197" spans="27:30" x14ac:dyDescent="0.3">
      <c r="AA4197" s="37">
        <v>4177</v>
      </c>
      <c r="AB4197" s="37">
        <v>1.8311192270573149</v>
      </c>
      <c r="AC4197" s="37">
        <v>2.7633272392466566</v>
      </c>
      <c r="AD4197" s="37">
        <v>3.6700142220427692</v>
      </c>
    </row>
    <row r="4198" spans="27:30" x14ac:dyDescent="0.3">
      <c r="AA4198" s="37">
        <v>4178</v>
      </c>
      <c r="AB4198" s="37">
        <v>1.8447090911838655</v>
      </c>
      <c r="AC4198" s="37">
        <v>3.0720431036478337</v>
      </c>
      <c r="AD4198" s="37">
        <v>3.4212307698829965</v>
      </c>
    </row>
    <row r="4199" spans="27:30" x14ac:dyDescent="0.3">
      <c r="AA4199" s="37">
        <v>4179</v>
      </c>
      <c r="AB4199" s="37">
        <v>1.6870886235700591</v>
      </c>
      <c r="AC4199" s="37">
        <v>2.7867382838878338</v>
      </c>
      <c r="AD4199" s="37">
        <v>3.3593250409616324</v>
      </c>
    </row>
    <row r="4200" spans="27:30" x14ac:dyDescent="0.3">
      <c r="AA4200" s="37">
        <v>4180</v>
      </c>
      <c r="AB4200" s="37">
        <v>1.7662253105197072</v>
      </c>
      <c r="AC4200" s="37">
        <v>2.8270958324560778</v>
      </c>
      <c r="AD4200" s="37">
        <v>3.3514156507411923</v>
      </c>
    </row>
    <row r="4201" spans="27:30" x14ac:dyDescent="0.3">
      <c r="AA4201" s="37">
        <v>4181</v>
      </c>
      <c r="AB4201" s="37">
        <v>1.8566159184716367</v>
      </c>
      <c r="AC4201" s="37">
        <v>2.9609579679739237</v>
      </c>
      <c r="AD4201" s="37">
        <v>3.5667026761804537</v>
      </c>
    </row>
    <row r="4202" spans="27:30" x14ac:dyDescent="0.3">
      <c r="AA4202" s="37">
        <v>4182</v>
      </c>
      <c r="AB4202" s="37">
        <v>1.9098739692156044</v>
      </c>
      <c r="AC4202" s="37">
        <v>2.8892647620987568</v>
      </c>
      <c r="AD4202" s="37">
        <v>3.2887556222561538</v>
      </c>
    </row>
    <row r="4203" spans="27:30" x14ac:dyDescent="0.3">
      <c r="AA4203" s="37">
        <v>4183</v>
      </c>
      <c r="AB4203" s="37">
        <v>1.7635624955491656</v>
      </c>
      <c r="AC4203" s="37">
        <v>2.8663273113978192</v>
      </c>
      <c r="AD4203" s="37">
        <v>3.4184352947567485</v>
      </c>
    </row>
    <row r="4204" spans="27:30" x14ac:dyDescent="0.3">
      <c r="AA4204" s="37">
        <v>4184</v>
      </c>
      <c r="AB4204" s="37">
        <v>1.789842282012077</v>
      </c>
      <c r="AC4204" s="37">
        <v>2.8622255528776903</v>
      </c>
      <c r="AD4204" s="37">
        <v>3.3659374091818948</v>
      </c>
    </row>
    <row r="4205" spans="27:30" x14ac:dyDescent="0.3">
      <c r="AA4205" s="37">
        <v>4185</v>
      </c>
      <c r="AB4205" s="37">
        <v>1.8441569011897676</v>
      </c>
      <c r="AC4205" s="37">
        <v>2.9037418157125905</v>
      </c>
      <c r="AD4205" s="37">
        <v>3.2115453006630852</v>
      </c>
    </row>
    <row r="4206" spans="27:30" x14ac:dyDescent="0.3">
      <c r="AA4206" s="37">
        <v>4186</v>
      </c>
      <c r="AB4206" s="37">
        <v>1.8133017946259269</v>
      </c>
      <c r="AC4206" s="37">
        <v>2.8400495401267003</v>
      </c>
      <c r="AD4206" s="37">
        <v>3.1973699055142251</v>
      </c>
    </row>
    <row r="4207" spans="27:30" x14ac:dyDescent="0.3">
      <c r="AA4207" s="37">
        <v>4187</v>
      </c>
      <c r="AB4207" s="37">
        <v>1.77081810805647</v>
      </c>
      <c r="AC4207" s="37">
        <v>2.9354124208483037</v>
      </c>
      <c r="AD4207" s="37">
        <v>3.3631626589647117</v>
      </c>
    </row>
    <row r="4208" spans="27:30" x14ac:dyDescent="0.3">
      <c r="AA4208" s="37">
        <v>4188</v>
      </c>
      <c r="AB4208" s="37">
        <v>1.7091998414982639</v>
      </c>
      <c r="AC4208" s="37">
        <v>3.0176666052594556</v>
      </c>
      <c r="AD4208" s="37">
        <v>3.3151755010925581</v>
      </c>
    </row>
    <row r="4209" spans="27:30" x14ac:dyDescent="0.3">
      <c r="AA4209" s="37">
        <v>4189</v>
      </c>
      <c r="AB4209" s="37">
        <v>1.8427576736934617</v>
      </c>
      <c r="AC4209" s="37">
        <v>2.86440145551214</v>
      </c>
      <c r="AD4209" s="37">
        <v>3.4657870175393128</v>
      </c>
    </row>
    <row r="4210" spans="27:30" x14ac:dyDescent="0.3">
      <c r="AA4210" s="37">
        <v>4190</v>
      </c>
      <c r="AB4210" s="37">
        <v>1.7018798762843219</v>
      </c>
      <c r="AC4210" s="37">
        <v>2.9290494404521104</v>
      </c>
      <c r="AD4210" s="37">
        <v>3.5175040618001026</v>
      </c>
    </row>
    <row r="4211" spans="27:30" x14ac:dyDescent="0.3">
      <c r="AA4211" s="37">
        <v>4191</v>
      </c>
      <c r="AB4211" s="37">
        <v>1.7041454516229229</v>
      </c>
      <c r="AC4211" s="37">
        <v>2.9166957075802529</v>
      </c>
      <c r="AD4211" s="37">
        <v>3.1949465105064774</v>
      </c>
    </row>
    <row r="4212" spans="27:30" x14ac:dyDescent="0.3">
      <c r="AA4212" s="37">
        <v>4192</v>
      </c>
      <c r="AB4212" s="37">
        <v>1.7347663882979334</v>
      </c>
      <c r="AC4212" s="37">
        <v>2.8265250021945532</v>
      </c>
      <c r="AD4212" s="37">
        <v>3.3793559650855949</v>
      </c>
    </row>
    <row r="4213" spans="27:30" x14ac:dyDescent="0.3">
      <c r="AA4213" s="37">
        <v>4193</v>
      </c>
      <c r="AB4213" s="37">
        <v>1.6564467506063931</v>
      </c>
      <c r="AC4213" s="37">
        <v>3.0270426598963533</v>
      </c>
      <c r="AD4213" s="37">
        <v>3.5258531792633381</v>
      </c>
    </row>
    <row r="4214" spans="27:30" x14ac:dyDescent="0.3">
      <c r="AA4214" s="37">
        <v>4194</v>
      </c>
      <c r="AB4214" s="37">
        <v>1.6949560609082388</v>
      </c>
      <c r="AC4214" s="37">
        <v>2.7816954839002919</v>
      </c>
      <c r="AD4214" s="37">
        <v>3.4745346677758455</v>
      </c>
    </row>
    <row r="4215" spans="27:30" x14ac:dyDescent="0.3">
      <c r="AA4215" s="37">
        <v>4195</v>
      </c>
      <c r="AB4215" s="37">
        <v>1.8467801309820466</v>
      </c>
      <c r="AC4215" s="37">
        <v>2.8827746316242533</v>
      </c>
      <c r="AD4215" s="37">
        <v>3.3442066940740722</v>
      </c>
    </row>
    <row r="4216" spans="27:30" x14ac:dyDescent="0.3">
      <c r="AA4216" s="37">
        <v>4196</v>
      </c>
      <c r="AB4216" s="37">
        <v>1.8080981652199659</v>
      </c>
      <c r="AC4216" s="37">
        <v>2.8899561724302556</v>
      </c>
      <c r="AD4216" s="37">
        <v>3.186074495074247</v>
      </c>
    </row>
    <row r="4217" spans="27:30" x14ac:dyDescent="0.3">
      <c r="AA4217" s="37">
        <v>4197</v>
      </c>
      <c r="AB4217" s="37">
        <v>1.7803201798540755</v>
      </c>
      <c r="AC4217" s="37">
        <v>2.8838505640959569</v>
      </c>
      <c r="AD4217" s="37">
        <v>3.4457901337335066</v>
      </c>
    </row>
    <row r="4218" spans="27:30" x14ac:dyDescent="0.3">
      <c r="AA4218" s="37">
        <v>4198</v>
      </c>
      <c r="AB4218" s="37">
        <v>1.7622489593028468</v>
      </c>
      <c r="AC4218" s="37">
        <v>2.5744581076373518</v>
      </c>
      <c r="AD4218" s="37">
        <v>3.2781301164948151</v>
      </c>
    </row>
    <row r="4219" spans="27:30" x14ac:dyDescent="0.3">
      <c r="AA4219" s="37">
        <v>4199</v>
      </c>
      <c r="AB4219" s="37">
        <v>1.7487922631609853</v>
      </c>
      <c r="AC4219" s="37">
        <v>2.8994832012933642</v>
      </c>
      <c r="AD4219" s="37">
        <v>3.5325712851760942</v>
      </c>
    </row>
    <row r="4220" spans="27:30" x14ac:dyDescent="0.3">
      <c r="AA4220" s="37">
        <v>4200</v>
      </c>
      <c r="AB4220" s="37">
        <v>1.9327769801641963</v>
      </c>
      <c r="AC4220" s="37">
        <v>2.8340196790149661</v>
      </c>
      <c r="AD4220" s="37">
        <v>3.3506007290824265</v>
      </c>
    </row>
    <row r="4221" spans="27:30" x14ac:dyDescent="0.3">
      <c r="AA4221" s="37">
        <v>4201</v>
      </c>
      <c r="AB4221" s="37">
        <v>1.7404039372406226</v>
      </c>
      <c r="AC4221" s="37">
        <v>3.0165873798879299</v>
      </c>
      <c r="AD4221" s="37">
        <v>3.4559621715614206</v>
      </c>
    </row>
    <row r="4222" spans="27:30" x14ac:dyDescent="0.3">
      <c r="AA4222" s="37">
        <v>4202</v>
      </c>
      <c r="AB4222" s="37">
        <v>1.7628286602144725</v>
      </c>
      <c r="AC4222" s="37">
        <v>2.933898735903234</v>
      </c>
      <c r="AD4222" s="37">
        <v>3.2399186274984708</v>
      </c>
    </row>
    <row r="4223" spans="27:30" x14ac:dyDescent="0.3">
      <c r="AA4223" s="37">
        <v>4203</v>
      </c>
      <c r="AB4223" s="37">
        <v>1.932897782778964</v>
      </c>
      <c r="AC4223" s="37">
        <v>2.7679892251705698</v>
      </c>
      <c r="AD4223" s="37">
        <v>3.2919697448795286</v>
      </c>
    </row>
    <row r="4224" spans="27:30" x14ac:dyDescent="0.3">
      <c r="AA4224" s="37">
        <v>4204</v>
      </c>
      <c r="AB4224" s="37">
        <v>1.8626443633820011</v>
      </c>
      <c r="AC4224" s="37">
        <v>2.9976843080319</v>
      </c>
      <c r="AD4224" s="37">
        <v>3.369298980810997</v>
      </c>
    </row>
    <row r="4225" spans="27:30" x14ac:dyDescent="0.3">
      <c r="AA4225" s="37">
        <v>4205</v>
      </c>
      <c r="AB4225" s="37">
        <v>1.6724746189271298</v>
      </c>
      <c r="AC4225" s="37">
        <v>2.8268406017834726</v>
      </c>
      <c r="AD4225" s="37">
        <v>3.3460179561273575</v>
      </c>
    </row>
    <row r="4226" spans="27:30" x14ac:dyDescent="0.3">
      <c r="AA4226" s="37">
        <v>4206</v>
      </c>
      <c r="AB4226" s="37">
        <v>1.8161979203555787</v>
      </c>
      <c r="AC4226" s="37">
        <v>2.8362578443017794</v>
      </c>
      <c r="AD4226" s="37">
        <v>3.3063060792639472</v>
      </c>
    </row>
    <row r="4227" spans="27:30" x14ac:dyDescent="0.3">
      <c r="AA4227" s="37">
        <v>4207</v>
      </c>
      <c r="AB4227" s="37">
        <v>1.7548138999752081</v>
      </c>
      <c r="AC4227" s="37">
        <v>2.7485612435483628</v>
      </c>
      <c r="AD4227" s="37">
        <v>3.3426024588282077</v>
      </c>
    </row>
    <row r="4228" spans="27:30" x14ac:dyDescent="0.3">
      <c r="AA4228" s="37">
        <v>4208</v>
      </c>
      <c r="AB4228" s="37">
        <v>1.6950898276991857</v>
      </c>
      <c r="AC4228" s="37">
        <v>2.9432581030976057</v>
      </c>
      <c r="AD4228" s="37">
        <v>3.4483153842209506</v>
      </c>
    </row>
    <row r="4229" spans="27:30" x14ac:dyDescent="0.3">
      <c r="AA4229" s="37">
        <v>4209</v>
      </c>
      <c r="AB4229" s="37">
        <v>1.8146524627219214</v>
      </c>
      <c r="AC4229" s="37">
        <v>2.7267902951670204</v>
      </c>
      <c r="AD4229" s="37">
        <v>3.4883599568700889</v>
      </c>
    </row>
    <row r="4230" spans="27:30" x14ac:dyDescent="0.3">
      <c r="AA4230" s="37">
        <v>4210</v>
      </c>
      <c r="AB4230" s="37">
        <v>1.8300138710902027</v>
      </c>
      <c r="AC4230" s="37">
        <v>2.8827563097346052</v>
      </c>
      <c r="AD4230" s="37">
        <v>3.3534122821570986</v>
      </c>
    </row>
    <row r="4231" spans="27:30" x14ac:dyDescent="0.3">
      <c r="AA4231" s="37">
        <v>4211</v>
      </c>
      <c r="AB4231" s="37">
        <v>1.7684155918836664</v>
      </c>
      <c r="AC4231" s="37">
        <v>2.9920049783706446</v>
      </c>
      <c r="AD4231" s="37">
        <v>3.4976807990387884</v>
      </c>
    </row>
    <row r="4232" spans="27:30" x14ac:dyDescent="0.3">
      <c r="AA4232" s="37">
        <v>4212</v>
      </c>
      <c r="AB4232" s="37">
        <v>1.7120478317642507</v>
      </c>
      <c r="AC4232" s="37">
        <v>2.9001322353642527</v>
      </c>
      <c r="AD4232" s="37">
        <v>3.2201069325621146</v>
      </c>
    </row>
    <row r="4233" spans="27:30" x14ac:dyDescent="0.3">
      <c r="AA4233" s="37">
        <v>4213</v>
      </c>
      <c r="AB4233" s="37">
        <v>1.7256240602949489</v>
      </c>
      <c r="AC4233" s="37">
        <v>2.9574648374252823</v>
      </c>
      <c r="AD4233" s="37">
        <v>3.4342711369170691</v>
      </c>
    </row>
    <row r="4234" spans="27:30" x14ac:dyDescent="0.3">
      <c r="AA4234" s="37">
        <v>4214</v>
      </c>
      <c r="AB4234" s="37">
        <v>1.8448820433478872</v>
      </c>
      <c r="AC4234" s="37">
        <v>2.8156519393588981</v>
      </c>
      <c r="AD4234" s="37">
        <v>3.3856957288103229</v>
      </c>
    </row>
    <row r="4235" spans="27:30" x14ac:dyDescent="0.3">
      <c r="AA4235" s="37">
        <v>4215</v>
      </c>
      <c r="AB4235" s="37">
        <v>1.7397077420994262</v>
      </c>
      <c r="AC4235" s="37">
        <v>2.7629612430264658</v>
      </c>
      <c r="AD4235" s="37">
        <v>3.4973760383230177</v>
      </c>
    </row>
    <row r="4236" spans="27:30" x14ac:dyDescent="0.3">
      <c r="AA4236" s="37">
        <v>4216</v>
      </c>
      <c r="AB4236" s="37">
        <v>1.7017941903021974</v>
      </c>
      <c r="AC4236" s="37">
        <v>2.8660778722449369</v>
      </c>
      <c r="AD4236" s="37">
        <v>3.1523703517751072</v>
      </c>
    </row>
    <row r="4237" spans="27:30" x14ac:dyDescent="0.3">
      <c r="AA4237" s="37">
        <v>4217</v>
      </c>
      <c r="AB4237" s="37">
        <v>1.8677229823082366</v>
      </c>
      <c r="AC4237" s="37">
        <v>2.8222390023121564</v>
      </c>
      <c r="AD4237" s="37">
        <v>3.5399899945264734</v>
      </c>
    </row>
    <row r="4238" spans="27:30" x14ac:dyDescent="0.3">
      <c r="AA4238" s="37">
        <v>4218</v>
      </c>
      <c r="AB4238" s="37">
        <v>1.8093681232816925</v>
      </c>
      <c r="AC4238" s="37">
        <v>2.7776215361459875</v>
      </c>
      <c r="AD4238" s="37">
        <v>3.2092970556490523</v>
      </c>
    </row>
    <row r="4239" spans="27:30" x14ac:dyDescent="0.3">
      <c r="AA4239" s="37">
        <v>4219</v>
      </c>
      <c r="AB4239" s="37">
        <v>1.8354253355945593</v>
      </c>
      <c r="AC4239" s="37">
        <v>2.8479581780235361</v>
      </c>
      <c r="AD4239" s="37">
        <v>3.7021681004092448</v>
      </c>
    </row>
    <row r="4240" spans="27:30" x14ac:dyDescent="0.3">
      <c r="AA4240" s="37">
        <v>4220</v>
      </c>
      <c r="AB4240" s="37">
        <v>1.8093769186147386</v>
      </c>
      <c r="AC4240" s="37">
        <v>2.791095534379199</v>
      </c>
      <c r="AD4240" s="37">
        <v>3.4121876633171029</v>
      </c>
    </row>
    <row r="4241" spans="27:30" x14ac:dyDescent="0.3">
      <c r="AA4241" s="37">
        <v>4221</v>
      </c>
      <c r="AB4241" s="37">
        <v>1.9131232235333169</v>
      </c>
      <c r="AC4241" s="37">
        <v>2.9876109584125286</v>
      </c>
      <c r="AD4241" s="37">
        <v>3.2255775192858644</v>
      </c>
    </row>
    <row r="4242" spans="27:30" x14ac:dyDescent="0.3">
      <c r="AA4242" s="37">
        <v>4222</v>
      </c>
      <c r="AB4242" s="37">
        <v>1.8341878655075818</v>
      </c>
      <c r="AC4242" s="37">
        <v>2.9470191108048494</v>
      </c>
      <c r="AD4242" s="37">
        <v>3.4401873993077077</v>
      </c>
    </row>
    <row r="4243" spans="27:30" x14ac:dyDescent="0.3">
      <c r="AA4243" s="37">
        <v>4223</v>
      </c>
      <c r="AB4243" s="37">
        <v>1.7301117960614587</v>
      </c>
      <c r="AC4243" s="37">
        <v>2.7744364442849472</v>
      </c>
      <c r="AD4243" s="37">
        <v>3.2904256711624251</v>
      </c>
    </row>
    <row r="4244" spans="27:30" x14ac:dyDescent="0.3">
      <c r="AA4244" s="37">
        <v>4224</v>
      </c>
      <c r="AB4244" s="37">
        <v>1.8317777429539452</v>
      </c>
      <c r="AC4244" s="37">
        <v>2.6592403806139537</v>
      </c>
      <c r="AD4244" s="37">
        <v>3.0912311407950943</v>
      </c>
    </row>
    <row r="4245" spans="27:30" x14ac:dyDescent="0.3">
      <c r="AA4245" s="37">
        <v>4225</v>
      </c>
      <c r="AB4245" s="37">
        <v>1.8750444674582005</v>
      </c>
      <c r="AC4245" s="37">
        <v>2.6396321746070877</v>
      </c>
      <c r="AD4245" s="37">
        <v>3.2757290765028215</v>
      </c>
    </row>
    <row r="4246" spans="27:30" x14ac:dyDescent="0.3">
      <c r="AA4246" s="37">
        <v>4226</v>
      </c>
      <c r="AB4246" s="37">
        <v>1.8011742577719849</v>
      </c>
      <c r="AC4246" s="37">
        <v>2.823495403409745</v>
      </c>
      <c r="AD4246" s="37">
        <v>3.3865289298127501</v>
      </c>
    </row>
    <row r="4247" spans="27:30" x14ac:dyDescent="0.3">
      <c r="AA4247" s="37">
        <v>4227</v>
      </c>
      <c r="AB4247" s="37">
        <v>1.7696745027168717</v>
      </c>
      <c r="AC4247" s="37">
        <v>2.8445069490948343</v>
      </c>
      <c r="AD4247" s="37">
        <v>3.6236345133597836</v>
      </c>
    </row>
    <row r="4248" spans="27:30" x14ac:dyDescent="0.3">
      <c r="AA4248" s="37">
        <v>4228</v>
      </c>
      <c r="AB4248" s="37">
        <v>1.6875046712316308</v>
      </c>
      <c r="AC4248" s="37">
        <v>2.8053519241830154</v>
      </c>
      <c r="AD4248" s="37">
        <v>3.2742500607252323</v>
      </c>
    </row>
    <row r="4249" spans="27:30" x14ac:dyDescent="0.3">
      <c r="AA4249" s="37">
        <v>4229</v>
      </c>
      <c r="AB4249" s="37">
        <v>1.8460739545722218</v>
      </c>
      <c r="AC4249" s="37">
        <v>2.7589669689454763</v>
      </c>
      <c r="AD4249" s="37">
        <v>3.2824330048323986</v>
      </c>
    </row>
    <row r="4250" spans="27:30" x14ac:dyDescent="0.3">
      <c r="AA4250" s="37">
        <v>4230</v>
      </c>
      <c r="AB4250" s="37">
        <v>1.8589912181351713</v>
      </c>
      <c r="AC4250" s="37">
        <v>2.9230777396583885</v>
      </c>
      <c r="AD4250" s="37">
        <v>3.3682957840053671</v>
      </c>
    </row>
    <row r="4251" spans="27:30" x14ac:dyDescent="0.3">
      <c r="AA4251" s="37">
        <v>4231</v>
      </c>
      <c r="AB4251" s="37">
        <v>1.790553935132785</v>
      </c>
      <c r="AC4251" s="37">
        <v>2.7583738213881728</v>
      </c>
      <c r="AD4251" s="37">
        <v>3.2261445906710882</v>
      </c>
    </row>
    <row r="4252" spans="27:30" x14ac:dyDescent="0.3">
      <c r="AA4252" s="37">
        <v>4232</v>
      </c>
      <c r="AB4252" s="37">
        <v>1.788939112219003</v>
      </c>
      <c r="AC4252" s="37">
        <v>2.8150451363636879</v>
      </c>
      <c r="AD4252" s="37">
        <v>3.327107627980737</v>
      </c>
    </row>
    <row r="4253" spans="27:30" x14ac:dyDescent="0.3">
      <c r="AA4253" s="37">
        <v>4233</v>
      </c>
      <c r="AB4253" s="37">
        <v>1.7205270828307195</v>
      </c>
      <c r="AC4253" s="37">
        <v>2.8230870540764696</v>
      </c>
      <c r="AD4253" s="37">
        <v>3.3171880316714177</v>
      </c>
    </row>
    <row r="4254" spans="27:30" x14ac:dyDescent="0.3">
      <c r="AA4254" s="37">
        <v>4234</v>
      </c>
      <c r="AB4254" s="37">
        <v>2.016086744890961</v>
      </c>
      <c r="AC4254" s="37">
        <v>2.9765075880885532</v>
      </c>
      <c r="AD4254" s="37">
        <v>3.2910428177779889</v>
      </c>
    </row>
    <row r="4255" spans="27:30" x14ac:dyDescent="0.3">
      <c r="AA4255" s="37">
        <v>4235</v>
      </c>
      <c r="AB4255" s="37">
        <v>1.8026425323224891</v>
      </c>
      <c r="AC4255" s="37">
        <v>2.6810028002114832</v>
      </c>
      <c r="AD4255" s="37">
        <v>3.3427383834962332</v>
      </c>
    </row>
    <row r="4256" spans="27:30" x14ac:dyDescent="0.3">
      <c r="AA4256" s="37">
        <v>4236</v>
      </c>
      <c r="AB4256" s="37">
        <v>1.8607582439607444</v>
      </c>
      <c r="AC4256" s="37">
        <v>2.9256197890483548</v>
      </c>
      <c r="AD4256" s="37">
        <v>3.3712921798721265</v>
      </c>
    </row>
    <row r="4257" spans="27:30" x14ac:dyDescent="0.3">
      <c r="AA4257" s="37">
        <v>4237</v>
      </c>
      <c r="AB4257" s="37">
        <v>1.9122723504278625</v>
      </c>
      <c r="AC4257" s="37">
        <v>2.7489619393727232</v>
      </c>
      <c r="AD4257" s="37">
        <v>3.1788810138268846</v>
      </c>
    </row>
    <row r="4258" spans="27:30" x14ac:dyDescent="0.3">
      <c r="AA4258" s="37">
        <v>4238</v>
      </c>
      <c r="AB4258" s="37">
        <v>1.7666782932013967</v>
      </c>
      <c r="AC4258" s="37">
        <v>2.7931640115344378</v>
      </c>
      <c r="AD4258" s="37">
        <v>3.3984234539268048</v>
      </c>
    </row>
    <row r="4259" spans="27:30" x14ac:dyDescent="0.3">
      <c r="AA4259" s="37">
        <v>4239</v>
      </c>
      <c r="AB4259" s="37">
        <v>1.723236551649256</v>
      </c>
      <c r="AC4259" s="37">
        <v>2.8544394646571845</v>
      </c>
      <c r="AD4259" s="37">
        <v>3.392974240166029</v>
      </c>
    </row>
    <row r="4260" spans="27:30" x14ac:dyDescent="0.3">
      <c r="AA4260" s="37">
        <v>4240</v>
      </c>
      <c r="AB4260" s="37">
        <v>1.7818527701901139</v>
      </c>
      <c r="AC4260" s="37">
        <v>2.9638579429238447</v>
      </c>
      <c r="AD4260" s="37">
        <v>3.3213514725129705</v>
      </c>
    </row>
    <row r="4261" spans="27:30" x14ac:dyDescent="0.3">
      <c r="AA4261" s="37">
        <v>4241</v>
      </c>
      <c r="AB4261" s="37">
        <v>1.7830344795624986</v>
      </c>
      <c r="AC4261" s="37">
        <v>2.7637460126197042</v>
      </c>
      <c r="AD4261" s="37">
        <v>3.3921156308019635</v>
      </c>
    </row>
    <row r="4262" spans="27:30" x14ac:dyDescent="0.3">
      <c r="AA4262" s="37">
        <v>4242</v>
      </c>
      <c r="AB4262" s="37">
        <v>1.719841231917046</v>
      </c>
      <c r="AC4262" s="37">
        <v>2.8756193921546198</v>
      </c>
      <c r="AD4262" s="37">
        <v>3.1977664977602402</v>
      </c>
    </row>
    <row r="4263" spans="27:30" x14ac:dyDescent="0.3">
      <c r="AA4263" s="37">
        <v>4243</v>
      </c>
      <c r="AB4263" s="37">
        <v>1.6904297779586179</v>
      </c>
      <c r="AC4263" s="37">
        <v>2.8211002990229925</v>
      </c>
      <c r="AD4263" s="37">
        <v>3.2975468062063062</v>
      </c>
    </row>
    <row r="4264" spans="27:30" x14ac:dyDescent="0.3">
      <c r="AA4264" s="37">
        <v>4244</v>
      </c>
      <c r="AB4264" s="37">
        <v>1.7152445347660792</v>
      </c>
      <c r="AC4264" s="37">
        <v>2.8742114520809161</v>
      </c>
      <c r="AD4264" s="37">
        <v>3.5463850490678293</v>
      </c>
    </row>
    <row r="4265" spans="27:30" x14ac:dyDescent="0.3">
      <c r="AA4265" s="37">
        <v>4245</v>
      </c>
      <c r="AB4265" s="37">
        <v>1.8640707619276389</v>
      </c>
      <c r="AC4265" s="37">
        <v>2.7763182345593784</v>
      </c>
      <c r="AD4265" s="37">
        <v>3.26917349523888</v>
      </c>
    </row>
    <row r="4266" spans="27:30" x14ac:dyDescent="0.3">
      <c r="AA4266" s="37">
        <v>4246</v>
      </c>
      <c r="AB4266" s="37">
        <v>1.7801627827131032</v>
      </c>
      <c r="AC4266" s="37">
        <v>3.0088298855457438</v>
      </c>
      <c r="AD4266" s="37">
        <v>3.3433828856344392</v>
      </c>
    </row>
    <row r="4267" spans="27:30" x14ac:dyDescent="0.3">
      <c r="AA4267" s="37">
        <v>4247</v>
      </c>
      <c r="AB4267" s="37">
        <v>1.7869210282348045</v>
      </c>
      <c r="AC4267" s="37">
        <v>2.8609837505470992</v>
      </c>
      <c r="AD4267" s="37">
        <v>3.3974888293935073</v>
      </c>
    </row>
    <row r="4268" spans="27:30" x14ac:dyDescent="0.3">
      <c r="AA4268" s="37">
        <v>4248</v>
      </c>
      <c r="AB4268" s="37">
        <v>1.8176483841431665</v>
      </c>
      <c r="AC4268" s="37">
        <v>2.8105874731586606</v>
      </c>
      <c r="AD4268" s="37">
        <v>3.3566861045173799</v>
      </c>
    </row>
    <row r="4269" spans="27:30" x14ac:dyDescent="0.3">
      <c r="AA4269" s="37">
        <v>4249</v>
      </c>
      <c r="AB4269" s="37">
        <v>1.7375797917980293</v>
      </c>
      <c r="AC4269" s="37">
        <v>2.4301496224125141</v>
      </c>
      <c r="AD4269" s="37">
        <v>3.2669008268361281</v>
      </c>
    </row>
    <row r="4270" spans="27:30" x14ac:dyDescent="0.3">
      <c r="AA4270" s="37">
        <v>4250</v>
      </c>
      <c r="AB4270" s="37">
        <v>1.738509852307361</v>
      </c>
      <c r="AC4270" s="37">
        <v>2.8954435752526151</v>
      </c>
      <c r="AD4270" s="37">
        <v>3.5004326739965883</v>
      </c>
    </row>
    <row r="4271" spans="27:30" x14ac:dyDescent="0.3">
      <c r="AA4271" s="37">
        <v>4251</v>
      </c>
      <c r="AB4271" s="37">
        <v>1.7219184567706389</v>
      </c>
      <c r="AC4271" s="37">
        <v>3.0244255199098444</v>
      </c>
      <c r="AD4271" s="37">
        <v>3.4180679245309151</v>
      </c>
    </row>
    <row r="4272" spans="27:30" x14ac:dyDescent="0.3">
      <c r="AA4272" s="37">
        <v>4252</v>
      </c>
      <c r="AB4272" s="37">
        <v>1.7508887769658623</v>
      </c>
      <c r="AC4272" s="37">
        <v>2.6181414070280522</v>
      </c>
      <c r="AD4272" s="37">
        <v>3.3284735269212233</v>
      </c>
    </row>
    <row r="4273" spans="27:30" x14ac:dyDescent="0.3">
      <c r="AA4273" s="37">
        <v>4253</v>
      </c>
      <c r="AB4273" s="37">
        <v>1.6931920936791021</v>
      </c>
      <c r="AC4273" s="37">
        <v>2.6877881889387756</v>
      </c>
      <c r="AD4273" s="37">
        <v>3.3004422577269685</v>
      </c>
    </row>
    <row r="4274" spans="27:30" x14ac:dyDescent="0.3">
      <c r="AA4274" s="37">
        <v>4254</v>
      </c>
      <c r="AB4274" s="37">
        <v>1.7544355037653472</v>
      </c>
      <c r="AC4274" s="37">
        <v>2.9564218557250639</v>
      </c>
      <c r="AD4274" s="37">
        <v>3.1543932604502332</v>
      </c>
    </row>
    <row r="4275" spans="27:30" x14ac:dyDescent="0.3">
      <c r="AA4275" s="37">
        <v>4255</v>
      </c>
      <c r="AB4275" s="37">
        <v>1.7891003270088794</v>
      </c>
      <c r="AC4275" s="37">
        <v>2.7106110329618103</v>
      </c>
      <c r="AD4275" s="37">
        <v>3.1532290101676042</v>
      </c>
    </row>
    <row r="4276" spans="27:30" x14ac:dyDescent="0.3">
      <c r="AA4276" s="37">
        <v>4256</v>
      </c>
      <c r="AB4276" s="37">
        <v>1.7971453788649154</v>
      </c>
      <c r="AC4276" s="37">
        <v>2.7807799675732263</v>
      </c>
      <c r="AD4276" s="37">
        <v>3.2519418287258333</v>
      </c>
    </row>
    <row r="4277" spans="27:30" x14ac:dyDescent="0.3">
      <c r="AA4277" s="37">
        <v>4257</v>
      </c>
      <c r="AB4277" s="37">
        <v>1.8541307083430962</v>
      </c>
      <c r="AC4277" s="37">
        <v>2.9476119978924</v>
      </c>
      <c r="AD4277" s="37">
        <v>3.2612791217671253</v>
      </c>
    </row>
    <row r="4278" spans="27:30" x14ac:dyDescent="0.3">
      <c r="AA4278" s="37">
        <v>4258</v>
      </c>
      <c r="AB4278" s="37">
        <v>1.7381328716600493</v>
      </c>
      <c r="AC4278" s="37">
        <v>2.7327315998670807</v>
      </c>
      <c r="AD4278" s="37">
        <v>3.4427086910850666</v>
      </c>
    </row>
    <row r="4279" spans="27:30" x14ac:dyDescent="0.3">
      <c r="AA4279" s="37">
        <v>4259</v>
      </c>
      <c r="AB4279" s="37">
        <v>1.7686970748459963</v>
      </c>
      <c r="AC4279" s="37">
        <v>2.7375466794635055</v>
      </c>
      <c r="AD4279" s="37">
        <v>3.4801012181423472</v>
      </c>
    </row>
    <row r="4280" spans="27:30" x14ac:dyDescent="0.3">
      <c r="AA4280" s="37">
        <v>4260</v>
      </c>
      <c r="AB4280" s="37">
        <v>1.7730537112751894</v>
      </c>
      <c r="AC4280" s="37">
        <v>2.7890669983151195</v>
      </c>
      <c r="AD4280" s="37">
        <v>3.3844264043768608</v>
      </c>
    </row>
    <row r="4281" spans="27:30" x14ac:dyDescent="0.3">
      <c r="AA4281" s="37">
        <v>4261</v>
      </c>
      <c r="AB4281" s="37">
        <v>1.8076947441863942</v>
      </c>
      <c r="AC4281" s="37">
        <v>3.0488635817397163</v>
      </c>
      <c r="AD4281" s="37">
        <v>3.5990969445267682</v>
      </c>
    </row>
    <row r="4282" spans="27:30" x14ac:dyDescent="0.3">
      <c r="AA4282" s="37">
        <v>4262</v>
      </c>
      <c r="AB4282" s="37">
        <v>1.8082742400872667</v>
      </c>
      <c r="AC4282" s="37">
        <v>2.836554010554174</v>
      </c>
      <c r="AD4282" s="37">
        <v>3.4876548289513303</v>
      </c>
    </row>
    <row r="4283" spans="27:30" x14ac:dyDescent="0.3">
      <c r="AA4283" s="37">
        <v>4263</v>
      </c>
      <c r="AB4283" s="37">
        <v>1.8340405846712953</v>
      </c>
      <c r="AC4283" s="37">
        <v>2.9235777688913185</v>
      </c>
      <c r="AD4283" s="37">
        <v>3.5120312332989605</v>
      </c>
    </row>
    <row r="4284" spans="27:30" x14ac:dyDescent="0.3">
      <c r="AA4284" s="37">
        <v>4264</v>
      </c>
      <c r="AB4284" s="37">
        <v>1.693814987298023</v>
      </c>
      <c r="AC4284" s="37">
        <v>2.6816629359637201</v>
      </c>
      <c r="AD4284" s="37">
        <v>3.1431241876470843</v>
      </c>
    </row>
    <row r="4285" spans="27:30" x14ac:dyDescent="0.3">
      <c r="AA4285" s="37">
        <v>4265</v>
      </c>
      <c r="AB4285" s="37">
        <v>1.776765642040226</v>
      </c>
      <c r="AC4285" s="37">
        <v>2.983827743539778</v>
      </c>
      <c r="AD4285" s="37">
        <v>3.433516400869193</v>
      </c>
    </row>
    <row r="4286" spans="27:30" x14ac:dyDescent="0.3">
      <c r="AA4286" s="37">
        <v>4266</v>
      </c>
      <c r="AB4286" s="37">
        <v>1.7847342378505977</v>
      </c>
      <c r="AC4286" s="37">
        <v>3.0103985779672953</v>
      </c>
      <c r="AD4286" s="37">
        <v>3.4192997121361874</v>
      </c>
    </row>
    <row r="4287" spans="27:30" x14ac:dyDescent="0.3">
      <c r="AA4287" s="37">
        <v>4267</v>
      </c>
      <c r="AB4287" s="37">
        <v>1.7771793838445595</v>
      </c>
      <c r="AC4287" s="37">
        <v>2.8245620554647073</v>
      </c>
      <c r="AD4287" s="37">
        <v>3.2806059296729306</v>
      </c>
    </row>
    <row r="4288" spans="27:30" x14ac:dyDescent="0.3">
      <c r="AA4288" s="37">
        <v>4268</v>
      </c>
      <c r="AB4288" s="37">
        <v>1.7809742892615132</v>
      </c>
      <c r="AC4288" s="37">
        <v>2.6932354220952854</v>
      </c>
      <c r="AD4288" s="37">
        <v>3.0925637041608858</v>
      </c>
    </row>
    <row r="4289" spans="27:30" x14ac:dyDescent="0.3">
      <c r="AA4289" s="37">
        <v>4269</v>
      </c>
      <c r="AB4289" s="37">
        <v>1.7584854783518387</v>
      </c>
      <c r="AC4289" s="37">
        <v>2.9399881456761801</v>
      </c>
      <c r="AD4289" s="37">
        <v>3.3588348259159519</v>
      </c>
    </row>
    <row r="4290" spans="27:30" x14ac:dyDescent="0.3">
      <c r="AA4290" s="37">
        <v>4270</v>
      </c>
      <c r="AB4290" s="37">
        <v>1.7062432104095242</v>
      </c>
      <c r="AC4290" s="37">
        <v>2.9551190724011844</v>
      </c>
      <c r="AD4290" s="37">
        <v>3.1564653421630195</v>
      </c>
    </row>
    <row r="4291" spans="27:30" x14ac:dyDescent="0.3">
      <c r="AA4291" s="37">
        <v>4271</v>
      </c>
      <c r="AB4291" s="37">
        <v>1.7457766849956107</v>
      </c>
      <c r="AC4291" s="37">
        <v>2.8506298293361962</v>
      </c>
      <c r="AD4291" s="37">
        <v>3.4883738613835824</v>
      </c>
    </row>
    <row r="4292" spans="27:30" x14ac:dyDescent="0.3">
      <c r="AA4292" s="37">
        <v>4272</v>
      </c>
      <c r="AB4292" s="37">
        <v>1.7797735134352102</v>
      </c>
      <c r="AC4292" s="37">
        <v>2.7915058878690324</v>
      </c>
      <c r="AD4292" s="37">
        <v>3.2252645854218853</v>
      </c>
    </row>
    <row r="4293" spans="27:30" x14ac:dyDescent="0.3">
      <c r="AA4293" s="37">
        <v>4273</v>
      </c>
      <c r="AB4293" s="37">
        <v>1.7326135599212624</v>
      </c>
      <c r="AC4293" s="37">
        <v>2.8600911768253217</v>
      </c>
      <c r="AD4293" s="37">
        <v>3.1988259589036394</v>
      </c>
    </row>
    <row r="4294" spans="27:30" x14ac:dyDescent="0.3">
      <c r="AA4294" s="37">
        <v>4274</v>
      </c>
      <c r="AB4294" s="37">
        <v>1.8157228830295793</v>
      </c>
      <c r="AC4294" s="37">
        <v>2.7854384680282207</v>
      </c>
      <c r="AD4294" s="37">
        <v>3.295870217409115</v>
      </c>
    </row>
    <row r="4295" spans="27:30" x14ac:dyDescent="0.3">
      <c r="AA4295" s="37">
        <v>4275</v>
      </c>
      <c r="AB4295" s="37">
        <v>1.8793162353796566</v>
      </c>
      <c r="AC4295" s="37">
        <v>2.8152621081848563</v>
      </c>
      <c r="AD4295" s="37">
        <v>3.2109918331796505</v>
      </c>
    </row>
    <row r="4296" spans="27:30" x14ac:dyDescent="0.3">
      <c r="AA4296" s="37">
        <v>4276</v>
      </c>
      <c r="AB4296" s="37">
        <v>1.8647504092114955</v>
      </c>
      <c r="AC4296" s="37">
        <v>2.960776005444782</v>
      </c>
      <c r="AD4296" s="37">
        <v>3.4203448871914937</v>
      </c>
    </row>
    <row r="4297" spans="27:30" x14ac:dyDescent="0.3">
      <c r="AA4297" s="37">
        <v>4277</v>
      </c>
      <c r="AB4297" s="37">
        <v>1.912952607564834</v>
      </c>
      <c r="AC4297" s="37">
        <v>3.0693251611811361</v>
      </c>
      <c r="AD4297" s="37">
        <v>3.4074023619242721</v>
      </c>
    </row>
    <row r="4298" spans="27:30" x14ac:dyDescent="0.3">
      <c r="AA4298" s="37">
        <v>4278</v>
      </c>
      <c r="AB4298" s="37">
        <v>1.867317229761122</v>
      </c>
      <c r="AC4298" s="37">
        <v>2.8047627559203958</v>
      </c>
      <c r="AD4298" s="37">
        <v>3.3823552054496884</v>
      </c>
    </row>
    <row r="4299" spans="27:30" x14ac:dyDescent="0.3">
      <c r="AA4299" s="37">
        <v>4279</v>
      </c>
      <c r="AB4299" s="37">
        <v>1.6776855792869814</v>
      </c>
      <c r="AC4299" s="37">
        <v>2.6902687528336329</v>
      </c>
      <c r="AD4299" s="37">
        <v>3.5167553382871857</v>
      </c>
    </row>
    <row r="4300" spans="27:30" x14ac:dyDescent="0.3">
      <c r="AA4300" s="37">
        <v>4280</v>
      </c>
      <c r="AB4300" s="37">
        <v>1.6872675933448749</v>
      </c>
      <c r="AC4300" s="37">
        <v>2.7565248829012901</v>
      </c>
      <c r="AD4300" s="37">
        <v>3.4616772733918921</v>
      </c>
    </row>
    <row r="4301" spans="27:30" x14ac:dyDescent="0.3">
      <c r="AA4301" s="37">
        <v>4281</v>
      </c>
      <c r="AB4301" s="37">
        <v>1.7228271331193825</v>
      </c>
      <c r="AC4301" s="37">
        <v>2.9942757259581225</v>
      </c>
      <c r="AD4301" s="37">
        <v>3.3299461888436852</v>
      </c>
    </row>
    <row r="4302" spans="27:30" x14ac:dyDescent="0.3">
      <c r="AA4302" s="37">
        <v>4282</v>
      </c>
      <c r="AB4302" s="37">
        <v>1.8115347918988185</v>
      </c>
      <c r="AC4302" s="37">
        <v>2.8134495471178851</v>
      </c>
      <c r="AD4302" s="37">
        <v>3.4046060783480021</v>
      </c>
    </row>
    <row r="4303" spans="27:30" x14ac:dyDescent="0.3">
      <c r="AA4303" s="37">
        <v>4283</v>
      </c>
      <c r="AB4303" s="37">
        <v>1.747885628990494</v>
      </c>
      <c r="AC4303" s="37">
        <v>2.7919215086471429</v>
      </c>
      <c r="AD4303" s="37">
        <v>3.2685205405834683</v>
      </c>
    </row>
    <row r="4304" spans="27:30" x14ac:dyDescent="0.3">
      <c r="AA4304" s="37">
        <v>4284</v>
      </c>
      <c r="AB4304" s="37">
        <v>1.7457258038603036</v>
      </c>
      <c r="AC4304" s="37">
        <v>2.812099256964161</v>
      </c>
      <c r="AD4304" s="37">
        <v>3.3847444503289394</v>
      </c>
    </row>
    <row r="4305" spans="27:30" x14ac:dyDescent="0.3">
      <c r="AA4305" s="37">
        <v>4285</v>
      </c>
      <c r="AB4305" s="37">
        <v>1.7655243255532296</v>
      </c>
      <c r="AC4305" s="37">
        <v>2.8998225676521288</v>
      </c>
      <c r="AD4305" s="37">
        <v>3.3980894441651222</v>
      </c>
    </row>
    <row r="4306" spans="27:30" x14ac:dyDescent="0.3">
      <c r="AA4306" s="37">
        <v>4286</v>
      </c>
      <c r="AB4306" s="37">
        <v>1.8183946219806228</v>
      </c>
      <c r="AC4306" s="37">
        <v>2.8103783155910298</v>
      </c>
      <c r="AD4306" s="37">
        <v>3.3228399021935688</v>
      </c>
    </row>
    <row r="4307" spans="27:30" x14ac:dyDescent="0.3">
      <c r="AA4307" s="37">
        <v>4287</v>
      </c>
      <c r="AB4307" s="37">
        <v>1.7015643984945106</v>
      </c>
      <c r="AC4307" s="37">
        <v>2.7893171387018061</v>
      </c>
      <c r="AD4307" s="37">
        <v>3.3476643933044969</v>
      </c>
    </row>
    <row r="4308" spans="27:30" x14ac:dyDescent="0.3">
      <c r="AA4308" s="37">
        <v>4288</v>
      </c>
      <c r="AB4308" s="37">
        <v>1.7757740539974824</v>
      </c>
      <c r="AC4308" s="37">
        <v>2.9038759983452009</v>
      </c>
      <c r="AD4308" s="37">
        <v>3.5240761385027057</v>
      </c>
    </row>
    <row r="4309" spans="27:30" x14ac:dyDescent="0.3">
      <c r="AA4309" s="37">
        <v>4289</v>
      </c>
      <c r="AB4309" s="37">
        <v>1.8987828076353295</v>
      </c>
      <c r="AC4309" s="37">
        <v>2.8207082168687072</v>
      </c>
      <c r="AD4309" s="37">
        <v>3.3347296990033386</v>
      </c>
    </row>
    <row r="4310" spans="27:30" x14ac:dyDescent="0.3">
      <c r="AA4310" s="37">
        <v>4290</v>
      </c>
      <c r="AB4310" s="37">
        <v>1.7814534448591526</v>
      </c>
      <c r="AC4310" s="37">
        <v>2.9223624841309697</v>
      </c>
      <c r="AD4310" s="37">
        <v>3.1440194413034219</v>
      </c>
    </row>
    <row r="4311" spans="27:30" x14ac:dyDescent="0.3">
      <c r="AA4311" s="37">
        <v>4291</v>
      </c>
      <c r="AB4311" s="37">
        <v>1.8110917233233228</v>
      </c>
      <c r="AC4311" s="37">
        <v>2.8170636549372814</v>
      </c>
      <c r="AD4311" s="37">
        <v>3.3605433286895519</v>
      </c>
    </row>
    <row r="4312" spans="27:30" x14ac:dyDescent="0.3">
      <c r="AA4312" s="37">
        <v>4292</v>
      </c>
      <c r="AB4312" s="37">
        <v>1.8622512449305098</v>
      </c>
      <c r="AC4312" s="37">
        <v>2.6992057134181708</v>
      </c>
      <c r="AD4312" s="37">
        <v>3.4646795906095034</v>
      </c>
    </row>
    <row r="4313" spans="27:30" x14ac:dyDescent="0.3">
      <c r="AA4313" s="37">
        <v>4293</v>
      </c>
      <c r="AB4313" s="37">
        <v>1.7735454757535467</v>
      </c>
      <c r="AC4313" s="37">
        <v>2.7207185145615305</v>
      </c>
      <c r="AD4313" s="37">
        <v>3.2902558207103358</v>
      </c>
    </row>
    <row r="4314" spans="27:30" x14ac:dyDescent="0.3">
      <c r="AA4314" s="37">
        <v>4294</v>
      </c>
      <c r="AB4314" s="37">
        <v>1.7724355248659385</v>
      </c>
      <c r="AC4314" s="37">
        <v>2.9012434663160049</v>
      </c>
      <c r="AD4314" s="37">
        <v>3.1990114877212177</v>
      </c>
    </row>
    <row r="4315" spans="27:30" x14ac:dyDescent="0.3">
      <c r="AA4315" s="37">
        <v>4295</v>
      </c>
      <c r="AB4315" s="37">
        <v>1.9065271092195128</v>
      </c>
      <c r="AC4315" s="37">
        <v>2.8233140185348842</v>
      </c>
      <c r="AD4315" s="37">
        <v>3.3784307649063416</v>
      </c>
    </row>
    <row r="4316" spans="27:30" x14ac:dyDescent="0.3">
      <c r="AA4316" s="37">
        <v>4296</v>
      </c>
      <c r="AB4316" s="37">
        <v>1.8479070569646736</v>
      </c>
      <c r="AC4316" s="37">
        <v>2.8266039718780647</v>
      </c>
      <c r="AD4316" s="37">
        <v>3.4903905744112897</v>
      </c>
    </row>
    <row r="4317" spans="27:30" x14ac:dyDescent="0.3">
      <c r="AA4317" s="37">
        <v>4297</v>
      </c>
      <c r="AB4317" s="37">
        <v>1.8774923500013692</v>
      </c>
      <c r="AC4317" s="37">
        <v>2.8378584136820577</v>
      </c>
      <c r="AD4317" s="37">
        <v>3.3143813800629842</v>
      </c>
    </row>
    <row r="4318" spans="27:30" x14ac:dyDescent="0.3">
      <c r="AA4318" s="37">
        <v>4298</v>
      </c>
      <c r="AB4318" s="37">
        <v>1.767746977948913</v>
      </c>
      <c r="AC4318" s="37">
        <v>2.8503813734717149</v>
      </c>
      <c r="AD4318" s="37">
        <v>3.3530366222421621</v>
      </c>
    </row>
    <row r="4319" spans="27:30" x14ac:dyDescent="0.3">
      <c r="AA4319" s="37">
        <v>4299</v>
      </c>
      <c r="AB4319" s="37">
        <v>1.6772152692611535</v>
      </c>
      <c r="AC4319" s="37">
        <v>2.8514568246231549</v>
      </c>
      <c r="AD4319" s="37">
        <v>3.4313638024592747</v>
      </c>
    </row>
    <row r="4320" spans="27:30" x14ac:dyDescent="0.3">
      <c r="AA4320" s="37">
        <v>4300</v>
      </c>
      <c r="AB4320" s="37">
        <v>1.8767834716904939</v>
      </c>
      <c r="AC4320" s="37">
        <v>2.7255015119643198</v>
      </c>
      <c r="AD4320" s="37">
        <v>3.4784224826253207</v>
      </c>
    </row>
    <row r="4321" spans="27:30" x14ac:dyDescent="0.3">
      <c r="AA4321" s="37">
        <v>4301</v>
      </c>
      <c r="AB4321" s="37">
        <v>1.7734940070000635</v>
      </c>
      <c r="AC4321" s="37">
        <v>2.8935885109738071</v>
      </c>
      <c r="AD4321" s="37">
        <v>3.3824705288482075</v>
      </c>
    </row>
    <row r="4322" spans="27:30" x14ac:dyDescent="0.3">
      <c r="AA4322" s="37">
        <v>4302</v>
      </c>
      <c r="AB4322" s="37">
        <v>1.8657588117220156</v>
      </c>
      <c r="AC4322" s="37">
        <v>2.8040645087981386</v>
      </c>
      <c r="AD4322" s="37">
        <v>3.2700459830329676</v>
      </c>
    </row>
    <row r="4323" spans="27:30" x14ac:dyDescent="0.3">
      <c r="AA4323" s="37">
        <v>4303</v>
      </c>
      <c r="AB4323" s="37">
        <v>1.7692152276861346</v>
      </c>
      <c r="AC4323" s="37">
        <v>2.7739419829962655</v>
      </c>
      <c r="AD4323" s="37">
        <v>3.2967461462771905</v>
      </c>
    </row>
    <row r="4324" spans="27:30" x14ac:dyDescent="0.3">
      <c r="AA4324" s="37">
        <v>4304</v>
      </c>
      <c r="AB4324" s="37">
        <v>1.8680296288890061</v>
      </c>
      <c r="AC4324" s="37">
        <v>2.6156777186876665</v>
      </c>
      <c r="AD4324" s="37">
        <v>3.4477003234512416</v>
      </c>
    </row>
    <row r="4325" spans="27:30" x14ac:dyDescent="0.3">
      <c r="AA4325" s="37">
        <v>4305</v>
      </c>
      <c r="AB4325" s="37">
        <v>1.7375524024968039</v>
      </c>
      <c r="AC4325" s="37">
        <v>2.8748212360658805</v>
      </c>
      <c r="AD4325" s="37">
        <v>3.3181609968934409</v>
      </c>
    </row>
    <row r="4326" spans="27:30" x14ac:dyDescent="0.3">
      <c r="AA4326" s="37">
        <v>4306</v>
      </c>
      <c r="AB4326" s="37">
        <v>1.7196600923736645</v>
      </c>
      <c r="AC4326" s="37">
        <v>2.5958782641998273</v>
      </c>
      <c r="AD4326" s="37">
        <v>3.2447242750296628</v>
      </c>
    </row>
    <row r="4327" spans="27:30" x14ac:dyDescent="0.3">
      <c r="AA4327" s="37">
        <v>4307</v>
      </c>
      <c r="AB4327" s="37">
        <v>1.737702465385164</v>
      </c>
      <c r="AC4327" s="37">
        <v>2.7263531212681578</v>
      </c>
      <c r="AD4327" s="37">
        <v>3.2996695515079586</v>
      </c>
    </row>
    <row r="4328" spans="27:30" x14ac:dyDescent="0.3">
      <c r="AA4328" s="37">
        <v>4308</v>
      </c>
      <c r="AB4328" s="37">
        <v>1.8720663377437148</v>
      </c>
      <c r="AC4328" s="37">
        <v>3.0194109233941449</v>
      </c>
      <c r="AD4328" s="37">
        <v>3.2385403543623448</v>
      </c>
    </row>
    <row r="4329" spans="27:30" x14ac:dyDescent="0.3">
      <c r="AA4329" s="37">
        <v>4309</v>
      </c>
      <c r="AB4329" s="37">
        <v>1.7746528151214385</v>
      </c>
      <c r="AC4329" s="37">
        <v>3.0991691945203734</v>
      </c>
      <c r="AD4329" s="37">
        <v>3.5694688432878778</v>
      </c>
    </row>
    <row r="4330" spans="27:30" x14ac:dyDescent="0.3">
      <c r="AA4330" s="37">
        <v>4310</v>
      </c>
      <c r="AB4330" s="37">
        <v>1.8643568119613354</v>
      </c>
      <c r="AC4330" s="37">
        <v>2.8925943483986045</v>
      </c>
      <c r="AD4330" s="37">
        <v>3.4878016027574503</v>
      </c>
    </row>
    <row r="4331" spans="27:30" x14ac:dyDescent="0.3">
      <c r="AA4331" s="37">
        <v>4311</v>
      </c>
      <c r="AB4331" s="37">
        <v>1.7878855734711392</v>
      </c>
      <c r="AC4331" s="37">
        <v>2.8400639093019411</v>
      </c>
      <c r="AD4331" s="37">
        <v>3.3644518245074657</v>
      </c>
    </row>
    <row r="4332" spans="27:30" x14ac:dyDescent="0.3">
      <c r="AA4332" s="37">
        <v>4312</v>
      </c>
      <c r="AB4332" s="37">
        <v>1.8482877317874333</v>
      </c>
      <c r="AC4332" s="37">
        <v>2.8231908968064601</v>
      </c>
      <c r="AD4332" s="37">
        <v>3.3164218932035361</v>
      </c>
    </row>
    <row r="4333" spans="27:30" x14ac:dyDescent="0.3">
      <c r="AA4333" s="37">
        <v>4313</v>
      </c>
      <c r="AB4333" s="37">
        <v>1.7653836647216605</v>
      </c>
      <c r="AC4333" s="37">
        <v>2.7847421283529634</v>
      </c>
      <c r="AD4333" s="37">
        <v>3.441175112649109</v>
      </c>
    </row>
    <row r="4334" spans="27:30" x14ac:dyDescent="0.3">
      <c r="AA4334" s="37">
        <v>4314</v>
      </c>
      <c r="AB4334" s="37">
        <v>1.8134930963341693</v>
      </c>
      <c r="AC4334" s="37">
        <v>2.5609726281525167</v>
      </c>
      <c r="AD4334" s="37">
        <v>3.3519937808521041</v>
      </c>
    </row>
    <row r="4335" spans="27:30" x14ac:dyDescent="0.3">
      <c r="AA4335" s="37">
        <v>4315</v>
      </c>
      <c r="AB4335" s="37">
        <v>1.6876518668562468</v>
      </c>
      <c r="AC4335" s="37">
        <v>2.8360972967626288</v>
      </c>
      <c r="AD4335" s="37">
        <v>3.1971404113609756</v>
      </c>
    </row>
    <row r="4336" spans="27:30" x14ac:dyDescent="0.3">
      <c r="AA4336" s="37">
        <v>4316</v>
      </c>
      <c r="AB4336" s="37">
        <v>1.7036120649823663</v>
      </c>
      <c r="AC4336" s="37">
        <v>2.9823530684940383</v>
      </c>
      <c r="AD4336" s="37">
        <v>3.1822649583722318</v>
      </c>
    </row>
    <row r="4337" spans="27:30" x14ac:dyDescent="0.3">
      <c r="AA4337" s="37">
        <v>4317</v>
      </c>
      <c r="AB4337" s="37">
        <v>1.6685824907674975</v>
      </c>
      <c r="AC4337" s="37">
        <v>2.8340664353296958</v>
      </c>
      <c r="AD4337" s="37">
        <v>3.365549980979992</v>
      </c>
    </row>
    <row r="4338" spans="27:30" x14ac:dyDescent="0.3">
      <c r="AA4338" s="37">
        <v>4318</v>
      </c>
      <c r="AB4338" s="37">
        <v>1.8588423598260324</v>
      </c>
      <c r="AC4338" s="37">
        <v>2.795221417521784</v>
      </c>
      <c r="AD4338" s="37">
        <v>3.3867750239018246</v>
      </c>
    </row>
    <row r="4339" spans="27:30" x14ac:dyDescent="0.3">
      <c r="AA4339" s="37">
        <v>4319</v>
      </c>
      <c r="AB4339" s="37">
        <v>1.8283150380567645</v>
      </c>
      <c r="AC4339" s="37">
        <v>2.9112579966719236</v>
      </c>
      <c r="AD4339" s="37">
        <v>3.2647205337488034</v>
      </c>
    </row>
    <row r="4340" spans="27:30" x14ac:dyDescent="0.3">
      <c r="AA4340" s="37">
        <v>4320</v>
      </c>
      <c r="AB4340" s="37">
        <v>1.7209796498002388</v>
      </c>
      <c r="AC4340" s="37">
        <v>2.7945059375194177</v>
      </c>
      <c r="AD4340" s="37">
        <v>3.2047807738179461</v>
      </c>
    </row>
    <row r="4341" spans="27:30" x14ac:dyDescent="0.3">
      <c r="AA4341" s="37">
        <v>4321</v>
      </c>
      <c r="AB4341" s="37">
        <v>1.7678247604793775</v>
      </c>
      <c r="AC4341" s="37">
        <v>2.8978636947285104</v>
      </c>
      <c r="AD4341" s="37">
        <v>3.2419159790005381</v>
      </c>
    </row>
    <row r="4342" spans="27:30" x14ac:dyDescent="0.3">
      <c r="AA4342" s="37">
        <v>4322</v>
      </c>
      <c r="AB4342" s="37">
        <v>1.7743705343294562</v>
      </c>
      <c r="AC4342" s="37">
        <v>2.788423328199249</v>
      </c>
      <c r="AD4342" s="37">
        <v>3.2996719083054971</v>
      </c>
    </row>
    <row r="4343" spans="27:30" x14ac:dyDescent="0.3">
      <c r="AA4343" s="37">
        <v>4323</v>
      </c>
      <c r="AB4343" s="37">
        <v>1.8265984241911504</v>
      </c>
      <c r="AC4343" s="37">
        <v>2.8630572419261209</v>
      </c>
      <c r="AD4343" s="37">
        <v>3.4417977833200557</v>
      </c>
    </row>
    <row r="4344" spans="27:30" x14ac:dyDescent="0.3">
      <c r="AA4344" s="37">
        <v>4324</v>
      </c>
      <c r="AB4344" s="37">
        <v>1.7929388246292175</v>
      </c>
      <c r="AC4344" s="37">
        <v>2.8011095433085669</v>
      </c>
      <c r="AD4344" s="37">
        <v>3.2542032819017566</v>
      </c>
    </row>
    <row r="4345" spans="27:30" x14ac:dyDescent="0.3">
      <c r="AA4345" s="37">
        <v>4325</v>
      </c>
      <c r="AB4345" s="37">
        <v>1.7241397468515136</v>
      </c>
      <c r="AC4345" s="37">
        <v>3.0314081373996316</v>
      </c>
      <c r="AD4345" s="37">
        <v>3.5265125706879066</v>
      </c>
    </row>
    <row r="4346" spans="27:30" x14ac:dyDescent="0.3">
      <c r="AA4346" s="37">
        <v>4326</v>
      </c>
      <c r="AB4346" s="37">
        <v>1.8148182276225346</v>
      </c>
      <c r="AC4346" s="37">
        <v>2.9698199874658955</v>
      </c>
      <c r="AD4346" s="37">
        <v>3.3220309047384142</v>
      </c>
    </row>
    <row r="4347" spans="27:30" x14ac:dyDescent="0.3">
      <c r="AA4347" s="37">
        <v>4327</v>
      </c>
      <c r="AB4347" s="37">
        <v>1.7338801152639458</v>
      </c>
      <c r="AC4347" s="37">
        <v>2.8854752361844183</v>
      </c>
      <c r="AD4347" s="37">
        <v>3.5132275861614146</v>
      </c>
    </row>
    <row r="4348" spans="27:30" x14ac:dyDescent="0.3">
      <c r="AA4348" s="37">
        <v>4328</v>
      </c>
      <c r="AB4348" s="37">
        <v>1.8523246750674316</v>
      </c>
      <c r="AC4348" s="37">
        <v>2.9063899130901105</v>
      </c>
      <c r="AD4348" s="37">
        <v>3.6702621741497996</v>
      </c>
    </row>
    <row r="4349" spans="27:30" x14ac:dyDescent="0.3">
      <c r="AA4349" s="37">
        <v>4329</v>
      </c>
      <c r="AB4349" s="37">
        <v>1.7957065578788804</v>
      </c>
      <c r="AC4349" s="37">
        <v>2.9184120323617178</v>
      </c>
      <c r="AD4349" s="37">
        <v>3.2837029358459566</v>
      </c>
    </row>
    <row r="4350" spans="27:30" x14ac:dyDescent="0.3">
      <c r="AA4350" s="37">
        <v>4330</v>
      </c>
      <c r="AB4350" s="37">
        <v>1.8228580859982038</v>
      </c>
      <c r="AC4350" s="37">
        <v>2.9120633471832478</v>
      </c>
      <c r="AD4350" s="37">
        <v>3.3781802160677628</v>
      </c>
    </row>
    <row r="4351" spans="27:30" x14ac:dyDescent="0.3">
      <c r="AA4351" s="37">
        <v>4331</v>
      </c>
      <c r="AB4351" s="37">
        <v>1.6940958976100089</v>
      </c>
      <c r="AC4351" s="37">
        <v>2.9902291856574061</v>
      </c>
      <c r="AD4351" s="37">
        <v>3.5077257751236264</v>
      </c>
    </row>
    <row r="4352" spans="27:30" x14ac:dyDescent="0.3">
      <c r="AA4352" s="37">
        <v>4332</v>
      </c>
      <c r="AB4352" s="37">
        <v>1.7648920145268097</v>
      </c>
      <c r="AC4352" s="37">
        <v>2.8939929156946023</v>
      </c>
      <c r="AD4352" s="37">
        <v>3.3443932626828317</v>
      </c>
    </row>
    <row r="4353" spans="27:30" x14ac:dyDescent="0.3">
      <c r="AA4353" s="37">
        <v>4333</v>
      </c>
      <c r="AB4353" s="37">
        <v>1.6868338095827595</v>
      </c>
      <c r="AC4353" s="37">
        <v>2.9204657380890477</v>
      </c>
      <c r="AD4353" s="37">
        <v>3.3984966175375364</v>
      </c>
    </row>
    <row r="4354" spans="27:30" x14ac:dyDescent="0.3">
      <c r="AA4354" s="37">
        <v>4334</v>
      </c>
      <c r="AB4354" s="37">
        <v>1.7331703853584677</v>
      </c>
      <c r="AC4354" s="37">
        <v>2.898034207626965</v>
      </c>
      <c r="AD4354" s="37">
        <v>3.2814959105721844</v>
      </c>
    </row>
    <row r="4355" spans="27:30" x14ac:dyDescent="0.3">
      <c r="AA4355" s="37">
        <v>4335</v>
      </c>
      <c r="AB4355" s="37">
        <v>1.8098400341142642</v>
      </c>
      <c r="AC4355" s="37">
        <v>2.9941117928032028</v>
      </c>
      <c r="AD4355" s="37">
        <v>3.426914080655318</v>
      </c>
    </row>
    <row r="4356" spans="27:30" x14ac:dyDescent="0.3">
      <c r="AA4356" s="37">
        <v>4336</v>
      </c>
      <c r="AB4356" s="37">
        <v>1.7774833141356261</v>
      </c>
      <c r="AC4356" s="37">
        <v>2.8446890750395948</v>
      </c>
      <c r="AD4356" s="37">
        <v>3.1808050085286492</v>
      </c>
    </row>
    <row r="4357" spans="27:30" x14ac:dyDescent="0.3">
      <c r="AA4357" s="37">
        <v>4337</v>
      </c>
      <c r="AB4357" s="37">
        <v>1.802403642370676</v>
      </c>
      <c r="AC4357" s="37">
        <v>3.004129297431184</v>
      </c>
      <c r="AD4357" s="37">
        <v>3.2718145053543317</v>
      </c>
    </row>
    <row r="4358" spans="27:30" x14ac:dyDescent="0.3">
      <c r="AA4358" s="37">
        <v>4338</v>
      </c>
      <c r="AB4358" s="37">
        <v>1.8270218873343991</v>
      </c>
      <c r="AC4358" s="37">
        <v>2.7633338434183172</v>
      </c>
      <c r="AD4358" s="37">
        <v>3.4545905550610447</v>
      </c>
    </row>
    <row r="4359" spans="27:30" x14ac:dyDescent="0.3">
      <c r="AA4359" s="37">
        <v>4339</v>
      </c>
      <c r="AB4359" s="37">
        <v>1.8005836893527349</v>
      </c>
      <c r="AC4359" s="37">
        <v>2.7555175157942515</v>
      </c>
      <c r="AD4359" s="37">
        <v>3.1611676010545016</v>
      </c>
    </row>
    <row r="4360" spans="27:30" x14ac:dyDescent="0.3">
      <c r="AA4360" s="37">
        <v>4340</v>
      </c>
      <c r="AB4360" s="37">
        <v>1.8438664552691351</v>
      </c>
      <c r="AC4360" s="37">
        <v>2.6247026512929161</v>
      </c>
      <c r="AD4360" s="37">
        <v>3.2797302610682895</v>
      </c>
    </row>
    <row r="4361" spans="27:30" x14ac:dyDescent="0.3">
      <c r="AA4361" s="37">
        <v>4341</v>
      </c>
      <c r="AB4361" s="37">
        <v>1.8426751733427043</v>
      </c>
      <c r="AC4361" s="37">
        <v>2.6814919667537489</v>
      </c>
      <c r="AD4361" s="37">
        <v>3.1168661984141299</v>
      </c>
    </row>
    <row r="4362" spans="27:30" x14ac:dyDescent="0.3">
      <c r="AA4362" s="37">
        <v>4342</v>
      </c>
      <c r="AB4362" s="37">
        <v>1.8449544056175591</v>
      </c>
      <c r="AC4362" s="37">
        <v>2.8310456314788897</v>
      </c>
      <c r="AD4362" s="37">
        <v>3.3532755277771833</v>
      </c>
    </row>
    <row r="4363" spans="27:30" x14ac:dyDescent="0.3">
      <c r="AA4363" s="37">
        <v>4343</v>
      </c>
      <c r="AB4363" s="37">
        <v>1.7643549395759188</v>
      </c>
      <c r="AC4363" s="37">
        <v>2.930640581405171</v>
      </c>
      <c r="AD4363" s="37">
        <v>3.3329985687303285</v>
      </c>
    </row>
    <row r="4364" spans="27:30" x14ac:dyDescent="0.3">
      <c r="AA4364" s="37">
        <v>4344</v>
      </c>
      <c r="AB4364" s="37">
        <v>1.6705114508516932</v>
      </c>
      <c r="AC4364" s="37">
        <v>2.7686112419175761</v>
      </c>
      <c r="AD4364" s="37">
        <v>3.2513267713936513</v>
      </c>
    </row>
    <row r="4365" spans="27:30" x14ac:dyDescent="0.3">
      <c r="AA4365" s="37">
        <v>4345</v>
      </c>
      <c r="AB4365" s="37">
        <v>1.6951472371780552</v>
      </c>
      <c r="AC4365" s="37">
        <v>2.7052029875861119</v>
      </c>
      <c r="AD4365" s="37">
        <v>3.3969265620810587</v>
      </c>
    </row>
    <row r="4366" spans="27:30" x14ac:dyDescent="0.3">
      <c r="AA4366" s="37">
        <v>4346</v>
      </c>
      <c r="AB4366" s="37">
        <v>1.867704156968178</v>
      </c>
      <c r="AC4366" s="37">
        <v>2.7453441197940394</v>
      </c>
      <c r="AD4366" s="37">
        <v>3.251665257948535</v>
      </c>
    </row>
    <row r="4367" spans="27:30" x14ac:dyDescent="0.3">
      <c r="AA4367" s="37">
        <v>4347</v>
      </c>
      <c r="AB4367" s="37">
        <v>1.8851027423331423</v>
      </c>
      <c r="AC4367" s="37">
        <v>2.8028191420011108</v>
      </c>
      <c r="AD4367" s="37">
        <v>3.5414411057724302</v>
      </c>
    </row>
    <row r="4368" spans="27:30" x14ac:dyDescent="0.3">
      <c r="AA4368" s="37">
        <v>4348</v>
      </c>
      <c r="AB4368" s="37">
        <v>1.7997311127818953</v>
      </c>
      <c r="AC4368" s="37">
        <v>2.8872969175098104</v>
      </c>
      <c r="AD4368" s="37">
        <v>3.5795145649589135</v>
      </c>
    </row>
    <row r="4369" spans="27:30" x14ac:dyDescent="0.3">
      <c r="AA4369" s="37">
        <v>4349</v>
      </c>
      <c r="AB4369" s="37">
        <v>1.718418876838079</v>
      </c>
      <c r="AC4369" s="37">
        <v>2.9169290629120015</v>
      </c>
      <c r="AD4369" s="37">
        <v>3.3068868231404447</v>
      </c>
    </row>
    <row r="4370" spans="27:30" x14ac:dyDescent="0.3">
      <c r="AA4370" s="37">
        <v>4350</v>
      </c>
      <c r="AB4370" s="37">
        <v>1.7354137662605493</v>
      </c>
      <c r="AC4370" s="37">
        <v>2.9314946173938701</v>
      </c>
      <c r="AD4370" s="37">
        <v>3.2600720101738463</v>
      </c>
    </row>
    <row r="4371" spans="27:30" x14ac:dyDescent="0.3">
      <c r="AA4371" s="37">
        <v>4351</v>
      </c>
      <c r="AB4371" s="37">
        <v>1.7607837579168975</v>
      </c>
      <c r="AC4371" s="37">
        <v>2.9908240320458317</v>
      </c>
      <c r="AD4371" s="37">
        <v>3.3189604635426</v>
      </c>
    </row>
    <row r="4372" spans="27:30" x14ac:dyDescent="0.3">
      <c r="AA4372" s="37">
        <v>4352</v>
      </c>
      <c r="AB4372" s="37">
        <v>1.8336961576214468</v>
      </c>
      <c r="AC4372" s="37">
        <v>2.6501492187890605</v>
      </c>
      <c r="AD4372" s="37">
        <v>3.3005091887657865</v>
      </c>
    </row>
    <row r="4373" spans="27:30" x14ac:dyDescent="0.3">
      <c r="AA4373" s="37">
        <v>4353</v>
      </c>
      <c r="AB4373" s="37">
        <v>1.8607998080844415</v>
      </c>
      <c r="AC4373" s="37">
        <v>2.9389333039454035</v>
      </c>
      <c r="AD4373" s="37">
        <v>3.2468875688319185</v>
      </c>
    </row>
    <row r="4374" spans="27:30" x14ac:dyDescent="0.3">
      <c r="AA4374" s="37">
        <v>4354</v>
      </c>
      <c r="AB4374" s="37">
        <v>1.7396226402348651</v>
      </c>
      <c r="AC4374" s="37">
        <v>2.8891686022466696</v>
      </c>
      <c r="AD4374" s="37">
        <v>3.311194004517747</v>
      </c>
    </row>
    <row r="4375" spans="27:30" x14ac:dyDescent="0.3">
      <c r="AA4375" s="37">
        <v>4355</v>
      </c>
      <c r="AB4375" s="37">
        <v>1.6961032050022069</v>
      </c>
      <c r="AC4375" s="37">
        <v>3.0355052756308507</v>
      </c>
      <c r="AD4375" s="37">
        <v>3.3848771989016972</v>
      </c>
    </row>
    <row r="4376" spans="27:30" x14ac:dyDescent="0.3">
      <c r="AA4376" s="37">
        <v>4356</v>
      </c>
      <c r="AB4376" s="37">
        <v>1.7729245775212681</v>
      </c>
      <c r="AC4376" s="37">
        <v>2.9047588810383442</v>
      </c>
      <c r="AD4376" s="37">
        <v>3.3179519217309354</v>
      </c>
    </row>
    <row r="4377" spans="27:30" x14ac:dyDescent="0.3">
      <c r="AA4377" s="37">
        <v>4357</v>
      </c>
      <c r="AB4377" s="37">
        <v>1.7743757050538991</v>
      </c>
      <c r="AC4377" s="37">
        <v>2.98739020790403</v>
      </c>
      <c r="AD4377" s="37">
        <v>3.5208328218383995</v>
      </c>
    </row>
    <row r="4378" spans="27:30" x14ac:dyDescent="0.3">
      <c r="AA4378" s="37">
        <v>4358</v>
      </c>
      <c r="AB4378" s="37">
        <v>1.8308219180403746</v>
      </c>
      <c r="AC4378" s="37">
        <v>2.8396488286221442</v>
      </c>
      <c r="AD4378" s="37">
        <v>3.4763692503903849</v>
      </c>
    </row>
    <row r="4379" spans="27:30" x14ac:dyDescent="0.3">
      <c r="AA4379" s="37">
        <v>4359</v>
      </c>
      <c r="AB4379" s="37">
        <v>1.7015657892419682</v>
      </c>
      <c r="AC4379" s="37">
        <v>2.8112249051021982</v>
      </c>
      <c r="AD4379" s="37">
        <v>3.6054662056914002</v>
      </c>
    </row>
    <row r="4380" spans="27:30" x14ac:dyDescent="0.3">
      <c r="AA4380" s="37">
        <v>4360</v>
      </c>
      <c r="AB4380" s="37">
        <v>1.8770547816173795</v>
      </c>
      <c r="AC4380" s="37">
        <v>3.0834877526140518</v>
      </c>
      <c r="AD4380" s="37">
        <v>3.6056649693453475</v>
      </c>
    </row>
    <row r="4381" spans="27:30" x14ac:dyDescent="0.3">
      <c r="AA4381" s="37">
        <v>4361</v>
      </c>
      <c r="AB4381" s="37">
        <v>1.7961863214550209</v>
      </c>
      <c r="AC4381" s="37">
        <v>2.9311776878692526</v>
      </c>
      <c r="AD4381" s="37">
        <v>3.4598797759982336</v>
      </c>
    </row>
    <row r="4382" spans="27:30" x14ac:dyDescent="0.3">
      <c r="AA4382" s="37">
        <v>4362</v>
      </c>
      <c r="AB4382" s="37">
        <v>1.7289187402238586</v>
      </c>
      <c r="AC4382" s="37">
        <v>2.7850748691393008</v>
      </c>
      <c r="AD4382" s="37">
        <v>3.3819974275543419</v>
      </c>
    </row>
    <row r="4383" spans="27:30" x14ac:dyDescent="0.3">
      <c r="AA4383" s="37">
        <v>4363</v>
      </c>
      <c r="AB4383" s="37">
        <v>1.6443765175912535</v>
      </c>
      <c r="AC4383" s="37">
        <v>2.9365078288007536</v>
      </c>
      <c r="AD4383" s="37">
        <v>3.4210268797773127</v>
      </c>
    </row>
    <row r="4384" spans="27:30" x14ac:dyDescent="0.3">
      <c r="AA4384" s="37">
        <v>4364</v>
      </c>
      <c r="AB4384" s="37">
        <v>1.7619749968725806</v>
      </c>
      <c r="AC4384" s="37">
        <v>2.8710174999074991</v>
      </c>
      <c r="AD4384" s="37">
        <v>3.1362763786305154</v>
      </c>
    </row>
    <row r="4385" spans="27:30" x14ac:dyDescent="0.3">
      <c r="AA4385" s="37">
        <v>4365</v>
      </c>
      <c r="AB4385" s="37">
        <v>1.7679850640602905</v>
      </c>
      <c r="AC4385" s="37">
        <v>2.7446162301936505</v>
      </c>
      <c r="AD4385" s="37">
        <v>3.4373553340326239</v>
      </c>
    </row>
    <row r="4386" spans="27:30" x14ac:dyDescent="0.3">
      <c r="AA4386" s="37">
        <v>4366</v>
      </c>
      <c r="AB4386" s="37">
        <v>1.750986863435908</v>
      </c>
      <c r="AC4386" s="37">
        <v>2.8386006708276126</v>
      </c>
      <c r="AD4386" s="37">
        <v>3.2186020347367186</v>
      </c>
    </row>
    <row r="4387" spans="27:30" x14ac:dyDescent="0.3">
      <c r="AA4387" s="37">
        <v>4367</v>
      </c>
      <c r="AB4387" s="37">
        <v>1.8161446572075468</v>
      </c>
      <c r="AC4387" s="37">
        <v>2.7413327167908466</v>
      </c>
      <c r="AD4387" s="37">
        <v>3.1491107868518466</v>
      </c>
    </row>
    <row r="4388" spans="27:30" x14ac:dyDescent="0.3">
      <c r="AA4388" s="37">
        <v>4368</v>
      </c>
      <c r="AB4388" s="37">
        <v>1.8107665028268156</v>
      </c>
      <c r="AC4388" s="37">
        <v>2.7634283375776798</v>
      </c>
      <c r="AD4388" s="37">
        <v>3.2168022012674014</v>
      </c>
    </row>
    <row r="4389" spans="27:30" x14ac:dyDescent="0.3">
      <c r="AA4389" s="37">
        <v>4369</v>
      </c>
      <c r="AB4389" s="37">
        <v>1.7697075838623362</v>
      </c>
      <c r="AC4389" s="37">
        <v>2.8441389280944147</v>
      </c>
      <c r="AD4389" s="37">
        <v>3.349767914054028</v>
      </c>
    </row>
    <row r="4390" spans="27:30" x14ac:dyDescent="0.3">
      <c r="AA4390" s="37">
        <v>4370</v>
      </c>
      <c r="AB4390" s="37">
        <v>1.7726259109519966</v>
      </c>
      <c r="AC4390" s="37">
        <v>2.8826143581405002</v>
      </c>
      <c r="AD4390" s="37">
        <v>3.3157500102271635</v>
      </c>
    </row>
    <row r="4391" spans="27:30" x14ac:dyDescent="0.3">
      <c r="AA4391" s="37">
        <v>4371</v>
      </c>
      <c r="AB4391" s="37">
        <v>1.7474225329498494</v>
      </c>
      <c r="AC4391" s="37">
        <v>2.8901412859218216</v>
      </c>
      <c r="AD4391" s="37">
        <v>3.280469070775597</v>
      </c>
    </row>
    <row r="4392" spans="27:30" x14ac:dyDescent="0.3">
      <c r="AA4392" s="37">
        <v>4372</v>
      </c>
      <c r="AB4392" s="37">
        <v>1.6856676110790172</v>
      </c>
      <c r="AC4392" s="37">
        <v>2.8123019892908143</v>
      </c>
      <c r="AD4392" s="37">
        <v>3.2690345001529622</v>
      </c>
    </row>
    <row r="4393" spans="27:30" x14ac:dyDescent="0.3">
      <c r="AA4393" s="37">
        <v>4373</v>
      </c>
      <c r="AB4393" s="37">
        <v>1.7824187026944718</v>
      </c>
      <c r="AC4393" s="37">
        <v>2.9307743922243819</v>
      </c>
      <c r="AD4393" s="37">
        <v>3.4355286210241336</v>
      </c>
    </row>
    <row r="4394" spans="27:30" x14ac:dyDescent="0.3">
      <c r="AA4394" s="37">
        <v>4374</v>
      </c>
      <c r="AB4394" s="37">
        <v>1.7605677045321342</v>
      </c>
      <c r="AC4394" s="37">
        <v>2.7919841615834953</v>
      </c>
      <c r="AD4394" s="37">
        <v>3.4777428262837731</v>
      </c>
    </row>
    <row r="4395" spans="27:30" x14ac:dyDescent="0.3">
      <c r="AA4395" s="37">
        <v>4375</v>
      </c>
      <c r="AB4395" s="37">
        <v>1.7265357827316981</v>
      </c>
      <c r="AC4395" s="37">
        <v>2.7788079121715339</v>
      </c>
      <c r="AD4395" s="37">
        <v>3.344082917310589</v>
      </c>
    </row>
    <row r="4396" spans="27:30" x14ac:dyDescent="0.3">
      <c r="AA4396" s="37">
        <v>4376</v>
      </c>
      <c r="AB4396" s="37">
        <v>1.7312319987047302</v>
      </c>
      <c r="AC4396" s="37">
        <v>2.8329879192134668</v>
      </c>
      <c r="AD4396" s="37">
        <v>3.2034079650661194</v>
      </c>
    </row>
    <row r="4397" spans="27:30" x14ac:dyDescent="0.3">
      <c r="AA4397" s="37">
        <v>4377</v>
      </c>
      <c r="AB4397" s="37">
        <v>1.8260702639345423</v>
      </c>
      <c r="AC4397" s="37">
        <v>2.8996965409677755</v>
      </c>
      <c r="AD4397" s="37">
        <v>3.2989198879784061</v>
      </c>
    </row>
    <row r="4398" spans="27:30" x14ac:dyDescent="0.3">
      <c r="AA4398" s="37">
        <v>4378</v>
      </c>
      <c r="AB4398" s="37">
        <v>1.8398444583135076</v>
      </c>
      <c r="AC4398" s="37">
        <v>2.7856317796099503</v>
      </c>
      <c r="AD4398" s="37">
        <v>3.3526826350740238</v>
      </c>
    </row>
    <row r="4399" spans="27:30" x14ac:dyDescent="0.3">
      <c r="AA4399" s="37">
        <v>4379</v>
      </c>
      <c r="AB4399" s="37">
        <v>1.9216683815627515</v>
      </c>
      <c r="AC4399" s="37">
        <v>2.8069319659922254</v>
      </c>
      <c r="AD4399" s="37">
        <v>3.1944424814691272</v>
      </c>
    </row>
    <row r="4400" spans="27:30" x14ac:dyDescent="0.3">
      <c r="AA4400" s="37">
        <v>4380</v>
      </c>
      <c r="AB4400" s="37">
        <v>1.7862703368098707</v>
      </c>
      <c r="AC4400" s="37">
        <v>2.8462409385041325</v>
      </c>
      <c r="AD4400" s="37">
        <v>3.3243698956799252</v>
      </c>
    </row>
    <row r="4401" spans="27:30" x14ac:dyDescent="0.3">
      <c r="AA4401" s="37">
        <v>4381</v>
      </c>
      <c r="AB4401" s="37">
        <v>1.8100627317293387</v>
      </c>
      <c r="AC4401" s="37">
        <v>2.9695465728262733</v>
      </c>
      <c r="AD4401" s="37">
        <v>3.3152087908885512</v>
      </c>
    </row>
    <row r="4402" spans="27:30" x14ac:dyDescent="0.3">
      <c r="AA4402" s="37">
        <v>4382</v>
      </c>
      <c r="AB4402" s="37">
        <v>1.8517397746606918</v>
      </c>
      <c r="AC4402" s="37">
        <v>2.9144529115731781</v>
      </c>
      <c r="AD4402" s="37">
        <v>3.3775668630263449</v>
      </c>
    </row>
    <row r="4403" spans="27:30" x14ac:dyDescent="0.3">
      <c r="AA4403" s="37">
        <v>4383</v>
      </c>
      <c r="AB4403" s="37">
        <v>1.7814296664146276</v>
      </c>
      <c r="AC4403" s="37">
        <v>2.8743096913700819</v>
      </c>
      <c r="AD4403" s="37">
        <v>3.1637246850460015</v>
      </c>
    </row>
    <row r="4404" spans="27:30" x14ac:dyDescent="0.3">
      <c r="AA4404" s="37">
        <v>4384</v>
      </c>
      <c r="AB4404" s="37">
        <v>1.8203533319761427</v>
      </c>
      <c r="AC4404" s="37">
        <v>2.8738207052613731</v>
      </c>
      <c r="AD4404" s="37">
        <v>3.4248417158771689</v>
      </c>
    </row>
    <row r="4405" spans="27:30" x14ac:dyDescent="0.3">
      <c r="AA4405" s="37">
        <v>4385</v>
      </c>
      <c r="AB4405" s="37">
        <v>1.7899197915933991</v>
      </c>
      <c r="AC4405" s="37">
        <v>2.7243920839444957</v>
      </c>
      <c r="AD4405" s="37">
        <v>3.2467569477557552</v>
      </c>
    </row>
    <row r="4406" spans="27:30" x14ac:dyDescent="0.3">
      <c r="AA4406" s="37">
        <v>4386</v>
      </c>
      <c r="AB4406" s="37">
        <v>1.8120983625312495</v>
      </c>
      <c r="AC4406" s="37">
        <v>2.931442571193879</v>
      </c>
      <c r="AD4406" s="37">
        <v>3.334682906739816</v>
      </c>
    </row>
    <row r="4407" spans="27:30" x14ac:dyDescent="0.3">
      <c r="AA4407" s="37">
        <v>4387</v>
      </c>
      <c r="AB4407" s="37">
        <v>1.7687845678640903</v>
      </c>
      <c r="AC4407" s="37">
        <v>2.9540882052392727</v>
      </c>
      <c r="AD4407" s="37">
        <v>3.3718376728080912</v>
      </c>
    </row>
    <row r="4408" spans="27:30" x14ac:dyDescent="0.3">
      <c r="AA4408" s="37">
        <v>4388</v>
      </c>
      <c r="AB4408" s="37">
        <v>1.7553828551732129</v>
      </c>
      <c r="AC4408" s="37">
        <v>2.8697557216058271</v>
      </c>
      <c r="AD4408" s="37">
        <v>3.4828468029819013</v>
      </c>
    </row>
    <row r="4409" spans="27:30" x14ac:dyDescent="0.3">
      <c r="AA4409" s="37">
        <v>4389</v>
      </c>
      <c r="AB4409" s="37">
        <v>1.7190937884571174</v>
      </c>
      <c r="AC4409" s="37">
        <v>2.7386627118270952</v>
      </c>
      <c r="AD4409" s="37">
        <v>3.2997445764591427</v>
      </c>
    </row>
    <row r="4410" spans="27:30" x14ac:dyDescent="0.3">
      <c r="AA4410" s="37">
        <v>4390</v>
      </c>
      <c r="AB4410" s="37">
        <v>1.8402101754371949</v>
      </c>
      <c r="AC4410" s="37">
        <v>3.0302849991967058</v>
      </c>
      <c r="AD4410" s="37">
        <v>3.3292137989393518</v>
      </c>
    </row>
    <row r="4411" spans="27:30" x14ac:dyDescent="0.3">
      <c r="AA4411" s="37">
        <v>4391</v>
      </c>
      <c r="AB4411" s="37">
        <v>1.8613045895544778</v>
      </c>
      <c r="AC4411" s="37">
        <v>2.796846935445731</v>
      </c>
      <c r="AD4411" s="37">
        <v>3.5185391533737462</v>
      </c>
    </row>
    <row r="4412" spans="27:30" x14ac:dyDescent="0.3">
      <c r="AA4412" s="37">
        <v>4392</v>
      </c>
      <c r="AB4412" s="37">
        <v>1.777631987028691</v>
      </c>
      <c r="AC4412" s="37">
        <v>2.8065940744965494</v>
      </c>
      <c r="AD4412" s="37">
        <v>3.157481737069995</v>
      </c>
    </row>
    <row r="4413" spans="27:30" x14ac:dyDescent="0.3">
      <c r="AA4413" s="37">
        <v>4393</v>
      </c>
      <c r="AB4413" s="37">
        <v>1.8206893013374461</v>
      </c>
      <c r="AC4413" s="37">
        <v>2.9392083996579483</v>
      </c>
      <c r="AD4413" s="37">
        <v>3.2830976772753111</v>
      </c>
    </row>
    <row r="4414" spans="27:30" x14ac:dyDescent="0.3">
      <c r="AA4414" s="37">
        <v>4394</v>
      </c>
      <c r="AB4414" s="37">
        <v>1.7633551316735396</v>
      </c>
      <c r="AC4414" s="37">
        <v>2.909215718926407</v>
      </c>
      <c r="AD4414" s="37">
        <v>3.2459065756108743</v>
      </c>
    </row>
    <row r="4415" spans="27:30" x14ac:dyDescent="0.3">
      <c r="AA4415" s="37">
        <v>4395</v>
      </c>
      <c r="AB4415" s="37">
        <v>1.7305572678521945</v>
      </c>
      <c r="AC4415" s="37">
        <v>2.8229803089056458</v>
      </c>
      <c r="AD4415" s="37">
        <v>3.5778854973825465</v>
      </c>
    </row>
    <row r="4416" spans="27:30" x14ac:dyDescent="0.3">
      <c r="AA4416" s="37">
        <v>4396</v>
      </c>
      <c r="AB4416" s="37">
        <v>1.7207589914507935</v>
      </c>
      <c r="AC4416" s="37">
        <v>2.6649488977302669</v>
      </c>
      <c r="AD4416" s="37">
        <v>3.413580026434007</v>
      </c>
    </row>
    <row r="4417" spans="27:30" x14ac:dyDescent="0.3">
      <c r="AA4417" s="37">
        <v>4397</v>
      </c>
      <c r="AB4417" s="37">
        <v>1.7578616338547526</v>
      </c>
      <c r="AC4417" s="37">
        <v>2.9837227136448217</v>
      </c>
      <c r="AD4417" s="37">
        <v>3.4188632195852207</v>
      </c>
    </row>
    <row r="4418" spans="27:30" x14ac:dyDescent="0.3">
      <c r="AA4418" s="37">
        <v>4398</v>
      </c>
      <c r="AB4418" s="37">
        <v>1.7937992300361016</v>
      </c>
      <c r="AC4418" s="37">
        <v>2.9065663078098605</v>
      </c>
      <c r="AD4418" s="37">
        <v>3.3446998148201974</v>
      </c>
    </row>
    <row r="4419" spans="27:30" x14ac:dyDescent="0.3">
      <c r="AA4419" s="37">
        <v>4399</v>
      </c>
      <c r="AB4419" s="37">
        <v>1.7353586026063212</v>
      </c>
      <c r="AC4419" s="37">
        <v>2.9901074709380029</v>
      </c>
      <c r="AD4419" s="37">
        <v>3.3742233096263394</v>
      </c>
    </row>
    <row r="4420" spans="27:30" x14ac:dyDescent="0.3">
      <c r="AA4420" s="37">
        <v>4400</v>
      </c>
      <c r="AB4420" s="37">
        <v>1.6689185642000819</v>
      </c>
      <c r="AC4420" s="37">
        <v>2.7326058634445096</v>
      </c>
      <c r="AD4420" s="37">
        <v>3.2219658225414687</v>
      </c>
    </row>
    <row r="4421" spans="27:30" x14ac:dyDescent="0.3">
      <c r="AA4421" s="37">
        <v>4401</v>
      </c>
      <c r="AB4421" s="37">
        <v>1.7377754873092335</v>
      </c>
      <c r="AC4421" s="37">
        <v>2.824451637727011</v>
      </c>
      <c r="AD4421" s="37">
        <v>3.407429472884953</v>
      </c>
    </row>
    <row r="4422" spans="27:30" x14ac:dyDescent="0.3">
      <c r="AA4422" s="37">
        <v>4402</v>
      </c>
      <c r="AB4422" s="37">
        <v>1.7438114802798808</v>
      </c>
      <c r="AC4422" s="37">
        <v>2.8327686596861494</v>
      </c>
      <c r="AD4422" s="37">
        <v>3.2283598449647459</v>
      </c>
    </row>
    <row r="4423" spans="27:30" x14ac:dyDescent="0.3">
      <c r="AA4423" s="37">
        <v>4403</v>
      </c>
      <c r="AB4423" s="37">
        <v>1.8088647482642635</v>
      </c>
      <c r="AC4423" s="37">
        <v>3.0197926038115437</v>
      </c>
      <c r="AD4423" s="37">
        <v>3.4163930770819388</v>
      </c>
    </row>
    <row r="4424" spans="27:30" x14ac:dyDescent="0.3">
      <c r="AA4424" s="37">
        <v>4404</v>
      </c>
      <c r="AB4424" s="37">
        <v>1.7623588308361833</v>
      </c>
      <c r="AC4424" s="37">
        <v>2.9063016206785952</v>
      </c>
      <c r="AD4424" s="37">
        <v>3.3741055600679584</v>
      </c>
    </row>
    <row r="4425" spans="27:30" x14ac:dyDescent="0.3">
      <c r="AA4425" s="37">
        <v>4405</v>
      </c>
      <c r="AB4425" s="37">
        <v>1.7603714030143709</v>
      </c>
      <c r="AC4425" s="37">
        <v>2.7249951886327404</v>
      </c>
      <c r="AD4425" s="37">
        <v>3.3108721326954926</v>
      </c>
    </row>
    <row r="4426" spans="27:30" x14ac:dyDescent="0.3">
      <c r="AA4426" s="37">
        <v>4406</v>
      </c>
      <c r="AB4426" s="37">
        <v>1.587044964230327</v>
      </c>
      <c r="AC4426" s="37">
        <v>2.8383118295732581</v>
      </c>
      <c r="AD4426" s="37">
        <v>3.2393349127182813</v>
      </c>
    </row>
    <row r="4427" spans="27:30" x14ac:dyDescent="0.3">
      <c r="AA4427" s="37">
        <v>4407</v>
      </c>
      <c r="AB4427" s="37">
        <v>1.7682001120737207</v>
      </c>
      <c r="AC4427" s="37">
        <v>2.9226025569566052</v>
      </c>
      <c r="AD4427" s="37">
        <v>3.6560409005528931</v>
      </c>
    </row>
    <row r="4428" spans="27:30" x14ac:dyDescent="0.3">
      <c r="AA4428" s="37">
        <v>4408</v>
      </c>
      <c r="AB4428" s="37">
        <v>1.8510273623109199</v>
      </c>
      <c r="AC4428" s="37">
        <v>2.7081653328116562</v>
      </c>
      <c r="AD4428" s="37">
        <v>3.2319940528332616</v>
      </c>
    </row>
    <row r="4429" spans="27:30" x14ac:dyDescent="0.3">
      <c r="AA4429" s="37">
        <v>4409</v>
      </c>
      <c r="AB4429" s="37">
        <v>1.7797506005239014</v>
      </c>
      <c r="AC4429" s="37">
        <v>2.9971216378351611</v>
      </c>
      <c r="AD4429" s="37">
        <v>3.3028576365708697</v>
      </c>
    </row>
    <row r="4430" spans="27:30" x14ac:dyDescent="0.3">
      <c r="AA4430" s="37">
        <v>4410</v>
      </c>
      <c r="AB4430" s="37">
        <v>1.8079915706809135</v>
      </c>
      <c r="AC4430" s="37">
        <v>2.6822490355189159</v>
      </c>
      <c r="AD4430" s="37">
        <v>3.3609300350545444</v>
      </c>
    </row>
    <row r="4431" spans="27:30" x14ac:dyDescent="0.3">
      <c r="AA4431" s="37">
        <v>4411</v>
      </c>
      <c r="AB4431" s="37">
        <v>1.8811327095208974</v>
      </c>
      <c r="AC4431" s="37">
        <v>2.971090744044742</v>
      </c>
      <c r="AD4431" s="37">
        <v>3.1817072086461651</v>
      </c>
    </row>
    <row r="4432" spans="27:30" x14ac:dyDescent="0.3">
      <c r="AA4432" s="37">
        <v>4412</v>
      </c>
      <c r="AB4432" s="37">
        <v>1.8092084040528364</v>
      </c>
      <c r="AC4432" s="37">
        <v>2.9222898996943898</v>
      </c>
      <c r="AD4432" s="37">
        <v>3.3954255989866007</v>
      </c>
    </row>
    <row r="4433" spans="27:30" x14ac:dyDescent="0.3">
      <c r="AA4433" s="37">
        <v>4413</v>
      </c>
      <c r="AB4433" s="37">
        <v>1.7362230513881414</v>
      </c>
      <c r="AC4433" s="37">
        <v>3.0201089344955476</v>
      </c>
      <c r="AD4433" s="37">
        <v>3.5049656266130094</v>
      </c>
    </row>
    <row r="4434" spans="27:30" x14ac:dyDescent="0.3">
      <c r="AA4434" s="37">
        <v>4414</v>
      </c>
      <c r="AB4434" s="37">
        <v>1.8671183045819877</v>
      </c>
      <c r="AC4434" s="37">
        <v>2.9240583227481149</v>
      </c>
      <c r="AD4434" s="37">
        <v>3.373116806780625</v>
      </c>
    </row>
    <row r="4435" spans="27:30" x14ac:dyDescent="0.3">
      <c r="AA4435" s="37">
        <v>4415</v>
      </c>
      <c r="AB4435" s="37">
        <v>1.7877101973888878</v>
      </c>
      <c r="AC4435" s="37">
        <v>2.93308918253814</v>
      </c>
      <c r="AD4435" s="37">
        <v>3.3096660846105674</v>
      </c>
    </row>
    <row r="4436" spans="27:30" x14ac:dyDescent="0.3">
      <c r="AA4436" s="37">
        <v>4416</v>
      </c>
      <c r="AB4436" s="37">
        <v>1.8339472731585151</v>
      </c>
      <c r="AC4436" s="37">
        <v>2.7309194698476742</v>
      </c>
      <c r="AD4436" s="37">
        <v>3.223236035119923</v>
      </c>
    </row>
    <row r="4437" spans="27:30" x14ac:dyDescent="0.3">
      <c r="AA4437" s="37">
        <v>4417</v>
      </c>
      <c r="AB4437" s="37">
        <v>1.7216794327921903</v>
      </c>
      <c r="AC4437" s="37">
        <v>2.8825270791916489</v>
      </c>
      <c r="AD4437" s="37">
        <v>3.3363830712516478</v>
      </c>
    </row>
    <row r="4438" spans="27:30" x14ac:dyDescent="0.3">
      <c r="AA4438" s="37">
        <v>4418</v>
      </c>
      <c r="AB4438" s="37">
        <v>1.836565495762281</v>
      </c>
      <c r="AC4438" s="37">
        <v>2.9319098601281266</v>
      </c>
      <c r="AD4438" s="37">
        <v>3.4723165896719888</v>
      </c>
    </row>
    <row r="4439" spans="27:30" x14ac:dyDescent="0.3">
      <c r="AA4439" s="37">
        <v>4419</v>
      </c>
      <c r="AB4439" s="37">
        <v>1.7653590634741188</v>
      </c>
      <c r="AC4439" s="37">
        <v>2.8235710945204939</v>
      </c>
      <c r="AD4439" s="37">
        <v>3.2705697960915292</v>
      </c>
    </row>
    <row r="4440" spans="27:30" x14ac:dyDescent="0.3">
      <c r="AA4440" s="37">
        <v>4420</v>
      </c>
      <c r="AB4440" s="37">
        <v>1.7904521651985525</v>
      </c>
      <c r="AC4440" s="37">
        <v>2.9820075982868746</v>
      </c>
      <c r="AD4440" s="37">
        <v>3.4044746594103694</v>
      </c>
    </row>
    <row r="4441" spans="27:30" x14ac:dyDescent="0.3">
      <c r="AA4441" s="37">
        <v>4421</v>
      </c>
      <c r="AB4441" s="37">
        <v>1.8253097883081602</v>
      </c>
      <c r="AC4441" s="37">
        <v>2.6343599491778269</v>
      </c>
      <c r="AD4441" s="37">
        <v>3.3031946158760088</v>
      </c>
    </row>
    <row r="4442" spans="27:30" x14ac:dyDescent="0.3">
      <c r="AA4442" s="37">
        <v>4422</v>
      </c>
      <c r="AB4442" s="37">
        <v>1.7689617005863794</v>
      </c>
      <c r="AC4442" s="37">
        <v>2.8775071252667153</v>
      </c>
      <c r="AD4442" s="37">
        <v>3.3764190605207061</v>
      </c>
    </row>
    <row r="4443" spans="27:30" x14ac:dyDescent="0.3">
      <c r="AA4443" s="37">
        <v>4423</v>
      </c>
      <c r="AB4443" s="37">
        <v>1.7107502153806271</v>
      </c>
      <c r="AC4443" s="37">
        <v>2.903899300098852</v>
      </c>
      <c r="AD4443" s="37">
        <v>3.3772419973858936</v>
      </c>
    </row>
    <row r="4444" spans="27:30" x14ac:dyDescent="0.3">
      <c r="AA4444" s="37">
        <v>4424</v>
      </c>
      <c r="AB4444" s="37">
        <v>1.6176055613894391</v>
      </c>
      <c r="AC4444" s="37">
        <v>3.0393168538677648</v>
      </c>
      <c r="AD4444" s="37">
        <v>3.5419644001790291</v>
      </c>
    </row>
    <row r="4445" spans="27:30" x14ac:dyDescent="0.3">
      <c r="AA4445" s="37">
        <v>4425</v>
      </c>
      <c r="AB4445" s="37">
        <v>1.8454221212888025</v>
      </c>
      <c r="AC4445" s="37">
        <v>2.8387694390378679</v>
      </c>
      <c r="AD4445" s="37">
        <v>3.2095740768048895</v>
      </c>
    </row>
    <row r="4446" spans="27:30" x14ac:dyDescent="0.3">
      <c r="AA4446" s="37">
        <v>4426</v>
      </c>
      <c r="AB4446" s="37">
        <v>1.8098059295250775</v>
      </c>
      <c r="AC4446" s="37">
        <v>2.949928394267086</v>
      </c>
      <c r="AD4446" s="37">
        <v>3.2299921431601692</v>
      </c>
    </row>
    <row r="4447" spans="27:30" x14ac:dyDescent="0.3">
      <c r="AA4447" s="37">
        <v>4427</v>
      </c>
      <c r="AB4447" s="37">
        <v>1.6720696044395316</v>
      </c>
      <c r="AC4447" s="37">
        <v>2.6313555203620846</v>
      </c>
      <c r="AD4447" s="37">
        <v>3.2509847153194738</v>
      </c>
    </row>
    <row r="4448" spans="27:30" x14ac:dyDescent="0.3">
      <c r="AA4448" s="37">
        <v>4428</v>
      </c>
      <c r="AB4448" s="37">
        <v>1.7747391073707888</v>
      </c>
      <c r="AC4448" s="37">
        <v>2.8182589592508762</v>
      </c>
      <c r="AD4448" s="37">
        <v>3.1510385409339876</v>
      </c>
    </row>
    <row r="4449" spans="27:30" x14ac:dyDescent="0.3">
      <c r="AA4449" s="37">
        <v>4429</v>
      </c>
      <c r="AB4449" s="37">
        <v>1.8710036113388007</v>
      </c>
      <c r="AC4449" s="37">
        <v>2.8060915914415601</v>
      </c>
      <c r="AD4449" s="37">
        <v>3.5026990636632709</v>
      </c>
    </row>
    <row r="4450" spans="27:30" x14ac:dyDescent="0.3">
      <c r="AA4450" s="37">
        <v>4430</v>
      </c>
      <c r="AB4450" s="37">
        <v>1.9286202535269219</v>
      </c>
      <c r="AC4450" s="37">
        <v>2.7936338938508287</v>
      </c>
      <c r="AD4450" s="37">
        <v>3.301388350762021</v>
      </c>
    </row>
    <row r="4451" spans="27:30" x14ac:dyDescent="0.3">
      <c r="AA4451" s="37">
        <v>4431</v>
      </c>
      <c r="AB4451" s="37">
        <v>1.8670708771583857</v>
      </c>
      <c r="AC4451" s="37">
        <v>2.9544145727082318</v>
      </c>
      <c r="AD4451" s="37">
        <v>3.2585873288881091</v>
      </c>
    </row>
    <row r="4452" spans="27:30" x14ac:dyDescent="0.3">
      <c r="AA4452" s="37">
        <v>4432</v>
      </c>
      <c r="AB4452" s="37">
        <v>1.8028165553474158</v>
      </c>
      <c r="AC4452" s="37">
        <v>2.8241384442438093</v>
      </c>
      <c r="AD4452" s="37">
        <v>3.2939677265005902</v>
      </c>
    </row>
    <row r="4453" spans="27:30" x14ac:dyDescent="0.3">
      <c r="AA4453" s="37">
        <v>4433</v>
      </c>
      <c r="AB4453" s="37">
        <v>1.7071608956039004</v>
      </c>
      <c r="AC4453" s="37">
        <v>2.8490751184068204</v>
      </c>
      <c r="AD4453" s="37">
        <v>3.3278587518943654</v>
      </c>
    </row>
    <row r="4454" spans="27:30" x14ac:dyDescent="0.3">
      <c r="AA4454" s="37">
        <v>4434</v>
      </c>
      <c r="AB4454" s="37">
        <v>1.7522678119701358</v>
      </c>
      <c r="AC4454" s="37">
        <v>2.9116962134664179</v>
      </c>
      <c r="AD4454" s="37">
        <v>3.4055940788801102</v>
      </c>
    </row>
    <row r="4455" spans="27:30" x14ac:dyDescent="0.3">
      <c r="AA4455" s="37">
        <v>4435</v>
      </c>
      <c r="AB4455" s="37">
        <v>1.7808592678223971</v>
      </c>
      <c r="AC4455" s="37">
        <v>2.6633724791431868</v>
      </c>
      <c r="AD4455" s="37">
        <v>3.056469699675056</v>
      </c>
    </row>
    <row r="4456" spans="27:30" x14ac:dyDescent="0.3">
      <c r="AA4456" s="37">
        <v>4436</v>
      </c>
      <c r="AB4456" s="37">
        <v>1.7129436668812197</v>
      </c>
      <c r="AC4456" s="37">
        <v>3.0615500437293588</v>
      </c>
      <c r="AD4456" s="37">
        <v>3.2866077648697929</v>
      </c>
    </row>
    <row r="4457" spans="27:30" x14ac:dyDescent="0.3">
      <c r="AA4457" s="37">
        <v>4437</v>
      </c>
      <c r="AB4457" s="37">
        <v>1.7851563022136625</v>
      </c>
      <c r="AC4457" s="37">
        <v>2.7766374624946546</v>
      </c>
      <c r="AD4457" s="37">
        <v>3.2715134641528514</v>
      </c>
    </row>
    <row r="4458" spans="27:30" x14ac:dyDescent="0.3">
      <c r="AA4458" s="37">
        <v>4438</v>
      </c>
      <c r="AB4458" s="37">
        <v>1.6912606193244075</v>
      </c>
      <c r="AC4458" s="37">
        <v>2.9758703552355827</v>
      </c>
      <c r="AD4458" s="37">
        <v>3.3718477922872032</v>
      </c>
    </row>
    <row r="4459" spans="27:30" x14ac:dyDescent="0.3">
      <c r="AA4459" s="37">
        <v>4439</v>
      </c>
      <c r="AB4459" s="37">
        <v>1.683861960339736</v>
      </c>
      <c r="AC4459" s="37">
        <v>2.7925278164155869</v>
      </c>
      <c r="AD4459" s="37">
        <v>3.2369098826499938</v>
      </c>
    </row>
    <row r="4460" spans="27:30" x14ac:dyDescent="0.3">
      <c r="AA4460" s="37">
        <v>4440</v>
      </c>
      <c r="AB4460" s="37">
        <v>1.7954752772491596</v>
      </c>
      <c r="AC4460" s="37">
        <v>2.8661270934982594</v>
      </c>
      <c r="AD4460" s="37">
        <v>3.2655464982093538</v>
      </c>
    </row>
    <row r="4461" spans="27:30" x14ac:dyDescent="0.3">
      <c r="AA4461" s="37">
        <v>4441</v>
      </c>
      <c r="AB4461" s="37">
        <v>1.7514741001268761</v>
      </c>
      <c r="AC4461" s="37">
        <v>2.789424109874536</v>
      </c>
      <c r="AD4461" s="37">
        <v>3.4281146143358856</v>
      </c>
    </row>
    <row r="4462" spans="27:30" x14ac:dyDescent="0.3">
      <c r="AA4462" s="37">
        <v>4442</v>
      </c>
      <c r="AB4462" s="37">
        <v>1.7287246194166639</v>
      </c>
      <c r="AC4462" s="37">
        <v>2.8472022050559112</v>
      </c>
      <c r="AD4462" s="37">
        <v>3.3161596769388453</v>
      </c>
    </row>
    <row r="4463" spans="27:30" x14ac:dyDescent="0.3">
      <c r="AA4463" s="37">
        <v>4443</v>
      </c>
      <c r="AB4463" s="37">
        <v>1.8920939550115063</v>
      </c>
      <c r="AC4463" s="37">
        <v>2.8802056049638436</v>
      </c>
      <c r="AD4463" s="37">
        <v>3.3119782943190899</v>
      </c>
    </row>
    <row r="4464" spans="27:30" x14ac:dyDescent="0.3">
      <c r="AA4464" s="37">
        <v>4444</v>
      </c>
      <c r="AB4464" s="37">
        <v>1.7780054285379563</v>
      </c>
      <c r="AC4464" s="37">
        <v>2.8479643623056345</v>
      </c>
      <c r="AD4464" s="37">
        <v>3.29829891550669</v>
      </c>
    </row>
    <row r="4465" spans="27:30" x14ac:dyDescent="0.3">
      <c r="AA4465" s="37">
        <v>4445</v>
      </c>
      <c r="AB4465" s="37">
        <v>1.8196587921099106</v>
      </c>
      <c r="AC4465" s="37">
        <v>2.7441906968448078</v>
      </c>
      <c r="AD4465" s="37">
        <v>3.4929421565468903</v>
      </c>
    </row>
    <row r="4466" spans="27:30" x14ac:dyDescent="0.3">
      <c r="AA4466" s="37">
        <v>4446</v>
      </c>
      <c r="AB4466" s="37">
        <v>1.7779174135754081</v>
      </c>
      <c r="AC4466" s="37">
        <v>2.9723858938144159</v>
      </c>
      <c r="AD4466" s="37">
        <v>3.498997412758416</v>
      </c>
    </row>
    <row r="4467" spans="27:30" x14ac:dyDescent="0.3">
      <c r="AA4467" s="37">
        <v>4447</v>
      </c>
      <c r="AB4467" s="37">
        <v>1.8785246518427123</v>
      </c>
      <c r="AC4467" s="37">
        <v>2.8240894839660311</v>
      </c>
      <c r="AD4467" s="37">
        <v>3.3653034111784388</v>
      </c>
    </row>
    <row r="4468" spans="27:30" x14ac:dyDescent="0.3">
      <c r="AA4468" s="37">
        <v>4448</v>
      </c>
      <c r="AB4468" s="37">
        <v>1.9083174252743773</v>
      </c>
      <c r="AC4468" s="37">
        <v>2.7782022462290143</v>
      </c>
      <c r="AD4468" s="37">
        <v>3.32257167399634</v>
      </c>
    </row>
    <row r="4469" spans="27:30" x14ac:dyDescent="0.3">
      <c r="AA4469" s="37">
        <v>4449</v>
      </c>
      <c r="AB4469" s="37">
        <v>1.8370478492178781</v>
      </c>
      <c r="AC4469" s="37">
        <v>2.8734470948560351</v>
      </c>
      <c r="AD4469" s="37">
        <v>3.3997662190178812</v>
      </c>
    </row>
    <row r="4470" spans="27:30" x14ac:dyDescent="0.3">
      <c r="AA4470" s="37">
        <v>4450</v>
      </c>
      <c r="AB4470" s="37">
        <v>1.8538529346925812</v>
      </c>
      <c r="AC4470" s="37">
        <v>2.8739652024948192</v>
      </c>
      <c r="AD4470" s="37">
        <v>3.2938386454841742</v>
      </c>
    </row>
    <row r="4471" spans="27:30" x14ac:dyDescent="0.3">
      <c r="AA4471" s="37">
        <v>4451</v>
      </c>
      <c r="AB4471" s="37">
        <v>1.7903197194408487</v>
      </c>
      <c r="AC4471" s="37">
        <v>2.791124259604715</v>
      </c>
      <c r="AD4471" s="37">
        <v>3.4967588557721339</v>
      </c>
    </row>
    <row r="4472" spans="27:30" x14ac:dyDescent="0.3">
      <c r="AA4472" s="37">
        <v>4452</v>
      </c>
      <c r="AB4472" s="37">
        <v>1.8105765380167889</v>
      </c>
      <c r="AC4472" s="37">
        <v>2.8857352393684961</v>
      </c>
      <c r="AD4472" s="37">
        <v>3.3610280784948183</v>
      </c>
    </row>
    <row r="4473" spans="27:30" x14ac:dyDescent="0.3">
      <c r="AA4473" s="37">
        <v>4453</v>
      </c>
      <c r="AB4473" s="37">
        <v>1.7032879497112332</v>
      </c>
      <c r="AC4473" s="37">
        <v>2.8220324455973018</v>
      </c>
      <c r="AD4473" s="37">
        <v>3.3683181327888243</v>
      </c>
    </row>
    <row r="4474" spans="27:30" x14ac:dyDescent="0.3">
      <c r="AA4474" s="37">
        <v>4454</v>
      </c>
      <c r="AB4474" s="37">
        <v>1.8405989405178231</v>
      </c>
      <c r="AC4474" s="37">
        <v>2.7989526350230221</v>
      </c>
      <c r="AD4474" s="37">
        <v>3.3912883214209013</v>
      </c>
    </row>
    <row r="4475" spans="27:30" x14ac:dyDescent="0.3">
      <c r="AA4475" s="37">
        <v>4455</v>
      </c>
      <c r="AB4475" s="37">
        <v>1.8286191136097127</v>
      </c>
      <c r="AC4475" s="37">
        <v>2.957382104777742</v>
      </c>
      <c r="AD4475" s="37">
        <v>3.5237052408862906</v>
      </c>
    </row>
    <row r="4476" spans="27:30" x14ac:dyDescent="0.3">
      <c r="AA4476" s="37">
        <v>4456</v>
      </c>
      <c r="AB4476" s="37">
        <v>1.8323501371830715</v>
      </c>
      <c r="AC4476" s="37">
        <v>2.9355851775027175</v>
      </c>
      <c r="AD4476" s="37">
        <v>3.5350412352830265</v>
      </c>
    </row>
    <row r="4477" spans="27:30" x14ac:dyDescent="0.3">
      <c r="AA4477" s="37">
        <v>4457</v>
      </c>
      <c r="AB4477" s="37">
        <v>1.7577001001145338</v>
      </c>
      <c r="AC4477" s="37">
        <v>2.8961572281702006</v>
      </c>
      <c r="AD4477" s="37">
        <v>3.4773977744734208</v>
      </c>
    </row>
    <row r="4478" spans="27:30" x14ac:dyDescent="0.3">
      <c r="AA4478" s="37">
        <v>4458</v>
      </c>
      <c r="AB4478" s="37">
        <v>1.8317637828035278</v>
      </c>
      <c r="AC4478" s="37">
        <v>2.8005366099767115</v>
      </c>
      <c r="AD4478" s="37">
        <v>3.4186803214803687</v>
      </c>
    </row>
    <row r="4479" spans="27:30" x14ac:dyDescent="0.3">
      <c r="AA4479" s="37">
        <v>4459</v>
      </c>
      <c r="AB4479" s="37">
        <v>1.7882220149801173</v>
      </c>
      <c r="AC4479" s="37">
        <v>2.9013819807781114</v>
      </c>
      <c r="AD4479" s="37">
        <v>3.0746598985102676</v>
      </c>
    </row>
    <row r="4480" spans="27:30" x14ac:dyDescent="0.3">
      <c r="AA4480" s="37">
        <v>4460</v>
      </c>
      <c r="AB4480" s="37">
        <v>1.7011142937513553</v>
      </c>
      <c r="AC4480" s="37">
        <v>3.0300746902032274</v>
      </c>
      <c r="AD4480" s="37">
        <v>3.3282568089431193</v>
      </c>
    </row>
    <row r="4481" spans="27:30" x14ac:dyDescent="0.3">
      <c r="AA4481" s="37">
        <v>4461</v>
      </c>
      <c r="AB4481" s="37">
        <v>1.7739679626623133</v>
      </c>
      <c r="AC4481" s="37">
        <v>2.8721234316657371</v>
      </c>
      <c r="AD4481" s="37">
        <v>3.3329055578701898</v>
      </c>
    </row>
    <row r="4482" spans="27:30" x14ac:dyDescent="0.3">
      <c r="AA4482" s="37">
        <v>4462</v>
      </c>
      <c r="AB4482" s="37">
        <v>1.7337607408079505</v>
      </c>
      <c r="AC4482" s="37">
        <v>2.8622122405492121</v>
      </c>
      <c r="AD4482" s="37">
        <v>3.3061964810132105</v>
      </c>
    </row>
    <row r="4483" spans="27:30" x14ac:dyDescent="0.3">
      <c r="AA4483" s="37">
        <v>4463</v>
      </c>
      <c r="AB4483" s="37">
        <v>1.6980085418364324</v>
      </c>
      <c r="AC4483" s="37">
        <v>2.837979403600162</v>
      </c>
      <c r="AD4483" s="37">
        <v>3.1166321926839733</v>
      </c>
    </row>
    <row r="4484" spans="27:30" x14ac:dyDescent="0.3">
      <c r="AA4484" s="37">
        <v>4464</v>
      </c>
      <c r="AB4484" s="37">
        <v>1.6953531950331964</v>
      </c>
      <c r="AC4484" s="37">
        <v>2.9130655516459876</v>
      </c>
      <c r="AD4484" s="37">
        <v>3.44219252914331</v>
      </c>
    </row>
    <row r="4485" spans="27:30" x14ac:dyDescent="0.3">
      <c r="AA4485" s="37">
        <v>4465</v>
      </c>
      <c r="AB4485" s="37">
        <v>1.7702952318076677</v>
      </c>
      <c r="AC4485" s="37">
        <v>2.5784427477184764</v>
      </c>
      <c r="AD4485" s="37">
        <v>3.1624367123616173</v>
      </c>
    </row>
    <row r="4486" spans="27:30" x14ac:dyDescent="0.3">
      <c r="AA4486" s="37">
        <v>4466</v>
      </c>
      <c r="AB4486" s="37">
        <v>1.7927352407637775</v>
      </c>
      <c r="AC4486" s="37">
        <v>2.7204600777154679</v>
      </c>
      <c r="AD4486" s="37">
        <v>3.376448187095284</v>
      </c>
    </row>
    <row r="4487" spans="27:30" x14ac:dyDescent="0.3">
      <c r="AA4487" s="37">
        <v>4467</v>
      </c>
      <c r="AB4487" s="37">
        <v>1.7621777904645519</v>
      </c>
      <c r="AC4487" s="37">
        <v>2.9654536200061612</v>
      </c>
      <c r="AD4487" s="37">
        <v>3.3822849237504782</v>
      </c>
    </row>
    <row r="4488" spans="27:30" x14ac:dyDescent="0.3">
      <c r="AA4488" s="37">
        <v>4468</v>
      </c>
      <c r="AB4488" s="37">
        <v>1.8389823750498242</v>
      </c>
      <c r="AC4488" s="37">
        <v>2.6365107439410833</v>
      </c>
      <c r="AD4488" s="37">
        <v>3.3735638290507453</v>
      </c>
    </row>
    <row r="4489" spans="27:30" x14ac:dyDescent="0.3">
      <c r="AA4489" s="37">
        <v>4469</v>
      </c>
      <c r="AB4489" s="37">
        <v>1.8281922532681492</v>
      </c>
      <c r="AC4489" s="37">
        <v>2.9278495544749203</v>
      </c>
      <c r="AD4489" s="37">
        <v>3.3976887163691853</v>
      </c>
    </row>
    <row r="4490" spans="27:30" x14ac:dyDescent="0.3">
      <c r="AA4490" s="37">
        <v>4470</v>
      </c>
      <c r="AB4490" s="37">
        <v>1.8432496553025923</v>
      </c>
      <c r="AC4490" s="37">
        <v>2.8880190967693125</v>
      </c>
      <c r="AD4490" s="37">
        <v>3.3898708197335914</v>
      </c>
    </row>
    <row r="4491" spans="27:30" x14ac:dyDescent="0.3">
      <c r="AA4491" s="37">
        <v>4471</v>
      </c>
      <c r="AB4491" s="37">
        <v>1.7900987096737488</v>
      </c>
      <c r="AC4491" s="37">
        <v>2.8744768356567434</v>
      </c>
      <c r="AD4491" s="37">
        <v>3.4945823915513397</v>
      </c>
    </row>
    <row r="4492" spans="27:30" x14ac:dyDescent="0.3">
      <c r="AA4492" s="37">
        <v>4472</v>
      </c>
      <c r="AB4492" s="37">
        <v>1.7909665722192571</v>
      </c>
      <c r="AC4492" s="37">
        <v>2.8412693923217938</v>
      </c>
      <c r="AD4492" s="37">
        <v>3.3439494242392414</v>
      </c>
    </row>
    <row r="4493" spans="27:30" x14ac:dyDescent="0.3">
      <c r="AA4493" s="37">
        <v>4473</v>
      </c>
      <c r="AB4493" s="37">
        <v>1.7271743172459735</v>
      </c>
      <c r="AC4493" s="37">
        <v>2.7292748205869679</v>
      </c>
      <c r="AD4493" s="37">
        <v>3.3977748162657786</v>
      </c>
    </row>
    <row r="4494" spans="27:30" x14ac:dyDescent="0.3">
      <c r="AA4494" s="37">
        <v>4474</v>
      </c>
      <c r="AB4494" s="37">
        <v>1.814819275159677</v>
      </c>
      <c r="AC4494" s="37">
        <v>2.7079262814379952</v>
      </c>
      <c r="AD4494" s="37">
        <v>3.2657234158457706</v>
      </c>
    </row>
    <row r="4495" spans="27:30" x14ac:dyDescent="0.3">
      <c r="AA4495" s="37">
        <v>4475</v>
      </c>
      <c r="AB4495" s="37">
        <v>1.8669142183208483</v>
      </c>
      <c r="AC4495" s="37">
        <v>2.8991077230243443</v>
      </c>
      <c r="AD4495" s="37">
        <v>3.2508319980322251</v>
      </c>
    </row>
    <row r="4496" spans="27:30" x14ac:dyDescent="0.3">
      <c r="AA4496" s="37">
        <v>4476</v>
      </c>
      <c r="AB4496" s="37">
        <v>1.6789205316987916</v>
      </c>
      <c r="AC4496" s="37">
        <v>2.7366190113501747</v>
      </c>
      <c r="AD4496" s="37">
        <v>3.3986537674471715</v>
      </c>
    </row>
    <row r="4497" spans="27:30" x14ac:dyDescent="0.3">
      <c r="AA4497" s="37">
        <v>4477</v>
      </c>
      <c r="AB4497" s="37">
        <v>1.7157259271845702</v>
      </c>
      <c r="AC4497" s="37">
        <v>2.8405279313216334</v>
      </c>
      <c r="AD4497" s="37">
        <v>3.2855691717087958</v>
      </c>
    </row>
    <row r="4498" spans="27:30" x14ac:dyDescent="0.3">
      <c r="AA4498" s="37">
        <v>4478</v>
      </c>
      <c r="AB4498" s="37">
        <v>1.7154192142026681</v>
      </c>
      <c r="AC4498" s="37">
        <v>2.9947550268755543</v>
      </c>
      <c r="AD4498" s="37">
        <v>3.5837858043754873</v>
      </c>
    </row>
    <row r="4499" spans="27:30" x14ac:dyDescent="0.3">
      <c r="AA4499" s="37">
        <v>4479</v>
      </c>
      <c r="AB4499" s="37">
        <v>1.7483444246238247</v>
      </c>
      <c r="AC4499" s="37">
        <v>2.7924113935579058</v>
      </c>
      <c r="AD4499" s="37">
        <v>3.3876199619893055</v>
      </c>
    </row>
    <row r="4500" spans="27:30" x14ac:dyDescent="0.3">
      <c r="AA4500" s="37">
        <v>4480</v>
      </c>
      <c r="AB4500" s="37">
        <v>1.690877545259508</v>
      </c>
      <c r="AC4500" s="37">
        <v>2.7148513304193322</v>
      </c>
      <c r="AD4500" s="37">
        <v>3.1473686715162494</v>
      </c>
    </row>
    <row r="4501" spans="27:30" x14ac:dyDescent="0.3">
      <c r="AA4501" s="37">
        <v>4481</v>
      </c>
      <c r="AB4501" s="37">
        <v>1.7368767237731231</v>
      </c>
      <c r="AC4501" s="37">
        <v>2.7776674837314475</v>
      </c>
      <c r="AD4501" s="37">
        <v>3.2940450179251566</v>
      </c>
    </row>
    <row r="4502" spans="27:30" x14ac:dyDescent="0.3">
      <c r="AA4502" s="37">
        <v>4482</v>
      </c>
      <c r="AB4502" s="37">
        <v>1.7376066338709437</v>
      </c>
      <c r="AC4502" s="37">
        <v>2.9259879968294511</v>
      </c>
      <c r="AD4502" s="37">
        <v>3.5534987361416852</v>
      </c>
    </row>
    <row r="4503" spans="27:30" x14ac:dyDescent="0.3">
      <c r="AA4503" s="37">
        <v>4483</v>
      </c>
      <c r="AB4503" s="37">
        <v>1.7551887753301967</v>
      </c>
      <c r="AC4503" s="37">
        <v>3.0036984312849904</v>
      </c>
      <c r="AD4503" s="37">
        <v>3.2314319839580348</v>
      </c>
    </row>
    <row r="4504" spans="27:30" x14ac:dyDescent="0.3">
      <c r="AA4504" s="37">
        <v>4484</v>
      </c>
      <c r="AB4504" s="37">
        <v>1.7690255085795907</v>
      </c>
      <c r="AC4504" s="37">
        <v>2.7402027719406603</v>
      </c>
      <c r="AD4504" s="37">
        <v>3.2944154415988351</v>
      </c>
    </row>
    <row r="4505" spans="27:30" x14ac:dyDescent="0.3">
      <c r="AA4505" s="37">
        <v>4485</v>
      </c>
      <c r="AB4505" s="37">
        <v>1.6978780206676851</v>
      </c>
      <c r="AC4505" s="37">
        <v>2.830633417465783</v>
      </c>
      <c r="AD4505" s="37">
        <v>3.4014606166755401</v>
      </c>
    </row>
    <row r="4506" spans="27:30" x14ac:dyDescent="0.3">
      <c r="AA4506" s="37">
        <v>4486</v>
      </c>
      <c r="AB4506" s="37">
        <v>1.7908627495307357</v>
      </c>
      <c r="AC4506" s="37">
        <v>2.7707776896688756</v>
      </c>
      <c r="AD4506" s="37">
        <v>3.1554953169966073</v>
      </c>
    </row>
    <row r="4507" spans="27:30" x14ac:dyDescent="0.3">
      <c r="AA4507" s="37">
        <v>4487</v>
      </c>
      <c r="AB4507" s="37">
        <v>1.7491978720898642</v>
      </c>
      <c r="AC4507" s="37">
        <v>2.7950974091175671</v>
      </c>
      <c r="AD4507" s="37">
        <v>3.2351897912144882</v>
      </c>
    </row>
    <row r="4508" spans="27:30" x14ac:dyDescent="0.3">
      <c r="AA4508" s="37">
        <v>4488</v>
      </c>
      <c r="AB4508" s="37">
        <v>1.8032839029433887</v>
      </c>
      <c r="AC4508" s="37">
        <v>2.831470626821762</v>
      </c>
      <c r="AD4508" s="37">
        <v>3.5255783276422394</v>
      </c>
    </row>
    <row r="4509" spans="27:30" x14ac:dyDescent="0.3">
      <c r="AA4509" s="37">
        <v>4489</v>
      </c>
      <c r="AB4509" s="37">
        <v>1.6931690843124072</v>
      </c>
      <c r="AC4509" s="37">
        <v>3.0188123293092071</v>
      </c>
      <c r="AD4509" s="37">
        <v>3.2566581448247858</v>
      </c>
    </row>
    <row r="4510" spans="27:30" x14ac:dyDescent="0.3">
      <c r="AA4510" s="37">
        <v>4490</v>
      </c>
      <c r="AB4510" s="37">
        <v>1.7266024620105913</v>
      </c>
      <c r="AC4510" s="37">
        <v>2.5832122689194974</v>
      </c>
      <c r="AD4510" s="37">
        <v>3.2649972531842435</v>
      </c>
    </row>
    <row r="4511" spans="27:30" x14ac:dyDescent="0.3">
      <c r="AA4511" s="37">
        <v>4491</v>
      </c>
      <c r="AB4511" s="37">
        <v>1.8198490321170933</v>
      </c>
      <c r="AC4511" s="37">
        <v>2.8972818363321147</v>
      </c>
      <c r="AD4511" s="37">
        <v>3.2179703877021812</v>
      </c>
    </row>
    <row r="4512" spans="27:30" x14ac:dyDescent="0.3">
      <c r="AA4512" s="37">
        <v>4492</v>
      </c>
      <c r="AB4512" s="37">
        <v>1.7451464046461072</v>
      </c>
      <c r="AC4512" s="37">
        <v>2.7308394749391249</v>
      </c>
      <c r="AD4512" s="37">
        <v>3.2678699814387704</v>
      </c>
    </row>
    <row r="4513" spans="27:30" x14ac:dyDescent="0.3">
      <c r="AA4513" s="37">
        <v>4493</v>
      </c>
      <c r="AB4513" s="37">
        <v>1.9052033073146857</v>
      </c>
      <c r="AC4513" s="37">
        <v>2.6764732134641158</v>
      </c>
      <c r="AD4513" s="37">
        <v>3.4707866704773331</v>
      </c>
    </row>
    <row r="4514" spans="27:30" x14ac:dyDescent="0.3">
      <c r="AA4514" s="37">
        <v>4494</v>
      </c>
      <c r="AB4514" s="37">
        <v>1.8849128613752004</v>
      </c>
      <c r="AC4514" s="37">
        <v>2.77605144761363</v>
      </c>
      <c r="AD4514" s="37">
        <v>3.2491627222114587</v>
      </c>
    </row>
    <row r="4515" spans="27:30" x14ac:dyDescent="0.3">
      <c r="AA4515" s="37">
        <v>4495</v>
      </c>
      <c r="AB4515" s="37">
        <v>1.8007607206222258</v>
      </c>
      <c r="AC4515" s="37">
        <v>2.8843863490290791</v>
      </c>
      <c r="AD4515" s="37">
        <v>3.6244619217058585</v>
      </c>
    </row>
    <row r="4516" spans="27:30" x14ac:dyDescent="0.3">
      <c r="AA4516" s="37">
        <v>4496</v>
      </c>
      <c r="AB4516" s="37">
        <v>1.8336974044667413</v>
      </c>
      <c r="AC4516" s="37">
        <v>2.8418788788271891</v>
      </c>
      <c r="AD4516" s="37">
        <v>3.252877749367264</v>
      </c>
    </row>
    <row r="4517" spans="27:30" x14ac:dyDescent="0.3">
      <c r="AA4517" s="37">
        <v>4497</v>
      </c>
      <c r="AB4517" s="37">
        <v>1.836971321628966</v>
      </c>
      <c r="AC4517" s="37">
        <v>2.8896762831012976</v>
      </c>
      <c r="AD4517" s="37">
        <v>3.3668667326796324</v>
      </c>
    </row>
    <row r="4518" spans="27:30" x14ac:dyDescent="0.3">
      <c r="AA4518" s="37">
        <v>4498</v>
      </c>
      <c r="AB4518" s="37">
        <v>1.8438907876739932</v>
      </c>
      <c r="AC4518" s="37">
        <v>2.7693618973523613</v>
      </c>
      <c r="AD4518" s="37">
        <v>3.3411760508256187</v>
      </c>
    </row>
    <row r="4519" spans="27:30" x14ac:dyDescent="0.3">
      <c r="AA4519" s="37">
        <v>4499</v>
      </c>
      <c r="AB4519" s="37">
        <v>1.8264444277398659</v>
      </c>
      <c r="AC4519" s="37">
        <v>2.8427341636758596</v>
      </c>
      <c r="AD4519" s="37">
        <v>3.2412075313068081</v>
      </c>
    </row>
    <row r="4520" spans="27:30" x14ac:dyDescent="0.3">
      <c r="AA4520" s="37">
        <v>4500</v>
      </c>
      <c r="AB4520" s="37">
        <v>1.872446150026265</v>
      </c>
      <c r="AC4520" s="37">
        <v>2.5925531132633877</v>
      </c>
      <c r="AD4520" s="37">
        <v>3.6087141293161578</v>
      </c>
    </row>
    <row r="4521" spans="27:30" x14ac:dyDescent="0.3">
      <c r="AA4521" s="37">
        <v>4501</v>
      </c>
      <c r="AB4521" s="37">
        <v>1.8906446094662008</v>
      </c>
      <c r="AC4521" s="37">
        <v>2.7528817622563606</v>
      </c>
      <c r="AD4521" s="37">
        <v>3.2767765461381031</v>
      </c>
    </row>
    <row r="4522" spans="27:30" x14ac:dyDescent="0.3">
      <c r="AA4522" s="37">
        <v>4502</v>
      </c>
      <c r="AB4522" s="37">
        <v>1.8192196443127955</v>
      </c>
      <c r="AC4522" s="37">
        <v>2.8039537861089889</v>
      </c>
      <c r="AD4522" s="37">
        <v>3.4690757687633513</v>
      </c>
    </row>
    <row r="4523" spans="27:30" x14ac:dyDescent="0.3">
      <c r="AA4523" s="37">
        <v>4503</v>
      </c>
      <c r="AB4523" s="37">
        <v>1.8699011733578714</v>
      </c>
      <c r="AC4523" s="37">
        <v>2.8286604247911398</v>
      </c>
      <c r="AD4523" s="37">
        <v>3.358125901810133</v>
      </c>
    </row>
    <row r="4524" spans="27:30" x14ac:dyDescent="0.3">
      <c r="AA4524" s="37">
        <v>4504</v>
      </c>
      <c r="AB4524" s="37">
        <v>1.875915278224378</v>
      </c>
      <c r="AC4524" s="37">
        <v>2.8096205325727892</v>
      </c>
      <c r="AD4524" s="37">
        <v>3.3251187836963969</v>
      </c>
    </row>
    <row r="4525" spans="27:30" x14ac:dyDescent="0.3">
      <c r="AA4525" s="37">
        <v>4505</v>
      </c>
      <c r="AB4525" s="37">
        <v>1.8013484812914142</v>
      </c>
      <c r="AC4525" s="37">
        <v>2.604555982698467</v>
      </c>
      <c r="AD4525" s="37">
        <v>3.1601716980769936</v>
      </c>
    </row>
    <row r="4526" spans="27:30" x14ac:dyDescent="0.3">
      <c r="AA4526" s="37">
        <v>4506</v>
      </c>
      <c r="AB4526" s="37">
        <v>1.7140811278515926</v>
      </c>
      <c r="AC4526" s="37">
        <v>2.937340251786928</v>
      </c>
      <c r="AD4526" s="37">
        <v>3.2314166080441793</v>
      </c>
    </row>
    <row r="4527" spans="27:30" x14ac:dyDescent="0.3">
      <c r="AA4527" s="37">
        <v>4507</v>
      </c>
      <c r="AB4527" s="37">
        <v>1.8104827832291284</v>
      </c>
      <c r="AC4527" s="37">
        <v>2.9768954424445426</v>
      </c>
      <c r="AD4527" s="37">
        <v>3.6853037472725592</v>
      </c>
    </row>
    <row r="4528" spans="27:30" x14ac:dyDescent="0.3">
      <c r="AA4528" s="37">
        <v>4508</v>
      </c>
      <c r="AB4528" s="37">
        <v>1.7724568457748551</v>
      </c>
      <c r="AC4528" s="37">
        <v>2.7144569086540202</v>
      </c>
      <c r="AD4528" s="37">
        <v>3.248321942882217</v>
      </c>
    </row>
    <row r="4529" spans="27:30" x14ac:dyDescent="0.3">
      <c r="AA4529" s="37">
        <v>4509</v>
      </c>
      <c r="AB4529" s="37">
        <v>1.7536411787529005</v>
      </c>
      <c r="AC4529" s="37">
        <v>2.8300638213767977</v>
      </c>
      <c r="AD4529" s="37">
        <v>3.2901450315671688</v>
      </c>
    </row>
    <row r="4530" spans="27:30" x14ac:dyDescent="0.3">
      <c r="AA4530" s="37">
        <v>4510</v>
      </c>
      <c r="AB4530" s="37">
        <v>1.7925691246297022</v>
      </c>
      <c r="AC4530" s="37">
        <v>2.6269285423260103</v>
      </c>
      <c r="AD4530" s="37">
        <v>3.401956707784505</v>
      </c>
    </row>
    <row r="4531" spans="27:30" x14ac:dyDescent="0.3">
      <c r="AA4531" s="37">
        <v>4511</v>
      </c>
      <c r="AB4531" s="37">
        <v>1.8505349872625156</v>
      </c>
      <c r="AC4531" s="37">
        <v>2.7714968677738847</v>
      </c>
      <c r="AD4531" s="37">
        <v>3.3001594388522717</v>
      </c>
    </row>
    <row r="4532" spans="27:30" x14ac:dyDescent="0.3">
      <c r="AA4532" s="37">
        <v>4512</v>
      </c>
      <c r="AB4532" s="37">
        <v>1.8088474406015806</v>
      </c>
      <c r="AC4532" s="37">
        <v>2.7655946850754356</v>
      </c>
      <c r="AD4532" s="37">
        <v>3.465757016279825</v>
      </c>
    </row>
    <row r="4533" spans="27:30" x14ac:dyDescent="0.3">
      <c r="AA4533" s="37">
        <v>4513</v>
      </c>
      <c r="AB4533" s="37">
        <v>1.8177536399318137</v>
      </c>
      <c r="AC4533" s="37">
        <v>2.9043181468186936</v>
      </c>
      <c r="AD4533" s="37">
        <v>3.3103250282837964</v>
      </c>
    </row>
    <row r="4534" spans="27:30" x14ac:dyDescent="0.3">
      <c r="AA4534" s="37">
        <v>4514</v>
      </c>
      <c r="AB4534" s="37">
        <v>1.7092679153664909</v>
      </c>
      <c r="AC4534" s="37">
        <v>2.9379122280694636</v>
      </c>
      <c r="AD4534" s="37">
        <v>3.2049198255108391</v>
      </c>
    </row>
    <row r="4535" spans="27:30" x14ac:dyDescent="0.3">
      <c r="AA4535" s="37">
        <v>4515</v>
      </c>
      <c r="AB4535" s="37">
        <v>1.6942412498697117</v>
      </c>
      <c r="AC4535" s="37">
        <v>2.6556268160437044</v>
      </c>
      <c r="AD4535" s="37">
        <v>3.1995848180322062</v>
      </c>
    </row>
    <row r="4536" spans="27:30" x14ac:dyDescent="0.3">
      <c r="AA4536" s="37">
        <v>4516</v>
      </c>
      <c r="AB4536" s="37">
        <v>1.7751912791019619</v>
      </c>
      <c r="AC4536" s="37">
        <v>2.8637761161875006</v>
      </c>
      <c r="AD4536" s="37">
        <v>3.2538569303777423</v>
      </c>
    </row>
    <row r="4537" spans="27:30" x14ac:dyDescent="0.3">
      <c r="AA4537" s="37">
        <v>4517</v>
      </c>
      <c r="AB4537" s="37">
        <v>1.7537838783776212</v>
      </c>
      <c r="AC4537" s="37">
        <v>2.8420355216015465</v>
      </c>
      <c r="AD4537" s="37">
        <v>3.3196164858046435</v>
      </c>
    </row>
    <row r="4538" spans="27:30" x14ac:dyDescent="0.3">
      <c r="AA4538" s="37">
        <v>4518</v>
      </c>
      <c r="AB4538" s="37">
        <v>1.8658175740809178</v>
      </c>
      <c r="AC4538" s="37">
        <v>2.853327015355879</v>
      </c>
      <c r="AD4538" s="37">
        <v>3.5767166292088231</v>
      </c>
    </row>
    <row r="4539" spans="27:30" x14ac:dyDescent="0.3">
      <c r="AA4539" s="37">
        <v>4519</v>
      </c>
      <c r="AB4539" s="37">
        <v>1.6816309416497925</v>
      </c>
      <c r="AC4539" s="37">
        <v>2.8649386569816278</v>
      </c>
      <c r="AD4539" s="37">
        <v>3.2401395084328062</v>
      </c>
    </row>
    <row r="4540" spans="27:30" x14ac:dyDescent="0.3">
      <c r="AA4540" s="37">
        <v>4520</v>
      </c>
      <c r="AB4540" s="37">
        <v>1.7742369390901294</v>
      </c>
      <c r="AC4540" s="37">
        <v>2.8691348492332942</v>
      </c>
      <c r="AD4540" s="37">
        <v>3.3607415398982687</v>
      </c>
    </row>
    <row r="4541" spans="27:30" x14ac:dyDescent="0.3">
      <c r="AA4541" s="37">
        <v>4521</v>
      </c>
      <c r="AB4541" s="37">
        <v>1.744466168505248</v>
      </c>
      <c r="AC4541" s="37">
        <v>2.8368477185168417</v>
      </c>
      <c r="AD4541" s="37">
        <v>3.4157643534494464</v>
      </c>
    </row>
    <row r="4542" spans="27:30" x14ac:dyDescent="0.3">
      <c r="AA4542" s="37">
        <v>4522</v>
      </c>
      <c r="AB4542" s="37">
        <v>1.6602033723274519</v>
      </c>
      <c r="AC4542" s="37">
        <v>2.863320894177269</v>
      </c>
      <c r="AD4542" s="37">
        <v>3.145159534546107</v>
      </c>
    </row>
    <row r="4543" spans="27:30" x14ac:dyDescent="0.3">
      <c r="AA4543" s="37">
        <v>4523</v>
      </c>
      <c r="AB4543" s="37">
        <v>1.7611148735241948</v>
      </c>
      <c r="AC4543" s="37">
        <v>2.7500572636573373</v>
      </c>
      <c r="AD4543" s="37">
        <v>3.3605646031935805</v>
      </c>
    </row>
    <row r="4544" spans="27:30" x14ac:dyDescent="0.3">
      <c r="AA4544" s="37">
        <v>4524</v>
      </c>
      <c r="AB4544" s="37">
        <v>1.7493387534017761</v>
      </c>
      <c r="AC4544" s="37">
        <v>2.698906538342551</v>
      </c>
      <c r="AD4544" s="37">
        <v>3.5626505770970236</v>
      </c>
    </row>
    <row r="4545" spans="27:30" x14ac:dyDescent="0.3">
      <c r="AA4545" s="37">
        <v>4525</v>
      </c>
      <c r="AB4545" s="37">
        <v>1.8655768686146337</v>
      </c>
      <c r="AC4545" s="37">
        <v>2.9339671584692124</v>
      </c>
      <c r="AD4545" s="37">
        <v>3.4627371265671361</v>
      </c>
    </row>
    <row r="4546" spans="27:30" x14ac:dyDescent="0.3">
      <c r="AA4546" s="37">
        <v>4526</v>
      </c>
      <c r="AB4546" s="37">
        <v>1.8689089023463918</v>
      </c>
      <c r="AC4546" s="37">
        <v>2.9676150566150739</v>
      </c>
      <c r="AD4546" s="37">
        <v>3.1932918569098128</v>
      </c>
    </row>
    <row r="4547" spans="27:30" x14ac:dyDescent="0.3">
      <c r="AA4547" s="37">
        <v>4527</v>
      </c>
      <c r="AB4547" s="37">
        <v>1.6545905927144049</v>
      </c>
      <c r="AC4547" s="37">
        <v>2.6693400719986777</v>
      </c>
      <c r="AD4547" s="37">
        <v>3.0914066516735446</v>
      </c>
    </row>
    <row r="4548" spans="27:30" x14ac:dyDescent="0.3">
      <c r="AA4548" s="37">
        <v>4528</v>
      </c>
      <c r="AB4548" s="37">
        <v>1.9112664950276339</v>
      </c>
      <c r="AC4548" s="37">
        <v>2.9112117739182053</v>
      </c>
      <c r="AD4548" s="37">
        <v>3.2064812227796842</v>
      </c>
    </row>
    <row r="4549" spans="27:30" x14ac:dyDescent="0.3">
      <c r="AA4549" s="37">
        <v>4529</v>
      </c>
      <c r="AB4549" s="37">
        <v>1.7390047161342954</v>
      </c>
      <c r="AC4549" s="37">
        <v>3.0104784607906732</v>
      </c>
      <c r="AD4549" s="37">
        <v>3.2862372347649043</v>
      </c>
    </row>
    <row r="4550" spans="27:30" x14ac:dyDescent="0.3">
      <c r="AA4550" s="37">
        <v>4530</v>
      </c>
      <c r="AB4550" s="37">
        <v>1.7716835076108484</v>
      </c>
      <c r="AC4550" s="37">
        <v>2.951089918996209</v>
      </c>
      <c r="AD4550" s="37">
        <v>3.2690957074147753</v>
      </c>
    </row>
    <row r="4551" spans="27:30" x14ac:dyDescent="0.3">
      <c r="AA4551" s="37">
        <v>4531</v>
      </c>
      <c r="AB4551" s="37">
        <v>1.7031157110957422</v>
      </c>
      <c r="AC4551" s="37">
        <v>2.6216713348324845</v>
      </c>
      <c r="AD4551" s="37">
        <v>3.2399848630443659</v>
      </c>
    </row>
    <row r="4552" spans="27:30" x14ac:dyDescent="0.3">
      <c r="AA4552" s="37">
        <v>4532</v>
      </c>
      <c r="AB4552" s="37">
        <v>1.8684583648173423</v>
      </c>
      <c r="AC4552" s="37">
        <v>2.9201591863321861</v>
      </c>
      <c r="AD4552" s="37">
        <v>3.3566194498153301</v>
      </c>
    </row>
    <row r="4553" spans="27:30" x14ac:dyDescent="0.3">
      <c r="AA4553" s="37">
        <v>4533</v>
      </c>
      <c r="AB4553" s="37">
        <v>1.8620395792205744</v>
      </c>
      <c r="AC4553" s="37">
        <v>2.9028179449733131</v>
      </c>
      <c r="AD4553" s="37">
        <v>3.1556423205958382</v>
      </c>
    </row>
    <row r="4554" spans="27:30" x14ac:dyDescent="0.3">
      <c r="AA4554" s="37">
        <v>4534</v>
      </c>
      <c r="AB4554" s="37">
        <v>1.7186815975821848</v>
      </c>
      <c r="AC4554" s="37">
        <v>2.9110630931280426</v>
      </c>
      <c r="AD4554" s="37">
        <v>3.4521271932349586</v>
      </c>
    </row>
    <row r="4555" spans="27:30" x14ac:dyDescent="0.3">
      <c r="AA4555" s="37">
        <v>4535</v>
      </c>
      <c r="AB4555" s="37">
        <v>1.8974611945921118</v>
      </c>
      <c r="AC4555" s="37">
        <v>2.7392253716381956</v>
      </c>
      <c r="AD4555" s="37">
        <v>3.2843532700057261</v>
      </c>
    </row>
    <row r="4556" spans="27:30" x14ac:dyDescent="0.3">
      <c r="AA4556" s="37">
        <v>4536</v>
      </c>
      <c r="AB4556" s="37">
        <v>1.7256181454701178</v>
      </c>
      <c r="AC4556" s="37">
        <v>2.9264218477725668</v>
      </c>
      <c r="AD4556" s="37">
        <v>3.2387528181250711</v>
      </c>
    </row>
    <row r="4557" spans="27:30" x14ac:dyDescent="0.3">
      <c r="AA4557" s="37">
        <v>4537</v>
      </c>
      <c r="AB4557" s="37">
        <v>1.7308374913704467</v>
      </c>
      <c r="AC4557" s="37">
        <v>2.9611136342777948</v>
      </c>
      <c r="AD4557" s="37">
        <v>3.3341089830284956</v>
      </c>
    </row>
    <row r="4558" spans="27:30" x14ac:dyDescent="0.3">
      <c r="AA4558" s="37">
        <v>4538</v>
      </c>
      <c r="AB4558" s="37">
        <v>1.7761243736775945</v>
      </c>
      <c r="AC4558" s="37">
        <v>2.8653990110958838</v>
      </c>
      <c r="AD4558" s="37">
        <v>3.339523496241251</v>
      </c>
    </row>
    <row r="4559" spans="27:30" x14ac:dyDescent="0.3">
      <c r="AA4559" s="37">
        <v>4539</v>
      </c>
      <c r="AB4559" s="37">
        <v>1.9414403197583379</v>
      </c>
      <c r="AC4559" s="37">
        <v>2.9439363322860981</v>
      </c>
      <c r="AD4559" s="37">
        <v>3.4890119112943059</v>
      </c>
    </row>
    <row r="4560" spans="27:30" x14ac:dyDescent="0.3">
      <c r="AA4560" s="37">
        <v>4540</v>
      </c>
      <c r="AB4560" s="37">
        <v>1.7161087503977148</v>
      </c>
      <c r="AC4560" s="37">
        <v>2.8926896504379753</v>
      </c>
      <c r="AD4560" s="37">
        <v>3.3405418721467743</v>
      </c>
    </row>
    <row r="4561" spans="27:30" x14ac:dyDescent="0.3">
      <c r="AA4561" s="37">
        <v>4541</v>
      </c>
      <c r="AB4561" s="37">
        <v>1.9007091544466339</v>
      </c>
      <c r="AC4561" s="37">
        <v>2.8703651403769963</v>
      </c>
      <c r="AD4561" s="37">
        <v>3.400568139926468</v>
      </c>
    </row>
    <row r="4562" spans="27:30" x14ac:dyDescent="0.3">
      <c r="AA4562" s="37">
        <v>4542</v>
      </c>
      <c r="AB4562" s="37">
        <v>1.789981257881152</v>
      </c>
      <c r="AC4562" s="37">
        <v>2.704129113669326</v>
      </c>
      <c r="AD4562" s="37">
        <v>3.224923255415046</v>
      </c>
    </row>
    <row r="4563" spans="27:30" x14ac:dyDescent="0.3">
      <c r="AA4563" s="37">
        <v>4543</v>
      </c>
      <c r="AB4563" s="37">
        <v>1.7400799716815809</v>
      </c>
      <c r="AC4563" s="37">
        <v>2.8316468923545943</v>
      </c>
      <c r="AD4563" s="37">
        <v>3.3661334229527844</v>
      </c>
    </row>
    <row r="4564" spans="27:30" x14ac:dyDescent="0.3">
      <c r="AA4564" s="37">
        <v>4544</v>
      </c>
      <c r="AB4564" s="37">
        <v>1.7944284991038648</v>
      </c>
      <c r="AC4564" s="37">
        <v>2.7787126395192074</v>
      </c>
      <c r="AD4564" s="37">
        <v>3.4942527452397538</v>
      </c>
    </row>
    <row r="4565" spans="27:30" x14ac:dyDescent="0.3">
      <c r="AA4565" s="37">
        <v>4545</v>
      </c>
      <c r="AB4565" s="37">
        <v>1.7420465719271403</v>
      </c>
      <c r="AC4565" s="37">
        <v>2.8743284231153008</v>
      </c>
      <c r="AD4565" s="37">
        <v>3.7260147721806769</v>
      </c>
    </row>
    <row r="4566" spans="27:30" x14ac:dyDescent="0.3">
      <c r="AA4566" s="37">
        <v>4546</v>
      </c>
      <c r="AB4566" s="37">
        <v>1.8209986402931513</v>
      </c>
      <c r="AC4566" s="37">
        <v>2.7801726475574156</v>
      </c>
      <c r="AD4566" s="37">
        <v>3.3276130316548902</v>
      </c>
    </row>
    <row r="4567" spans="27:30" x14ac:dyDescent="0.3">
      <c r="AA4567" s="37">
        <v>4547</v>
      </c>
      <c r="AB4567" s="37">
        <v>1.9518770174233968</v>
      </c>
      <c r="AC4567" s="37">
        <v>2.836671518658088</v>
      </c>
      <c r="AD4567" s="37">
        <v>3.4890961313610935</v>
      </c>
    </row>
    <row r="4568" spans="27:30" x14ac:dyDescent="0.3">
      <c r="AA4568" s="37">
        <v>4548</v>
      </c>
      <c r="AB4568" s="37">
        <v>1.8157690061999201</v>
      </c>
      <c r="AC4568" s="37">
        <v>2.8893412325102372</v>
      </c>
      <c r="AD4568" s="37">
        <v>3.2130449340067329</v>
      </c>
    </row>
    <row r="4569" spans="27:30" x14ac:dyDescent="0.3">
      <c r="AA4569" s="37">
        <v>4549</v>
      </c>
      <c r="AB4569" s="37">
        <v>1.6680905339865753</v>
      </c>
      <c r="AC4569" s="37">
        <v>2.9321914175352708</v>
      </c>
      <c r="AD4569" s="37">
        <v>3.4282736774717937</v>
      </c>
    </row>
    <row r="4570" spans="27:30" x14ac:dyDescent="0.3">
      <c r="AA4570" s="37">
        <v>4550</v>
      </c>
      <c r="AB4570" s="37">
        <v>1.8385425110313711</v>
      </c>
      <c r="AC4570" s="37">
        <v>2.7413920155328864</v>
      </c>
      <c r="AD4570" s="37">
        <v>3.2758083097364454</v>
      </c>
    </row>
    <row r="4571" spans="27:30" x14ac:dyDescent="0.3">
      <c r="AA4571" s="37">
        <v>4551</v>
      </c>
      <c r="AB4571" s="37">
        <v>1.9746113031592771</v>
      </c>
      <c r="AC4571" s="37">
        <v>2.6063161722653407</v>
      </c>
      <c r="AD4571" s="37">
        <v>3.421422974334527</v>
      </c>
    </row>
    <row r="4572" spans="27:30" x14ac:dyDescent="0.3">
      <c r="AA4572" s="37">
        <v>4552</v>
      </c>
      <c r="AB4572" s="37">
        <v>1.8439740824245092</v>
      </c>
      <c r="AC4572" s="37">
        <v>2.8615874485596593</v>
      </c>
      <c r="AD4572" s="37">
        <v>3.3132191477588155</v>
      </c>
    </row>
    <row r="4573" spans="27:30" x14ac:dyDescent="0.3">
      <c r="AA4573" s="37">
        <v>4553</v>
      </c>
      <c r="AB4573" s="37">
        <v>1.6571558963512107</v>
      </c>
      <c r="AC4573" s="37">
        <v>3.019141209583716</v>
      </c>
      <c r="AD4573" s="37">
        <v>3.3701953806989216</v>
      </c>
    </row>
    <row r="4574" spans="27:30" x14ac:dyDescent="0.3">
      <c r="AA4574" s="37">
        <v>4554</v>
      </c>
      <c r="AB4574" s="37">
        <v>1.8743903106017819</v>
      </c>
      <c r="AC4574" s="37">
        <v>2.9460686698681138</v>
      </c>
      <c r="AD4574" s="37">
        <v>3.3701953582509496</v>
      </c>
    </row>
    <row r="4575" spans="27:30" x14ac:dyDescent="0.3">
      <c r="AA4575" s="37">
        <v>4555</v>
      </c>
      <c r="AB4575" s="37">
        <v>1.8611618470582456</v>
      </c>
      <c r="AC4575" s="37">
        <v>2.831269367459579</v>
      </c>
      <c r="AD4575" s="37">
        <v>3.4066523950691869</v>
      </c>
    </row>
    <row r="4576" spans="27:30" x14ac:dyDescent="0.3">
      <c r="AA4576" s="37">
        <v>4556</v>
      </c>
      <c r="AB4576" s="37">
        <v>1.8328625060743615</v>
      </c>
      <c r="AC4576" s="37">
        <v>2.8330132034483135</v>
      </c>
      <c r="AD4576" s="37">
        <v>3.2652144330262103</v>
      </c>
    </row>
    <row r="4577" spans="27:30" x14ac:dyDescent="0.3">
      <c r="AA4577" s="37">
        <v>4557</v>
      </c>
      <c r="AB4577" s="37">
        <v>1.70897922227138</v>
      </c>
      <c r="AC4577" s="37">
        <v>2.8735116178302591</v>
      </c>
      <c r="AD4577" s="37">
        <v>3.4524724229624173</v>
      </c>
    </row>
    <row r="4578" spans="27:30" x14ac:dyDescent="0.3">
      <c r="AA4578" s="37">
        <v>4558</v>
      </c>
      <c r="AB4578" s="37">
        <v>1.8041564281280769</v>
      </c>
      <c r="AC4578" s="37">
        <v>2.9362739341377999</v>
      </c>
      <c r="AD4578" s="37">
        <v>3.5154163996300039</v>
      </c>
    </row>
    <row r="4579" spans="27:30" x14ac:dyDescent="0.3">
      <c r="AA4579" s="37">
        <v>4559</v>
      </c>
      <c r="AB4579" s="37">
        <v>1.6783184173055279</v>
      </c>
      <c r="AC4579" s="37">
        <v>2.5696096603720946</v>
      </c>
      <c r="AD4579" s="37">
        <v>3.3425447889721198</v>
      </c>
    </row>
    <row r="4580" spans="27:30" x14ac:dyDescent="0.3">
      <c r="AA4580" s="37">
        <v>4560</v>
      </c>
      <c r="AB4580" s="37">
        <v>1.7389152698180101</v>
      </c>
      <c r="AC4580" s="37">
        <v>2.8883459908051847</v>
      </c>
      <c r="AD4580" s="37">
        <v>3.4530166196189751</v>
      </c>
    </row>
    <row r="4581" spans="27:30" x14ac:dyDescent="0.3">
      <c r="AA4581" s="37">
        <v>4561</v>
      </c>
      <c r="AB4581" s="37">
        <v>1.7763556242668441</v>
      </c>
      <c r="AC4581" s="37">
        <v>2.5762302514312121</v>
      </c>
      <c r="AD4581" s="37">
        <v>3.1803034215224919</v>
      </c>
    </row>
    <row r="4582" spans="27:30" x14ac:dyDescent="0.3">
      <c r="AA4582" s="37">
        <v>4562</v>
      </c>
      <c r="AB4582" s="37">
        <v>1.8452422132501749</v>
      </c>
      <c r="AC4582" s="37">
        <v>2.8917486753492736</v>
      </c>
      <c r="AD4582" s="37">
        <v>3.3342294262670618</v>
      </c>
    </row>
    <row r="4583" spans="27:30" x14ac:dyDescent="0.3">
      <c r="AA4583" s="37">
        <v>4563</v>
      </c>
      <c r="AB4583" s="37">
        <v>1.7971728679747783</v>
      </c>
      <c r="AC4583" s="37">
        <v>2.7865897222849538</v>
      </c>
      <c r="AD4583" s="37">
        <v>3.5029130447772263</v>
      </c>
    </row>
    <row r="4584" spans="27:30" x14ac:dyDescent="0.3">
      <c r="AA4584" s="37">
        <v>4564</v>
      </c>
      <c r="AB4584" s="37">
        <v>1.7064946024178091</v>
      </c>
      <c r="AC4584" s="37">
        <v>2.8147030407326947</v>
      </c>
      <c r="AD4584" s="37">
        <v>3.4339764507097637</v>
      </c>
    </row>
    <row r="4585" spans="27:30" x14ac:dyDescent="0.3">
      <c r="AA4585" s="37">
        <v>4565</v>
      </c>
      <c r="AB4585" s="37">
        <v>1.8604224097284838</v>
      </c>
      <c r="AC4585" s="37">
        <v>2.9444913939605049</v>
      </c>
      <c r="AD4585" s="37">
        <v>3.1042504220859364</v>
      </c>
    </row>
    <row r="4586" spans="27:30" x14ac:dyDescent="0.3">
      <c r="AA4586" s="37">
        <v>4566</v>
      </c>
      <c r="AB4586" s="37">
        <v>1.7561635943847749</v>
      </c>
      <c r="AC4586" s="37">
        <v>2.8452725729392436</v>
      </c>
      <c r="AD4586" s="37">
        <v>3.3392273084900728</v>
      </c>
    </row>
    <row r="4587" spans="27:30" x14ac:dyDescent="0.3">
      <c r="AA4587" s="37">
        <v>4567</v>
      </c>
      <c r="AB4587" s="37">
        <v>1.6405565974951699</v>
      </c>
      <c r="AC4587" s="37">
        <v>2.8485246968949154</v>
      </c>
      <c r="AD4587" s="37">
        <v>3.3490130810158392</v>
      </c>
    </row>
    <row r="4588" spans="27:30" x14ac:dyDescent="0.3">
      <c r="AA4588" s="37">
        <v>4568</v>
      </c>
      <c r="AB4588" s="37">
        <v>1.7310652539164557</v>
      </c>
      <c r="AC4588" s="37">
        <v>3.0286041006788551</v>
      </c>
      <c r="AD4588" s="37">
        <v>3.4458414875546297</v>
      </c>
    </row>
    <row r="4589" spans="27:30" x14ac:dyDescent="0.3">
      <c r="AA4589" s="37">
        <v>4569</v>
      </c>
      <c r="AB4589" s="37">
        <v>1.8088818873724832</v>
      </c>
      <c r="AC4589" s="37">
        <v>2.6889742915879609</v>
      </c>
      <c r="AD4589" s="37">
        <v>3.2732064620006618</v>
      </c>
    </row>
    <row r="4590" spans="27:30" x14ac:dyDescent="0.3">
      <c r="AA4590" s="37">
        <v>4570</v>
      </c>
      <c r="AB4590" s="37">
        <v>1.7045877792434536</v>
      </c>
      <c r="AC4590" s="37">
        <v>2.8921119944370099</v>
      </c>
      <c r="AD4590" s="37">
        <v>3.6654065618156739</v>
      </c>
    </row>
    <row r="4591" spans="27:30" x14ac:dyDescent="0.3">
      <c r="AA4591" s="37">
        <v>4571</v>
      </c>
      <c r="AB4591" s="37">
        <v>1.779902117604701</v>
      </c>
      <c r="AC4591" s="37">
        <v>2.7909931511079975</v>
      </c>
      <c r="AD4591" s="37">
        <v>3.36762390393968</v>
      </c>
    </row>
    <row r="4592" spans="27:30" x14ac:dyDescent="0.3">
      <c r="AA4592" s="37">
        <v>4572</v>
      </c>
      <c r="AB4592" s="37">
        <v>1.7184334707432007</v>
      </c>
      <c r="AC4592" s="37">
        <v>2.9476333141820676</v>
      </c>
      <c r="AD4592" s="37">
        <v>3.3586787871282162</v>
      </c>
    </row>
    <row r="4593" spans="27:30" x14ac:dyDescent="0.3">
      <c r="AA4593" s="37">
        <v>4573</v>
      </c>
      <c r="AB4593" s="37">
        <v>1.7553892601408996</v>
      </c>
      <c r="AC4593" s="37">
        <v>2.9810185530483859</v>
      </c>
      <c r="AD4593" s="37">
        <v>3.3678756532955916</v>
      </c>
    </row>
    <row r="4594" spans="27:30" x14ac:dyDescent="0.3">
      <c r="AA4594" s="37">
        <v>4574</v>
      </c>
      <c r="AB4594" s="37">
        <v>1.7926156892074507</v>
      </c>
      <c r="AC4594" s="37">
        <v>2.9617081460953956</v>
      </c>
      <c r="AD4594" s="37">
        <v>3.3289512405873034</v>
      </c>
    </row>
    <row r="4595" spans="27:30" x14ac:dyDescent="0.3">
      <c r="AA4595" s="37">
        <v>4575</v>
      </c>
      <c r="AB4595" s="37">
        <v>1.9146072267329513</v>
      </c>
      <c r="AC4595" s="37">
        <v>2.8962710892337817</v>
      </c>
      <c r="AD4595" s="37">
        <v>3.4959767136465074</v>
      </c>
    </row>
    <row r="4596" spans="27:30" x14ac:dyDescent="0.3">
      <c r="AA4596" s="37">
        <v>4576</v>
      </c>
      <c r="AB4596" s="37">
        <v>1.7744635015188037</v>
      </c>
      <c r="AC4596" s="37">
        <v>2.8438430008714244</v>
      </c>
      <c r="AD4596" s="37">
        <v>3.6773410754406362</v>
      </c>
    </row>
    <row r="4597" spans="27:30" x14ac:dyDescent="0.3">
      <c r="AA4597" s="37">
        <v>4577</v>
      </c>
      <c r="AB4597" s="37">
        <v>1.619320808759563</v>
      </c>
      <c r="AC4597" s="37">
        <v>2.8037244272620452</v>
      </c>
      <c r="AD4597" s="37">
        <v>3.4366012630578671</v>
      </c>
    </row>
    <row r="4598" spans="27:30" x14ac:dyDescent="0.3">
      <c r="AA4598" s="37">
        <v>4578</v>
      </c>
      <c r="AB4598" s="37">
        <v>1.9045759360127412</v>
      </c>
      <c r="AC4598" s="37">
        <v>2.8599350939334256</v>
      </c>
      <c r="AD4598" s="37">
        <v>3.2300523012428104</v>
      </c>
    </row>
    <row r="4599" spans="27:30" x14ac:dyDescent="0.3">
      <c r="AA4599" s="37">
        <v>4579</v>
      </c>
      <c r="AB4599" s="37">
        <v>1.6909267343658101</v>
      </c>
      <c r="AC4599" s="37">
        <v>2.8700488190735283</v>
      </c>
      <c r="AD4599" s="37">
        <v>3.3997319327669944</v>
      </c>
    </row>
    <row r="4600" spans="27:30" x14ac:dyDescent="0.3">
      <c r="AA4600" s="37">
        <v>4580</v>
      </c>
      <c r="AB4600" s="37">
        <v>1.616752985861506</v>
      </c>
      <c r="AC4600" s="37">
        <v>2.8540464338523672</v>
      </c>
      <c r="AD4600" s="37">
        <v>3.2011643407386798</v>
      </c>
    </row>
    <row r="4601" spans="27:30" x14ac:dyDescent="0.3">
      <c r="AA4601" s="37">
        <v>4581</v>
      </c>
      <c r="AB4601" s="37">
        <v>1.7112114518152186</v>
      </c>
      <c r="AC4601" s="37">
        <v>2.7597770060695899</v>
      </c>
      <c r="AD4601" s="37">
        <v>3.3116860815307749</v>
      </c>
    </row>
    <row r="4602" spans="27:30" x14ac:dyDescent="0.3">
      <c r="AA4602" s="37">
        <v>4582</v>
      </c>
      <c r="AB4602" s="37">
        <v>1.8506602068654066</v>
      </c>
      <c r="AC4602" s="37">
        <v>2.7368881220982022</v>
      </c>
      <c r="AD4602" s="37">
        <v>3.4435416526725309</v>
      </c>
    </row>
    <row r="4603" spans="27:30" x14ac:dyDescent="0.3">
      <c r="AA4603" s="37">
        <v>4583</v>
      </c>
      <c r="AB4603" s="37">
        <v>1.9179204841809914</v>
      </c>
      <c r="AC4603" s="37">
        <v>2.7718228507632845</v>
      </c>
      <c r="AD4603" s="37">
        <v>3.2414222194080096</v>
      </c>
    </row>
    <row r="4604" spans="27:30" x14ac:dyDescent="0.3">
      <c r="AA4604" s="37">
        <v>4584</v>
      </c>
      <c r="AB4604" s="37">
        <v>1.799799214563822</v>
      </c>
      <c r="AC4604" s="37">
        <v>3.0395333935902156</v>
      </c>
      <c r="AD4604" s="37">
        <v>3.3970304360745951</v>
      </c>
    </row>
    <row r="4605" spans="27:30" x14ac:dyDescent="0.3">
      <c r="AA4605" s="37">
        <v>4585</v>
      </c>
      <c r="AB4605" s="37">
        <v>1.8094470599956938</v>
      </c>
      <c r="AC4605" s="37">
        <v>2.8506004438392814</v>
      </c>
      <c r="AD4605" s="37">
        <v>3.5043563929852954</v>
      </c>
    </row>
    <row r="4606" spans="27:30" x14ac:dyDescent="0.3">
      <c r="AA4606" s="37">
        <v>4586</v>
      </c>
      <c r="AB4606" s="37">
        <v>1.7592780929879426</v>
      </c>
      <c r="AC4606" s="37">
        <v>2.7300501616690602</v>
      </c>
      <c r="AD4606" s="37">
        <v>3.3864675152732064</v>
      </c>
    </row>
    <row r="4607" spans="27:30" x14ac:dyDescent="0.3">
      <c r="AA4607" s="37">
        <v>4587</v>
      </c>
      <c r="AB4607" s="37">
        <v>1.9002885225405683</v>
      </c>
      <c r="AC4607" s="37">
        <v>2.7990848381826798</v>
      </c>
      <c r="AD4607" s="37">
        <v>3.290270320564272</v>
      </c>
    </row>
    <row r="4608" spans="27:30" x14ac:dyDescent="0.3">
      <c r="AA4608" s="37">
        <v>4588</v>
      </c>
      <c r="AB4608" s="37">
        <v>1.8019154204621901</v>
      </c>
      <c r="AC4608" s="37">
        <v>2.8623596571215253</v>
      </c>
      <c r="AD4608" s="37">
        <v>3.237648162324088</v>
      </c>
    </row>
    <row r="4609" spans="27:30" x14ac:dyDescent="0.3">
      <c r="AA4609" s="37">
        <v>4589</v>
      </c>
      <c r="AB4609" s="37">
        <v>1.7067426430281747</v>
      </c>
      <c r="AC4609" s="37">
        <v>2.8599386750127351</v>
      </c>
      <c r="AD4609" s="37">
        <v>3.4251761771747171</v>
      </c>
    </row>
    <row r="4610" spans="27:30" x14ac:dyDescent="0.3">
      <c r="AA4610" s="37">
        <v>4590</v>
      </c>
      <c r="AB4610" s="37">
        <v>1.8074052086453132</v>
      </c>
      <c r="AC4610" s="37">
        <v>2.7302823965465066</v>
      </c>
      <c r="AD4610" s="37">
        <v>3.3862618616107567</v>
      </c>
    </row>
    <row r="4611" spans="27:30" x14ac:dyDescent="0.3">
      <c r="AA4611" s="37">
        <v>4591</v>
      </c>
      <c r="AB4611" s="37">
        <v>1.7907790773445629</v>
      </c>
      <c r="AC4611" s="37">
        <v>2.8584616854156124</v>
      </c>
      <c r="AD4611" s="37">
        <v>3.3278992120287825</v>
      </c>
    </row>
    <row r="4612" spans="27:30" x14ac:dyDescent="0.3">
      <c r="AA4612" s="37">
        <v>4592</v>
      </c>
      <c r="AB4612" s="37">
        <v>1.8671515966319954</v>
      </c>
      <c r="AC4612" s="37">
        <v>2.9524593342350722</v>
      </c>
      <c r="AD4612" s="37">
        <v>3.4100521566525006</v>
      </c>
    </row>
    <row r="4613" spans="27:30" x14ac:dyDescent="0.3">
      <c r="AA4613" s="37">
        <v>4593</v>
      </c>
      <c r="AB4613" s="37">
        <v>1.7132612288876976</v>
      </c>
      <c r="AC4613" s="37">
        <v>2.9109110477812092</v>
      </c>
      <c r="AD4613" s="37">
        <v>3.3480705688341295</v>
      </c>
    </row>
    <row r="4614" spans="27:30" x14ac:dyDescent="0.3">
      <c r="AA4614" s="37">
        <v>4594</v>
      </c>
      <c r="AB4614" s="37">
        <v>1.8178411203372553</v>
      </c>
      <c r="AC4614" s="37">
        <v>2.8609147604631247</v>
      </c>
      <c r="AD4614" s="37">
        <v>3.3614354011169394</v>
      </c>
    </row>
    <row r="4615" spans="27:30" x14ac:dyDescent="0.3">
      <c r="AA4615" s="37">
        <v>4595</v>
      </c>
      <c r="AB4615" s="37">
        <v>1.8154008491558933</v>
      </c>
      <c r="AC4615" s="37">
        <v>3.0017324065007438</v>
      </c>
      <c r="AD4615" s="37">
        <v>3.4339742811149825</v>
      </c>
    </row>
    <row r="4616" spans="27:30" x14ac:dyDescent="0.3">
      <c r="AA4616" s="37">
        <v>4596</v>
      </c>
      <c r="AB4616" s="37">
        <v>1.7469432068423831</v>
      </c>
      <c r="AC4616" s="37">
        <v>2.8102982886613077</v>
      </c>
      <c r="AD4616" s="37">
        <v>3.5532098954887856</v>
      </c>
    </row>
    <row r="4617" spans="27:30" x14ac:dyDescent="0.3">
      <c r="AA4617" s="37">
        <v>4597</v>
      </c>
      <c r="AB4617" s="37">
        <v>1.8649497924353482</v>
      </c>
      <c r="AC4617" s="37">
        <v>2.9626318625316084</v>
      </c>
      <c r="AD4617" s="37">
        <v>3.3729395614966227</v>
      </c>
    </row>
    <row r="4618" spans="27:30" x14ac:dyDescent="0.3">
      <c r="AA4618" s="37">
        <v>4598</v>
      </c>
      <c r="AB4618" s="37">
        <v>1.8590879120625372</v>
      </c>
      <c r="AC4618" s="37">
        <v>2.944126044310758</v>
      </c>
      <c r="AD4618" s="37">
        <v>3.4230258592543055</v>
      </c>
    </row>
    <row r="4619" spans="27:30" x14ac:dyDescent="0.3">
      <c r="AA4619" s="37">
        <v>4599</v>
      </c>
      <c r="AB4619" s="37">
        <v>1.760886912803596</v>
      </c>
      <c r="AC4619" s="37">
        <v>2.7221430263701971</v>
      </c>
      <c r="AD4619" s="37">
        <v>3.2727915567906298</v>
      </c>
    </row>
    <row r="4620" spans="27:30" x14ac:dyDescent="0.3">
      <c r="AA4620" s="37">
        <v>4600</v>
      </c>
      <c r="AB4620" s="37">
        <v>1.7414147726015863</v>
      </c>
      <c r="AC4620" s="37">
        <v>2.9458603814791102</v>
      </c>
      <c r="AD4620" s="37">
        <v>3.3830200031270952</v>
      </c>
    </row>
    <row r="4621" spans="27:30" x14ac:dyDescent="0.3">
      <c r="AA4621" s="37">
        <v>4601</v>
      </c>
      <c r="AB4621" s="37">
        <v>1.788329194145698</v>
      </c>
      <c r="AC4621" s="37">
        <v>3.0152355709379419</v>
      </c>
      <c r="AD4621" s="37">
        <v>3.2180225458954261</v>
      </c>
    </row>
    <row r="4622" spans="27:30" x14ac:dyDescent="0.3">
      <c r="AA4622" s="37">
        <v>4602</v>
      </c>
      <c r="AB4622" s="37">
        <v>1.7771815675405278</v>
      </c>
      <c r="AC4622" s="37">
        <v>2.9069551235285429</v>
      </c>
      <c r="AD4622" s="37">
        <v>3.1517319062152773</v>
      </c>
    </row>
    <row r="4623" spans="27:30" x14ac:dyDescent="0.3">
      <c r="AA4623" s="37">
        <v>4603</v>
      </c>
      <c r="AB4623" s="37">
        <v>1.7950623005255095</v>
      </c>
      <c r="AC4623" s="37">
        <v>2.814797418464476</v>
      </c>
      <c r="AD4623" s="37">
        <v>3.5444768544786607</v>
      </c>
    </row>
    <row r="4624" spans="27:30" x14ac:dyDescent="0.3">
      <c r="AA4624" s="37">
        <v>4604</v>
      </c>
      <c r="AB4624" s="37">
        <v>1.8189364323952588</v>
      </c>
      <c r="AC4624" s="37">
        <v>2.9061400006616296</v>
      </c>
      <c r="AD4624" s="37">
        <v>3.4040157578870409</v>
      </c>
    </row>
    <row r="4625" spans="27:30" x14ac:dyDescent="0.3">
      <c r="AA4625" s="37">
        <v>4605</v>
      </c>
      <c r="AB4625" s="37">
        <v>1.8785498987749556</v>
      </c>
      <c r="AC4625" s="37">
        <v>2.894933902041005</v>
      </c>
      <c r="AD4625" s="37">
        <v>3.0931641198027235</v>
      </c>
    </row>
    <row r="4626" spans="27:30" x14ac:dyDescent="0.3">
      <c r="AA4626" s="37">
        <v>4606</v>
      </c>
      <c r="AB4626" s="37">
        <v>1.9425663611555768</v>
      </c>
      <c r="AC4626" s="37">
        <v>2.9240859626146345</v>
      </c>
      <c r="AD4626" s="37">
        <v>3.3951093489648967</v>
      </c>
    </row>
    <row r="4627" spans="27:30" x14ac:dyDescent="0.3">
      <c r="AA4627" s="37">
        <v>4607</v>
      </c>
      <c r="AB4627" s="37">
        <v>1.8222265286091712</v>
      </c>
      <c r="AC4627" s="37">
        <v>2.7760621446318154</v>
      </c>
      <c r="AD4627" s="37">
        <v>3.4548737312695761</v>
      </c>
    </row>
    <row r="4628" spans="27:30" x14ac:dyDescent="0.3">
      <c r="AA4628" s="37">
        <v>4608</v>
      </c>
      <c r="AB4628" s="37">
        <v>1.8305214429797343</v>
      </c>
      <c r="AC4628" s="37">
        <v>2.9029507174524567</v>
      </c>
      <c r="AD4628" s="37">
        <v>3.373284358221309</v>
      </c>
    </row>
    <row r="4629" spans="27:30" x14ac:dyDescent="0.3">
      <c r="AA4629" s="37">
        <v>4609</v>
      </c>
      <c r="AB4629" s="37">
        <v>1.6317973698500488</v>
      </c>
      <c r="AC4629" s="37">
        <v>2.809684593788853</v>
      </c>
      <c r="AD4629" s="37">
        <v>3.274789976514787</v>
      </c>
    </row>
    <row r="4630" spans="27:30" x14ac:dyDescent="0.3">
      <c r="AA4630" s="37">
        <v>4610</v>
      </c>
      <c r="AB4630" s="37">
        <v>1.6935600399404229</v>
      </c>
      <c r="AC4630" s="37">
        <v>2.7741067181511294</v>
      </c>
      <c r="AD4630" s="37">
        <v>3.2745860896444805</v>
      </c>
    </row>
    <row r="4631" spans="27:30" x14ac:dyDescent="0.3">
      <c r="AA4631" s="37">
        <v>4611</v>
      </c>
      <c r="AB4631" s="37">
        <v>1.8699770020421522</v>
      </c>
      <c r="AC4631" s="37">
        <v>2.9268642388139279</v>
      </c>
      <c r="AD4631" s="37">
        <v>3.1808767570195595</v>
      </c>
    </row>
    <row r="4632" spans="27:30" x14ac:dyDescent="0.3">
      <c r="AA4632" s="37">
        <v>4612</v>
      </c>
      <c r="AB4632" s="37">
        <v>1.790057375527552</v>
      </c>
      <c r="AC4632" s="37">
        <v>2.9877684872121542</v>
      </c>
      <c r="AD4632" s="37">
        <v>3.5574729903191349</v>
      </c>
    </row>
    <row r="4633" spans="27:30" x14ac:dyDescent="0.3">
      <c r="AA4633" s="37">
        <v>4613</v>
      </c>
      <c r="AB4633" s="37">
        <v>1.840055704543101</v>
      </c>
      <c r="AC4633" s="37">
        <v>2.7550761441591995</v>
      </c>
      <c r="AD4633" s="37">
        <v>3.4343382252607015</v>
      </c>
    </row>
    <row r="4634" spans="27:30" x14ac:dyDescent="0.3">
      <c r="AA4634" s="37">
        <v>4614</v>
      </c>
      <c r="AB4634" s="37">
        <v>1.7581227920800935</v>
      </c>
      <c r="AC4634" s="37">
        <v>2.9992582399538033</v>
      </c>
      <c r="AD4634" s="37">
        <v>3.1661559248993147</v>
      </c>
    </row>
    <row r="4635" spans="27:30" x14ac:dyDescent="0.3">
      <c r="AA4635" s="37">
        <v>4615</v>
      </c>
      <c r="AB4635" s="37">
        <v>1.7754654024204461</v>
      </c>
      <c r="AC4635" s="37">
        <v>3.0129621252429835</v>
      </c>
      <c r="AD4635" s="37">
        <v>3.4085433367644113</v>
      </c>
    </row>
    <row r="4636" spans="27:30" x14ac:dyDescent="0.3">
      <c r="AA4636" s="37">
        <v>4616</v>
      </c>
      <c r="AB4636" s="37">
        <v>1.7467260556001092</v>
      </c>
      <c r="AC4636" s="37">
        <v>2.9704773054576448</v>
      </c>
      <c r="AD4636" s="37">
        <v>3.5362683921716576</v>
      </c>
    </row>
    <row r="4637" spans="27:30" x14ac:dyDescent="0.3">
      <c r="AA4637" s="37">
        <v>4617</v>
      </c>
      <c r="AB4637" s="37">
        <v>1.8303923899980918</v>
      </c>
      <c r="AC4637" s="37">
        <v>2.8750584781408586</v>
      </c>
      <c r="AD4637" s="37">
        <v>3.3654846213729699</v>
      </c>
    </row>
    <row r="4638" spans="27:30" x14ac:dyDescent="0.3">
      <c r="AA4638" s="37">
        <v>4618</v>
      </c>
      <c r="AB4638" s="37">
        <v>1.7380895055813865</v>
      </c>
      <c r="AC4638" s="37">
        <v>2.9146450525978964</v>
      </c>
      <c r="AD4638" s="37">
        <v>3.3444344434663682</v>
      </c>
    </row>
    <row r="4639" spans="27:30" x14ac:dyDescent="0.3">
      <c r="AA4639" s="37">
        <v>4619</v>
      </c>
      <c r="AB4639" s="37">
        <v>1.7436206482997498</v>
      </c>
      <c r="AC4639" s="37">
        <v>2.8827435851683885</v>
      </c>
      <c r="AD4639" s="37">
        <v>3.4465975099866104</v>
      </c>
    </row>
    <row r="4640" spans="27:30" x14ac:dyDescent="0.3">
      <c r="AA4640" s="37">
        <v>4620</v>
      </c>
      <c r="AB4640" s="37">
        <v>1.7844342983949701</v>
      </c>
      <c r="AC4640" s="37">
        <v>2.7260496166582819</v>
      </c>
      <c r="AD4640" s="37">
        <v>3.3352143171134525</v>
      </c>
    </row>
    <row r="4641" spans="27:30" x14ac:dyDescent="0.3">
      <c r="AA4641" s="37">
        <v>4621</v>
      </c>
      <c r="AB4641" s="37">
        <v>1.8032976170760076</v>
      </c>
      <c r="AC4641" s="37">
        <v>2.8847306355142432</v>
      </c>
      <c r="AD4641" s="37">
        <v>3.2445537924818053</v>
      </c>
    </row>
    <row r="4642" spans="27:30" x14ac:dyDescent="0.3">
      <c r="AA4642" s="37">
        <v>4622</v>
      </c>
      <c r="AB4642" s="37">
        <v>1.8304957127464729</v>
      </c>
      <c r="AC4642" s="37">
        <v>2.8822002999624017</v>
      </c>
      <c r="AD4642" s="37">
        <v>3.3560531878774622</v>
      </c>
    </row>
    <row r="4643" spans="27:30" x14ac:dyDescent="0.3">
      <c r="AA4643" s="37">
        <v>4623</v>
      </c>
      <c r="AB4643" s="37">
        <v>1.8007334130220203</v>
      </c>
      <c r="AC4643" s="37">
        <v>2.8127423792928901</v>
      </c>
      <c r="AD4643" s="37">
        <v>3.3871610836299779</v>
      </c>
    </row>
    <row r="4644" spans="27:30" x14ac:dyDescent="0.3">
      <c r="AA4644" s="37">
        <v>4624</v>
      </c>
      <c r="AB4644" s="37">
        <v>1.7443077449324866</v>
      </c>
      <c r="AC4644" s="37">
        <v>2.7525763113479598</v>
      </c>
      <c r="AD4644" s="37">
        <v>3.3278256482299446</v>
      </c>
    </row>
    <row r="4645" spans="27:30" x14ac:dyDescent="0.3">
      <c r="AA4645" s="37">
        <v>4625</v>
      </c>
      <c r="AB4645" s="37">
        <v>1.9271577019825261</v>
      </c>
      <c r="AC4645" s="37">
        <v>2.9248976013887527</v>
      </c>
      <c r="AD4645" s="37">
        <v>3.405215765400722</v>
      </c>
    </row>
    <row r="4646" spans="27:30" x14ac:dyDescent="0.3">
      <c r="AA4646" s="37">
        <v>4626</v>
      </c>
      <c r="AB4646" s="37">
        <v>1.7621701352940808</v>
      </c>
      <c r="AC4646" s="37">
        <v>2.7684297085394185</v>
      </c>
      <c r="AD4646" s="37">
        <v>3.2422500275781059</v>
      </c>
    </row>
    <row r="4647" spans="27:30" x14ac:dyDescent="0.3">
      <c r="AA4647" s="37">
        <v>4627</v>
      </c>
      <c r="AB4647" s="37">
        <v>1.7816815335471534</v>
      </c>
      <c r="AC4647" s="37">
        <v>2.9058668357704844</v>
      </c>
      <c r="AD4647" s="37">
        <v>3.3249917661210793</v>
      </c>
    </row>
    <row r="4648" spans="27:30" x14ac:dyDescent="0.3">
      <c r="AA4648" s="37">
        <v>4628</v>
      </c>
      <c r="AB4648" s="37">
        <v>1.7407888896123362</v>
      </c>
      <c r="AC4648" s="37">
        <v>2.8311147724829508</v>
      </c>
      <c r="AD4648" s="37">
        <v>3.4123796959314268</v>
      </c>
    </row>
    <row r="4649" spans="27:30" x14ac:dyDescent="0.3">
      <c r="AA4649" s="37">
        <v>4629</v>
      </c>
      <c r="AB4649" s="37">
        <v>1.853961207052031</v>
      </c>
      <c r="AC4649" s="37">
        <v>2.859323690199437</v>
      </c>
      <c r="AD4649" s="37">
        <v>3.1540242105088137</v>
      </c>
    </row>
    <row r="4650" spans="27:30" x14ac:dyDescent="0.3">
      <c r="AA4650" s="37">
        <v>4630</v>
      </c>
      <c r="AB4650" s="37">
        <v>1.8128143665238794</v>
      </c>
      <c r="AC4650" s="37">
        <v>2.9887242917703931</v>
      </c>
      <c r="AD4650" s="37">
        <v>3.1399515070104562</v>
      </c>
    </row>
    <row r="4651" spans="27:30" x14ac:dyDescent="0.3">
      <c r="AA4651" s="37">
        <v>4631</v>
      </c>
      <c r="AB4651" s="37">
        <v>1.8086813879640871</v>
      </c>
      <c r="AC4651" s="37">
        <v>2.6774168343052249</v>
      </c>
      <c r="AD4651" s="37">
        <v>3.3615275766321595</v>
      </c>
    </row>
    <row r="4652" spans="27:30" x14ac:dyDescent="0.3">
      <c r="AA4652" s="37">
        <v>4632</v>
      </c>
      <c r="AB4652" s="37">
        <v>1.7623843010029616</v>
      </c>
      <c r="AC4652" s="37">
        <v>2.7600385075945932</v>
      </c>
      <c r="AD4652" s="37">
        <v>3.1614735846200763</v>
      </c>
    </row>
    <row r="4653" spans="27:30" x14ac:dyDescent="0.3">
      <c r="AA4653" s="37">
        <v>4633</v>
      </c>
      <c r="AB4653" s="37">
        <v>1.8075274442102487</v>
      </c>
      <c r="AC4653" s="37">
        <v>2.8839466912166798</v>
      </c>
      <c r="AD4653" s="37">
        <v>3.2907418926423837</v>
      </c>
    </row>
    <row r="4654" spans="27:30" x14ac:dyDescent="0.3">
      <c r="AA4654" s="37">
        <v>4634</v>
      </c>
      <c r="AB4654" s="37">
        <v>1.7807654520024374</v>
      </c>
      <c r="AC4654" s="37">
        <v>2.7772864598094937</v>
      </c>
      <c r="AD4654" s="37">
        <v>3.5625173026698844</v>
      </c>
    </row>
    <row r="4655" spans="27:30" x14ac:dyDescent="0.3">
      <c r="AA4655" s="37">
        <v>4635</v>
      </c>
      <c r="AB4655" s="37">
        <v>1.8669039091084974</v>
      </c>
      <c r="AC4655" s="37">
        <v>2.9820179092422507</v>
      </c>
      <c r="AD4655" s="37">
        <v>3.4118651092175587</v>
      </c>
    </row>
    <row r="4656" spans="27:30" x14ac:dyDescent="0.3">
      <c r="AA4656" s="37">
        <v>4636</v>
      </c>
      <c r="AB4656" s="37">
        <v>1.7714353043309974</v>
      </c>
      <c r="AC4656" s="37">
        <v>3.0175278866359507</v>
      </c>
      <c r="AD4656" s="37">
        <v>3.1974590436084722</v>
      </c>
    </row>
    <row r="4657" spans="27:30" x14ac:dyDescent="0.3">
      <c r="AA4657" s="37">
        <v>4637</v>
      </c>
      <c r="AB4657" s="37">
        <v>1.7499571514007193</v>
      </c>
      <c r="AC4657" s="37">
        <v>2.9961517512529396</v>
      </c>
      <c r="AD4657" s="37">
        <v>3.5778282130012946</v>
      </c>
    </row>
    <row r="4658" spans="27:30" x14ac:dyDescent="0.3">
      <c r="AA4658" s="37">
        <v>4638</v>
      </c>
      <c r="AB4658" s="37">
        <v>1.7541013573493849</v>
      </c>
      <c r="AC4658" s="37">
        <v>2.9634670362932427</v>
      </c>
      <c r="AD4658" s="37">
        <v>3.2935878640399463</v>
      </c>
    </row>
    <row r="4659" spans="27:30" x14ac:dyDescent="0.3">
      <c r="AA4659" s="37">
        <v>4639</v>
      </c>
      <c r="AB4659" s="37">
        <v>1.723649096748338</v>
      </c>
      <c r="AC4659" s="37">
        <v>2.7782412743205067</v>
      </c>
      <c r="AD4659" s="37">
        <v>3.3764552618315098</v>
      </c>
    </row>
    <row r="4660" spans="27:30" x14ac:dyDescent="0.3">
      <c r="AA4660" s="37">
        <v>4640</v>
      </c>
      <c r="AB4660" s="37">
        <v>1.8512016785726828</v>
      </c>
      <c r="AC4660" s="37">
        <v>2.7671661341681988</v>
      </c>
      <c r="AD4660" s="37">
        <v>3.1851413151386812</v>
      </c>
    </row>
    <row r="4661" spans="27:30" x14ac:dyDescent="0.3">
      <c r="AA4661" s="37">
        <v>4641</v>
      </c>
      <c r="AB4661" s="37">
        <v>1.8347272401665404</v>
      </c>
      <c r="AC4661" s="37">
        <v>2.8594396776279409</v>
      </c>
      <c r="AD4661" s="37">
        <v>3.5189685266431083</v>
      </c>
    </row>
    <row r="4662" spans="27:30" x14ac:dyDescent="0.3">
      <c r="AA4662" s="37">
        <v>4642</v>
      </c>
      <c r="AB4662" s="37">
        <v>1.9012280994520998</v>
      </c>
      <c r="AC4662" s="37">
        <v>2.7581482355706619</v>
      </c>
      <c r="AD4662" s="37">
        <v>3.6395863552204673</v>
      </c>
    </row>
    <row r="4663" spans="27:30" x14ac:dyDescent="0.3">
      <c r="AA4663" s="37">
        <v>4643</v>
      </c>
      <c r="AB4663" s="37">
        <v>1.7656651955234639</v>
      </c>
      <c r="AC4663" s="37">
        <v>2.9567040175587591</v>
      </c>
      <c r="AD4663" s="37">
        <v>3.5188365929106724</v>
      </c>
    </row>
    <row r="4664" spans="27:30" x14ac:dyDescent="0.3">
      <c r="AA4664" s="37">
        <v>4644</v>
      </c>
      <c r="AB4664" s="37">
        <v>1.8416389347655302</v>
      </c>
      <c r="AC4664" s="37">
        <v>2.9438610358251593</v>
      </c>
      <c r="AD4664" s="37">
        <v>3.4031461531090388</v>
      </c>
    </row>
    <row r="4665" spans="27:30" x14ac:dyDescent="0.3">
      <c r="AA4665" s="37">
        <v>4645</v>
      </c>
      <c r="AB4665" s="37">
        <v>1.7198449847124488</v>
      </c>
      <c r="AC4665" s="37">
        <v>2.704242555307526</v>
      </c>
      <c r="AD4665" s="37">
        <v>3.2109038728117567</v>
      </c>
    </row>
    <row r="4666" spans="27:30" x14ac:dyDescent="0.3">
      <c r="AA4666" s="37">
        <v>4646</v>
      </c>
      <c r="AB4666" s="37">
        <v>1.8773267370002462</v>
      </c>
      <c r="AC4666" s="37">
        <v>2.8927495575287727</v>
      </c>
      <c r="AD4666" s="37">
        <v>3.4916309413821152</v>
      </c>
    </row>
    <row r="4667" spans="27:30" x14ac:dyDescent="0.3">
      <c r="AA4667" s="37">
        <v>4647</v>
      </c>
      <c r="AB4667" s="37">
        <v>1.7632350884969168</v>
      </c>
      <c r="AC4667" s="37">
        <v>2.8285018702270932</v>
      </c>
      <c r="AD4667" s="37">
        <v>3.1689634077296853</v>
      </c>
    </row>
    <row r="4668" spans="27:30" x14ac:dyDescent="0.3">
      <c r="AA4668" s="37">
        <v>4648</v>
      </c>
      <c r="AB4668" s="37">
        <v>1.6966115453246851</v>
      </c>
      <c r="AC4668" s="37">
        <v>2.8110996487975184</v>
      </c>
      <c r="AD4668" s="37">
        <v>3.316252340147527</v>
      </c>
    </row>
    <row r="4669" spans="27:30" x14ac:dyDescent="0.3">
      <c r="AA4669" s="37">
        <v>4649</v>
      </c>
      <c r="AB4669" s="37">
        <v>1.7633667858957227</v>
      </c>
      <c r="AC4669" s="37">
        <v>2.9403553718640425</v>
      </c>
      <c r="AD4669" s="37">
        <v>3.291427152536023</v>
      </c>
    </row>
    <row r="4670" spans="27:30" x14ac:dyDescent="0.3">
      <c r="AA4670" s="37">
        <v>4650</v>
      </c>
      <c r="AB4670" s="37">
        <v>1.8194154189477885</v>
      </c>
      <c r="AC4670" s="37">
        <v>3.0829575807217808</v>
      </c>
      <c r="AD4670" s="37">
        <v>3.4192585837405391</v>
      </c>
    </row>
    <row r="4671" spans="27:30" x14ac:dyDescent="0.3">
      <c r="AA4671" s="37">
        <v>4651</v>
      </c>
      <c r="AB4671" s="37">
        <v>1.6853523750897821</v>
      </c>
      <c r="AC4671" s="37">
        <v>2.7814220184893288</v>
      </c>
      <c r="AD4671" s="37">
        <v>3.3412059848185227</v>
      </c>
    </row>
    <row r="4672" spans="27:30" x14ac:dyDescent="0.3">
      <c r="AA4672" s="37">
        <v>4652</v>
      </c>
      <c r="AB4672" s="37">
        <v>1.8125296145623555</v>
      </c>
      <c r="AC4672" s="37">
        <v>3.0268498956698671</v>
      </c>
      <c r="AD4672" s="37">
        <v>3.2532728432111107</v>
      </c>
    </row>
    <row r="4673" spans="27:30" x14ac:dyDescent="0.3">
      <c r="AA4673" s="37">
        <v>4653</v>
      </c>
      <c r="AB4673" s="37">
        <v>1.862068827486695</v>
      </c>
      <c r="AC4673" s="37">
        <v>2.733766662650305</v>
      </c>
      <c r="AD4673" s="37">
        <v>3.378327499657575</v>
      </c>
    </row>
    <row r="4674" spans="27:30" x14ac:dyDescent="0.3">
      <c r="AA4674" s="37">
        <v>4654</v>
      </c>
      <c r="AB4674" s="37">
        <v>1.7518533909899801</v>
      </c>
      <c r="AC4674" s="37">
        <v>2.9808732189147542</v>
      </c>
      <c r="AD4674" s="37">
        <v>3.4552766432071378</v>
      </c>
    </row>
    <row r="4675" spans="27:30" x14ac:dyDescent="0.3">
      <c r="AA4675" s="37">
        <v>4655</v>
      </c>
      <c r="AB4675" s="37">
        <v>1.8071210844985162</v>
      </c>
      <c r="AC4675" s="37">
        <v>2.972607541342482</v>
      </c>
      <c r="AD4675" s="37">
        <v>3.3207633759984829</v>
      </c>
    </row>
    <row r="4676" spans="27:30" x14ac:dyDescent="0.3">
      <c r="AA4676" s="37">
        <v>4656</v>
      </c>
      <c r="AB4676" s="37">
        <v>1.832933780491351</v>
      </c>
      <c r="AC4676" s="37">
        <v>2.7482251607133459</v>
      </c>
      <c r="AD4676" s="37">
        <v>3.2510007255415898</v>
      </c>
    </row>
    <row r="4677" spans="27:30" x14ac:dyDescent="0.3">
      <c r="AA4677" s="37">
        <v>4657</v>
      </c>
      <c r="AB4677" s="37">
        <v>1.8220666435135313</v>
      </c>
      <c r="AC4677" s="37">
        <v>2.9536936663258171</v>
      </c>
      <c r="AD4677" s="37">
        <v>3.5101054760278401</v>
      </c>
    </row>
    <row r="4678" spans="27:30" x14ac:dyDescent="0.3">
      <c r="AA4678" s="37">
        <v>4658</v>
      </c>
      <c r="AB4678" s="37">
        <v>1.7033395894583507</v>
      </c>
      <c r="AC4678" s="37">
        <v>2.7724553438691339</v>
      </c>
      <c r="AD4678" s="37">
        <v>3.2099857103586484</v>
      </c>
    </row>
    <row r="4679" spans="27:30" x14ac:dyDescent="0.3">
      <c r="AA4679" s="37">
        <v>4659</v>
      </c>
      <c r="AB4679" s="37">
        <v>1.6055146033543681</v>
      </c>
      <c r="AC4679" s="37">
        <v>2.8916600537850292</v>
      </c>
      <c r="AD4679" s="37">
        <v>3.2934417130570237</v>
      </c>
    </row>
    <row r="4680" spans="27:30" x14ac:dyDescent="0.3">
      <c r="AA4680" s="37">
        <v>4660</v>
      </c>
      <c r="AB4680" s="37">
        <v>1.7897970406073402</v>
      </c>
      <c r="AC4680" s="37">
        <v>2.7739384566646037</v>
      </c>
      <c r="AD4680" s="37">
        <v>3.4278987532545475</v>
      </c>
    </row>
    <row r="4681" spans="27:30" x14ac:dyDescent="0.3">
      <c r="AA4681" s="37">
        <v>4661</v>
      </c>
      <c r="AB4681" s="37">
        <v>1.8048397462183192</v>
      </c>
      <c r="AC4681" s="37">
        <v>2.7191211996141935</v>
      </c>
      <c r="AD4681" s="37">
        <v>3.2305980399216652</v>
      </c>
    </row>
    <row r="4682" spans="27:30" x14ac:dyDescent="0.3">
      <c r="AA4682" s="37">
        <v>4662</v>
      </c>
      <c r="AB4682" s="37">
        <v>1.6952819701833552</v>
      </c>
      <c r="AC4682" s="37">
        <v>2.9153334465774359</v>
      </c>
      <c r="AD4682" s="37">
        <v>3.6128623556846819</v>
      </c>
    </row>
    <row r="4683" spans="27:30" x14ac:dyDescent="0.3">
      <c r="AA4683" s="37">
        <v>4663</v>
      </c>
      <c r="AB4683" s="37">
        <v>1.7498440232780113</v>
      </c>
      <c r="AC4683" s="37">
        <v>3.0765476989468312</v>
      </c>
      <c r="AD4683" s="37">
        <v>3.3435876831939066</v>
      </c>
    </row>
    <row r="4684" spans="27:30" x14ac:dyDescent="0.3">
      <c r="AA4684" s="37">
        <v>4664</v>
      </c>
      <c r="AB4684" s="37">
        <v>1.8078873785703771</v>
      </c>
      <c r="AC4684" s="37">
        <v>2.8042842939742609</v>
      </c>
      <c r="AD4684" s="37">
        <v>3.3222643230525319</v>
      </c>
    </row>
    <row r="4685" spans="27:30" x14ac:dyDescent="0.3">
      <c r="AA4685" s="37">
        <v>4665</v>
      </c>
      <c r="AB4685" s="37">
        <v>1.7275324725137731</v>
      </c>
      <c r="AC4685" s="37">
        <v>2.824483954404561</v>
      </c>
      <c r="AD4685" s="37">
        <v>3.3923743893381304</v>
      </c>
    </row>
    <row r="4686" spans="27:30" x14ac:dyDescent="0.3">
      <c r="AA4686" s="37">
        <v>4666</v>
      </c>
      <c r="AB4686" s="37">
        <v>1.7659452953084873</v>
      </c>
      <c r="AC4686" s="37">
        <v>2.9801525809770708</v>
      </c>
      <c r="AD4686" s="37">
        <v>3.3925860792761631</v>
      </c>
    </row>
    <row r="4687" spans="27:30" x14ac:dyDescent="0.3">
      <c r="AA4687" s="37">
        <v>4667</v>
      </c>
      <c r="AB4687" s="37">
        <v>1.8433663653123287</v>
      </c>
      <c r="AC4687" s="37">
        <v>2.7494931621920071</v>
      </c>
      <c r="AD4687" s="37">
        <v>3.3909933023303758</v>
      </c>
    </row>
    <row r="4688" spans="27:30" x14ac:dyDescent="0.3">
      <c r="AA4688" s="37">
        <v>4668</v>
      </c>
      <c r="AB4688" s="37">
        <v>1.9195717278990974</v>
      </c>
      <c r="AC4688" s="37">
        <v>2.8738456787931508</v>
      </c>
      <c r="AD4688" s="37">
        <v>3.6228074410486863</v>
      </c>
    </row>
    <row r="4689" spans="27:30" x14ac:dyDescent="0.3">
      <c r="AA4689" s="37">
        <v>4669</v>
      </c>
      <c r="AB4689" s="37">
        <v>1.7051859146134491</v>
      </c>
      <c r="AC4689" s="37">
        <v>2.8642188438871981</v>
      </c>
      <c r="AD4689" s="37">
        <v>3.4267844838147528</v>
      </c>
    </row>
    <row r="4690" spans="27:30" x14ac:dyDescent="0.3">
      <c r="AA4690" s="37">
        <v>4670</v>
      </c>
      <c r="AB4690" s="37">
        <v>1.8138107478865695</v>
      </c>
      <c r="AC4690" s="37">
        <v>2.7015777961735203</v>
      </c>
      <c r="AD4690" s="37">
        <v>3.26887398842856</v>
      </c>
    </row>
    <row r="4691" spans="27:30" x14ac:dyDescent="0.3">
      <c r="AA4691" s="37">
        <v>4671</v>
      </c>
      <c r="AB4691" s="37">
        <v>1.6854563707679062</v>
      </c>
      <c r="AC4691" s="37">
        <v>2.6592010058370801</v>
      </c>
      <c r="AD4691" s="37">
        <v>3.4137490445693603</v>
      </c>
    </row>
    <row r="4692" spans="27:30" x14ac:dyDescent="0.3">
      <c r="AA4692" s="37">
        <v>4672</v>
      </c>
      <c r="AB4692" s="37">
        <v>1.7737080274945554</v>
      </c>
      <c r="AC4692" s="37">
        <v>2.9534807279890809</v>
      </c>
      <c r="AD4692" s="37">
        <v>3.4091388205620126</v>
      </c>
    </row>
    <row r="4693" spans="27:30" x14ac:dyDescent="0.3">
      <c r="AA4693" s="37">
        <v>4673</v>
      </c>
      <c r="AB4693" s="37">
        <v>1.8679652453984033</v>
      </c>
      <c r="AC4693" s="37">
        <v>2.8442736864356442</v>
      </c>
      <c r="AD4693" s="37">
        <v>3.2174810558254028</v>
      </c>
    </row>
    <row r="4694" spans="27:30" x14ac:dyDescent="0.3">
      <c r="AA4694" s="37">
        <v>4674</v>
      </c>
      <c r="AB4694" s="37">
        <v>1.7380691805902315</v>
      </c>
      <c r="AC4694" s="37">
        <v>2.8483544562067564</v>
      </c>
      <c r="AD4694" s="37">
        <v>3.3354531117348318</v>
      </c>
    </row>
    <row r="4695" spans="27:30" x14ac:dyDescent="0.3">
      <c r="AA4695" s="37">
        <v>4675</v>
      </c>
      <c r="AB4695" s="37">
        <v>1.9015204480234291</v>
      </c>
      <c r="AC4695" s="37">
        <v>2.6901458422268485</v>
      </c>
      <c r="AD4695" s="37">
        <v>3.5506399120451788</v>
      </c>
    </row>
    <row r="4696" spans="27:30" x14ac:dyDescent="0.3">
      <c r="AA4696" s="37">
        <v>4676</v>
      </c>
      <c r="AB4696" s="37">
        <v>1.7106526520450573</v>
      </c>
      <c r="AC4696" s="37">
        <v>2.7766100170632528</v>
      </c>
      <c r="AD4696" s="37">
        <v>3.2476725845746737</v>
      </c>
    </row>
    <row r="4697" spans="27:30" x14ac:dyDescent="0.3">
      <c r="AA4697" s="37">
        <v>4677</v>
      </c>
      <c r="AB4697" s="37">
        <v>1.7780629448822403</v>
      </c>
      <c r="AC4697" s="37">
        <v>2.9273716364963565</v>
      </c>
      <c r="AD4697" s="37">
        <v>3.2992770895340087</v>
      </c>
    </row>
    <row r="4698" spans="27:30" x14ac:dyDescent="0.3">
      <c r="AA4698" s="37">
        <v>4678</v>
      </c>
      <c r="AB4698" s="37">
        <v>1.832835242113922</v>
      </c>
      <c r="AC4698" s="37">
        <v>2.8825502800501335</v>
      </c>
      <c r="AD4698" s="37">
        <v>3.2915907487533218</v>
      </c>
    </row>
    <row r="4699" spans="27:30" x14ac:dyDescent="0.3">
      <c r="AA4699" s="37">
        <v>4679</v>
      </c>
      <c r="AB4699" s="37">
        <v>1.7722079268068565</v>
      </c>
      <c r="AC4699" s="37">
        <v>2.9211065726206882</v>
      </c>
      <c r="AD4699" s="37">
        <v>3.5211081354702469</v>
      </c>
    </row>
    <row r="4700" spans="27:30" x14ac:dyDescent="0.3">
      <c r="AA4700" s="37">
        <v>4680</v>
      </c>
      <c r="AB4700" s="37">
        <v>1.8507638173713075</v>
      </c>
      <c r="AC4700" s="37">
        <v>2.7895545339123804</v>
      </c>
      <c r="AD4700" s="37">
        <v>3.4127985497923992</v>
      </c>
    </row>
    <row r="4701" spans="27:30" x14ac:dyDescent="0.3">
      <c r="AA4701" s="37">
        <v>4681</v>
      </c>
      <c r="AB4701" s="37">
        <v>1.6859562439183808</v>
      </c>
      <c r="AC4701" s="37">
        <v>2.7297313221857951</v>
      </c>
      <c r="AD4701" s="37">
        <v>3.3487770073793701</v>
      </c>
    </row>
    <row r="4702" spans="27:30" x14ac:dyDescent="0.3">
      <c r="AA4702" s="37">
        <v>4682</v>
      </c>
      <c r="AB4702" s="37">
        <v>1.9035345840918605</v>
      </c>
      <c r="AC4702" s="37">
        <v>2.985797904712987</v>
      </c>
      <c r="AD4702" s="37">
        <v>3.2451713964826232</v>
      </c>
    </row>
    <row r="4703" spans="27:30" x14ac:dyDescent="0.3">
      <c r="AA4703" s="37">
        <v>4683</v>
      </c>
      <c r="AB4703" s="37">
        <v>1.8367625452039844</v>
      </c>
      <c r="AC4703" s="37">
        <v>2.7565918456333454</v>
      </c>
      <c r="AD4703" s="37">
        <v>3.3929504589034165</v>
      </c>
    </row>
    <row r="4704" spans="27:30" x14ac:dyDescent="0.3">
      <c r="AA4704" s="37">
        <v>4684</v>
      </c>
      <c r="AB4704" s="37">
        <v>2.0102697742475328</v>
      </c>
      <c r="AC4704" s="37">
        <v>2.8874407110593494</v>
      </c>
      <c r="AD4704" s="37">
        <v>3.3990511904447258</v>
      </c>
    </row>
    <row r="4705" spans="27:30" x14ac:dyDescent="0.3">
      <c r="AA4705" s="37">
        <v>4685</v>
      </c>
      <c r="AB4705" s="37">
        <v>1.664610902102871</v>
      </c>
      <c r="AC4705" s="37">
        <v>2.8102915989482664</v>
      </c>
      <c r="AD4705" s="37">
        <v>3.2395310630376257</v>
      </c>
    </row>
    <row r="4706" spans="27:30" x14ac:dyDescent="0.3">
      <c r="AA4706" s="37">
        <v>4686</v>
      </c>
      <c r="AB4706" s="37">
        <v>1.7533905031397206</v>
      </c>
      <c r="AC4706" s="37">
        <v>2.9155218832926963</v>
      </c>
      <c r="AD4706" s="37">
        <v>3.2789647897904559</v>
      </c>
    </row>
    <row r="4707" spans="27:30" x14ac:dyDescent="0.3">
      <c r="AA4707" s="37">
        <v>4687</v>
      </c>
      <c r="AB4707" s="37">
        <v>1.8355963136693925</v>
      </c>
      <c r="AC4707" s="37">
        <v>2.82782637048969</v>
      </c>
      <c r="AD4707" s="37">
        <v>3.4166499890395681</v>
      </c>
    </row>
    <row r="4708" spans="27:30" x14ac:dyDescent="0.3">
      <c r="AA4708" s="37">
        <v>4688</v>
      </c>
      <c r="AB4708" s="37">
        <v>1.8620732085137033</v>
      </c>
      <c r="AC4708" s="37">
        <v>2.9327424074972663</v>
      </c>
      <c r="AD4708" s="37">
        <v>3.233333491479689</v>
      </c>
    </row>
    <row r="4709" spans="27:30" x14ac:dyDescent="0.3">
      <c r="AA4709" s="37">
        <v>4689</v>
      </c>
      <c r="AB4709" s="37">
        <v>1.8270471578142922</v>
      </c>
      <c r="AC4709" s="37">
        <v>2.8457875462797597</v>
      </c>
      <c r="AD4709" s="37">
        <v>3.5081217613166213</v>
      </c>
    </row>
    <row r="4710" spans="27:30" x14ac:dyDescent="0.3">
      <c r="AA4710" s="37">
        <v>4690</v>
      </c>
      <c r="AB4710" s="37">
        <v>1.7341774352729069</v>
      </c>
      <c r="AC4710" s="37">
        <v>2.9294171564568523</v>
      </c>
      <c r="AD4710" s="37">
        <v>3.4109400852871485</v>
      </c>
    </row>
    <row r="4711" spans="27:30" x14ac:dyDescent="0.3">
      <c r="AA4711" s="37">
        <v>4691</v>
      </c>
      <c r="AB4711" s="37">
        <v>1.6973534934433974</v>
      </c>
      <c r="AC4711" s="37">
        <v>3.000141431036941</v>
      </c>
      <c r="AD4711" s="37">
        <v>3.3152300712136351</v>
      </c>
    </row>
    <row r="4712" spans="27:30" x14ac:dyDescent="0.3">
      <c r="AA4712" s="37">
        <v>4692</v>
      </c>
      <c r="AB4712" s="37">
        <v>1.7553215429159437</v>
      </c>
      <c r="AC4712" s="37">
        <v>2.8030108409256562</v>
      </c>
      <c r="AD4712" s="37">
        <v>3.3852571610615776</v>
      </c>
    </row>
    <row r="4713" spans="27:30" x14ac:dyDescent="0.3">
      <c r="AA4713" s="37">
        <v>4693</v>
      </c>
      <c r="AB4713" s="37">
        <v>1.8030566978854807</v>
      </c>
      <c r="AC4713" s="37">
        <v>2.9421788215957814</v>
      </c>
      <c r="AD4713" s="37">
        <v>3.3555128530608647</v>
      </c>
    </row>
    <row r="4714" spans="27:30" x14ac:dyDescent="0.3">
      <c r="AA4714" s="37">
        <v>4694</v>
      </c>
      <c r="AB4714" s="37">
        <v>1.7701558536997406</v>
      </c>
      <c r="AC4714" s="37">
        <v>2.7856883874468181</v>
      </c>
      <c r="AD4714" s="37">
        <v>3.0692777550342178</v>
      </c>
    </row>
    <row r="4715" spans="27:30" x14ac:dyDescent="0.3">
      <c r="AA4715" s="37">
        <v>4695</v>
      </c>
      <c r="AB4715" s="37">
        <v>1.7389268054312141</v>
      </c>
      <c r="AC4715" s="37">
        <v>2.9391095570414705</v>
      </c>
      <c r="AD4715" s="37">
        <v>3.1672327211039684</v>
      </c>
    </row>
    <row r="4716" spans="27:30" x14ac:dyDescent="0.3">
      <c r="AA4716" s="37">
        <v>4696</v>
      </c>
      <c r="AB4716" s="37">
        <v>1.7903229931303197</v>
      </c>
      <c r="AC4716" s="37">
        <v>2.8300167641566416</v>
      </c>
      <c r="AD4716" s="37">
        <v>3.3770584381338797</v>
      </c>
    </row>
    <row r="4717" spans="27:30" x14ac:dyDescent="0.3">
      <c r="AA4717" s="37">
        <v>4697</v>
      </c>
      <c r="AB4717" s="37">
        <v>1.7849620441738798</v>
      </c>
      <c r="AC4717" s="37">
        <v>2.5874728634212807</v>
      </c>
      <c r="AD4717" s="37">
        <v>3.3902489158030447</v>
      </c>
    </row>
    <row r="4718" spans="27:30" x14ac:dyDescent="0.3">
      <c r="AA4718" s="37">
        <v>4698</v>
      </c>
      <c r="AB4718" s="37">
        <v>1.8042153806447825</v>
      </c>
      <c r="AC4718" s="37">
        <v>2.7348130233282144</v>
      </c>
      <c r="AD4718" s="37">
        <v>3.3493982987557605</v>
      </c>
    </row>
    <row r="4719" spans="27:30" x14ac:dyDescent="0.3">
      <c r="AA4719" s="37">
        <v>4699</v>
      </c>
      <c r="AB4719" s="37">
        <v>1.8344524266497606</v>
      </c>
      <c r="AC4719" s="37">
        <v>2.7805531887133075</v>
      </c>
      <c r="AD4719" s="37">
        <v>3.3967159586029911</v>
      </c>
    </row>
    <row r="4720" spans="27:30" x14ac:dyDescent="0.3">
      <c r="AA4720" s="37">
        <v>4700</v>
      </c>
      <c r="AB4720" s="37">
        <v>1.8311012807887208</v>
      </c>
      <c r="AC4720" s="37">
        <v>2.9150583342004954</v>
      </c>
      <c r="AD4720" s="37">
        <v>3.2641217224557248</v>
      </c>
    </row>
    <row r="4721" spans="27:30" x14ac:dyDescent="0.3">
      <c r="AA4721" s="37">
        <v>4701</v>
      </c>
      <c r="AB4721" s="37">
        <v>1.7650638700023258</v>
      </c>
      <c r="AC4721" s="37">
        <v>2.8306223866495741</v>
      </c>
      <c r="AD4721" s="37">
        <v>3.1997323829845157</v>
      </c>
    </row>
    <row r="4722" spans="27:30" x14ac:dyDescent="0.3">
      <c r="AA4722" s="37">
        <v>4702</v>
      </c>
      <c r="AB4722" s="37">
        <v>1.7962379131061117</v>
      </c>
      <c r="AC4722" s="37">
        <v>2.6930054411179754</v>
      </c>
      <c r="AD4722" s="37">
        <v>3.3085126291701394</v>
      </c>
    </row>
    <row r="4723" spans="27:30" x14ac:dyDescent="0.3">
      <c r="AA4723" s="37">
        <v>4703</v>
      </c>
      <c r="AB4723" s="37">
        <v>1.9498958805659852</v>
      </c>
      <c r="AC4723" s="37">
        <v>2.8441125064634609</v>
      </c>
      <c r="AD4723" s="37">
        <v>3.4443833657389149</v>
      </c>
    </row>
    <row r="4724" spans="27:30" x14ac:dyDescent="0.3">
      <c r="AA4724" s="37">
        <v>4704</v>
      </c>
      <c r="AB4724" s="37">
        <v>1.8127183973944752</v>
      </c>
      <c r="AC4724" s="37">
        <v>2.6597735494023205</v>
      </c>
      <c r="AD4724" s="37">
        <v>3.0645620885448372</v>
      </c>
    </row>
    <row r="4725" spans="27:30" x14ac:dyDescent="0.3">
      <c r="AA4725" s="37">
        <v>4705</v>
      </c>
      <c r="AB4725" s="37">
        <v>1.8991521261034685</v>
      </c>
      <c r="AC4725" s="37">
        <v>2.8168499933682285</v>
      </c>
      <c r="AD4725" s="37">
        <v>3.3210765594962708</v>
      </c>
    </row>
    <row r="4726" spans="27:30" x14ac:dyDescent="0.3">
      <c r="AA4726" s="37">
        <v>4706</v>
      </c>
      <c r="AB4726" s="37">
        <v>1.7582543846391696</v>
      </c>
      <c r="AC4726" s="37">
        <v>2.978376089091185</v>
      </c>
      <c r="AD4726" s="37">
        <v>3.2331995840684353</v>
      </c>
    </row>
    <row r="4727" spans="27:30" x14ac:dyDescent="0.3">
      <c r="AA4727" s="37">
        <v>4707</v>
      </c>
      <c r="AB4727" s="37">
        <v>1.805438625889215</v>
      </c>
      <c r="AC4727" s="37">
        <v>2.7082498946986107</v>
      </c>
      <c r="AD4727" s="37">
        <v>3.3019125996119834</v>
      </c>
    </row>
    <row r="4728" spans="27:30" x14ac:dyDescent="0.3">
      <c r="AA4728" s="37">
        <v>4708</v>
      </c>
      <c r="AB4728" s="37">
        <v>1.827414155786248</v>
      </c>
      <c r="AC4728" s="37">
        <v>2.9039555746018846</v>
      </c>
      <c r="AD4728" s="37">
        <v>3.3114943396612073</v>
      </c>
    </row>
    <row r="4729" spans="27:30" x14ac:dyDescent="0.3">
      <c r="AA4729" s="37">
        <v>4709</v>
      </c>
      <c r="AB4729" s="37">
        <v>1.7457907620152311</v>
      </c>
      <c r="AC4729" s="37">
        <v>2.7871464191557833</v>
      </c>
      <c r="AD4729" s="37">
        <v>3.4464380530299357</v>
      </c>
    </row>
    <row r="4730" spans="27:30" x14ac:dyDescent="0.3">
      <c r="AA4730" s="37">
        <v>4710</v>
      </c>
      <c r="AB4730" s="37">
        <v>1.7608749699332464</v>
      </c>
      <c r="AC4730" s="37">
        <v>2.6558881423025738</v>
      </c>
      <c r="AD4730" s="37">
        <v>3.4574109974453955</v>
      </c>
    </row>
    <row r="4731" spans="27:30" x14ac:dyDescent="0.3">
      <c r="AA4731" s="37">
        <v>4711</v>
      </c>
      <c r="AB4731" s="37">
        <v>1.8514264754968583</v>
      </c>
      <c r="AC4731" s="37">
        <v>2.6451388439712291</v>
      </c>
      <c r="AD4731" s="37">
        <v>3.4203656498613122</v>
      </c>
    </row>
    <row r="4732" spans="27:30" x14ac:dyDescent="0.3">
      <c r="AA4732" s="37">
        <v>4712</v>
      </c>
      <c r="AB4732" s="37">
        <v>1.70207390184634</v>
      </c>
      <c r="AC4732" s="37">
        <v>2.7247277587048777</v>
      </c>
      <c r="AD4732" s="37">
        <v>3.3574103437979059</v>
      </c>
    </row>
    <row r="4733" spans="27:30" x14ac:dyDescent="0.3">
      <c r="AA4733" s="37">
        <v>4713</v>
      </c>
      <c r="AB4733" s="37">
        <v>1.6779747024557792</v>
      </c>
      <c r="AC4733" s="37">
        <v>2.807381255448457</v>
      </c>
      <c r="AD4733" s="37">
        <v>3.2697805651601097</v>
      </c>
    </row>
    <row r="4734" spans="27:30" x14ac:dyDescent="0.3">
      <c r="AA4734" s="37">
        <v>4714</v>
      </c>
      <c r="AB4734" s="37">
        <v>1.7100171182432422</v>
      </c>
      <c r="AC4734" s="37">
        <v>2.9629124809877401</v>
      </c>
      <c r="AD4734" s="37">
        <v>3.3358896077833493</v>
      </c>
    </row>
    <row r="4735" spans="27:30" x14ac:dyDescent="0.3">
      <c r="AA4735" s="37">
        <v>4715</v>
      </c>
      <c r="AB4735" s="37">
        <v>1.8245747136772428</v>
      </c>
      <c r="AC4735" s="37">
        <v>2.8471665220125839</v>
      </c>
      <c r="AD4735" s="37">
        <v>3.2962770640067935</v>
      </c>
    </row>
    <row r="4736" spans="27:30" x14ac:dyDescent="0.3">
      <c r="AA4736" s="37">
        <v>4716</v>
      </c>
      <c r="AB4736" s="37">
        <v>1.6662103727151134</v>
      </c>
      <c r="AC4736" s="37">
        <v>2.8919112348358484</v>
      </c>
      <c r="AD4736" s="37">
        <v>3.3982801345982128</v>
      </c>
    </row>
    <row r="4737" spans="27:30" x14ac:dyDescent="0.3">
      <c r="AA4737" s="37">
        <v>4717</v>
      </c>
      <c r="AB4737" s="37">
        <v>1.763880590737132</v>
      </c>
      <c r="AC4737" s="37">
        <v>2.9271553498968483</v>
      </c>
      <c r="AD4737" s="37">
        <v>3.3676481918579482</v>
      </c>
    </row>
    <row r="4738" spans="27:30" x14ac:dyDescent="0.3">
      <c r="AA4738" s="37">
        <v>4718</v>
      </c>
      <c r="AB4738" s="37">
        <v>1.7312822113972135</v>
      </c>
      <c r="AC4738" s="37">
        <v>2.7170859435474695</v>
      </c>
      <c r="AD4738" s="37">
        <v>3.1488426798876517</v>
      </c>
    </row>
    <row r="4739" spans="27:30" x14ac:dyDescent="0.3">
      <c r="AA4739" s="37">
        <v>4719</v>
      </c>
      <c r="AB4739" s="37">
        <v>1.8416515131579712</v>
      </c>
      <c r="AC4739" s="37">
        <v>2.8152871801150665</v>
      </c>
      <c r="AD4739" s="37">
        <v>3.2373828354900813</v>
      </c>
    </row>
    <row r="4740" spans="27:30" x14ac:dyDescent="0.3">
      <c r="AA4740" s="37">
        <v>4720</v>
      </c>
      <c r="AB4740" s="37">
        <v>1.7100321189753784</v>
      </c>
      <c r="AC4740" s="37">
        <v>2.8574018438289102</v>
      </c>
      <c r="AD4740" s="37">
        <v>3.3161178630817836</v>
      </c>
    </row>
    <row r="4741" spans="27:30" x14ac:dyDescent="0.3">
      <c r="AA4741" s="37">
        <v>4721</v>
      </c>
      <c r="AB4741" s="37">
        <v>1.8984203194634302</v>
      </c>
      <c r="AC4741" s="37">
        <v>3.0463472787558401</v>
      </c>
      <c r="AD4741" s="37">
        <v>3.5438242039331214</v>
      </c>
    </row>
    <row r="4742" spans="27:30" x14ac:dyDescent="0.3">
      <c r="AA4742" s="37">
        <v>4722</v>
      </c>
      <c r="AB4742" s="37">
        <v>1.8617606580403812</v>
      </c>
      <c r="AC4742" s="37">
        <v>2.7616724386475755</v>
      </c>
      <c r="AD4742" s="37">
        <v>3.2883959797761513</v>
      </c>
    </row>
    <row r="4743" spans="27:30" x14ac:dyDescent="0.3">
      <c r="AA4743" s="37">
        <v>4723</v>
      </c>
      <c r="AB4743" s="37">
        <v>1.7706831882525529</v>
      </c>
      <c r="AC4743" s="37">
        <v>2.7080780565028078</v>
      </c>
      <c r="AD4743" s="37">
        <v>3.2488835196827601</v>
      </c>
    </row>
    <row r="4744" spans="27:30" x14ac:dyDescent="0.3">
      <c r="AA4744" s="37">
        <v>4724</v>
      </c>
      <c r="AB4744" s="37">
        <v>1.8094630802374723</v>
      </c>
      <c r="AC4744" s="37">
        <v>2.6634970279886194</v>
      </c>
      <c r="AD4744" s="37">
        <v>3.3881452780203842</v>
      </c>
    </row>
    <row r="4745" spans="27:30" x14ac:dyDescent="0.3">
      <c r="AA4745" s="37">
        <v>4725</v>
      </c>
      <c r="AB4745" s="37">
        <v>1.8674772008303164</v>
      </c>
      <c r="AC4745" s="37">
        <v>2.9872555864096011</v>
      </c>
      <c r="AD4745" s="37">
        <v>3.3698448915802333</v>
      </c>
    </row>
    <row r="4746" spans="27:30" x14ac:dyDescent="0.3">
      <c r="AA4746" s="37">
        <v>4726</v>
      </c>
      <c r="AB4746" s="37">
        <v>1.80818418660738</v>
      </c>
      <c r="AC4746" s="37">
        <v>2.8741557280163503</v>
      </c>
      <c r="AD4746" s="37">
        <v>3.2299544919752239</v>
      </c>
    </row>
    <row r="4747" spans="27:30" x14ac:dyDescent="0.3">
      <c r="AA4747" s="37">
        <v>4727</v>
      </c>
      <c r="AB4747" s="37">
        <v>1.8650177927169382</v>
      </c>
      <c r="AC4747" s="37">
        <v>2.9084089375974518</v>
      </c>
      <c r="AD4747" s="37">
        <v>3.2657174767895816</v>
      </c>
    </row>
    <row r="4748" spans="27:30" x14ac:dyDescent="0.3">
      <c r="AA4748" s="37">
        <v>4728</v>
      </c>
      <c r="AB4748" s="37">
        <v>1.8459120353175622</v>
      </c>
      <c r="AC4748" s="37">
        <v>2.759776753622472</v>
      </c>
      <c r="AD4748" s="37">
        <v>3.317120569895494</v>
      </c>
    </row>
    <row r="4749" spans="27:30" x14ac:dyDescent="0.3">
      <c r="AA4749" s="37">
        <v>4729</v>
      </c>
      <c r="AB4749" s="37">
        <v>1.7544511268380529</v>
      </c>
      <c r="AC4749" s="37">
        <v>2.8802625976534855</v>
      </c>
      <c r="AD4749" s="37">
        <v>3.384913411156242</v>
      </c>
    </row>
    <row r="4750" spans="27:30" x14ac:dyDescent="0.3">
      <c r="AA4750" s="37">
        <v>4730</v>
      </c>
      <c r="AB4750" s="37">
        <v>1.7230086337283996</v>
      </c>
      <c r="AC4750" s="37">
        <v>2.7758695284976169</v>
      </c>
      <c r="AD4750" s="37">
        <v>3.4113468738755772</v>
      </c>
    </row>
    <row r="4751" spans="27:30" x14ac:dyDescent="0.3">
      <c r="AA4751" s="37">
        <v>4731</v>
      </c>
      <c r="AB4751" s="37">
        <v>1.8033294348141566</v>
      </c>
      <c r="AC4751" s="37">
        <v>3.0770722728634312</v>
      </c>
      <c r="AD4751" s="37">
        <v>3.3787669466083501</v>
      </c>
    </row>
    <row r="4752" spans="27:30" x14ac:dyDescent="0.3">
      <c r="AA4752" s="37">
        <v>4732</v>
      </c>
      <c r="AB4752" s="37">
        <v>1.8216417101821483</v>
      </c>
      <c r="AC4752" s="37">
        <v>2.8091453764213647</v>
      </c>
      <c r="AD4752" s="37">
        <v>3.2417898784810686</v>
      </c>
    </row>
    <row r="4753" spans="27:30" x14ac:dyDescent="0.3">
      <c r="AA4753" s="37">
        <v>4733</v>
      </c>
      <c r="AB4753" s="37">
        <v>1.8234190787559241</v>
      </c>
      <c r="AC4753" s="37">
        <v>2.7006758054642299</v>
      </c>
      <c r="AD4753" s="37">
        <v>3.4377815250816415</v>
      </c>
    </row>
    <row r="4754" spans="27:30" x14ac:dyDescent="0.3">
      <c r="AA4754" s="37">
        <v>4734</v>
      </c>
      <c r="AB4754" s="37">
        <v>1.7331717436733083</v>
      </c>
      <c r="AC4754" s="37">
        <v>2.6508631679466297</v>
      </c>
      <c r="AD4754" s="37">
        <v>3.4499441280230965</v>
      </c>
    </row>
    <row r="4755" spans="27:30" x14ac:dyDescent="0.3">
      <c r="AA4755" s="37">
        <v>4735</v>
      </c>
      <c r="AB4755" s="37">
        <v>1.8042297522949153</v>
      </c>
      <c r="AC4755" s="37">
        <v>2.8219886046808971</v>
      </c>
      <c r="AD4755" s="37">
        <v>3.1247437624033569</v>
      </c>
    </row>
    <row r="4756" spans="27:30" x14ac:dyDescent="0.3">
      <c r="AA4756" s="37">
        <v>4736</v>
      </c>
      <c r="AB4756" s="37">
        <v>1.761519726519426</v>
      </c>
      <c r="AC4756" s="37">
        <v>2.9862796864560308</v>
      </c>
      <c r="AD4756" s="37">
        <v>3.2928817632167151</v>
      </c>
    </row>
    <row r="4757" spans="27:30" x14ac:dyDescent="0.3">
      <c r="AA4757" s="37">
        <v>4737</v>
      </c>
      <c r="AB4757" s="37">
        <v>1.889219525693147</v>
      </c>
      <c r="AC4757" s="37">
        <v>2.7547643006467202</v>
      </c>
      <c r="AD4757" s="37">
        <v>3.404216802276915</v>
      </c>
    </row>
    <row r="4758" spans="27:30" x14ac:dyDescent="0.3">
      <c r="AA4758" s="37">
        <v>4738</v>
      </c>
      <c r="AB4758" s="37">
        <v>1.8913064413484493</v>
      </c>
      <c r="AC4758" s="37">
        <v>2.5923504576459613</v>
      </c>
      <c r="AD4758" s="37">
        <v>3.0235313193171325</v>
      </c>
    </row>
    <row r="4759" spans="27:30" x14ac:dyDescent="0.3">
      <c r="AA4759" s="37">
        <v>4739</v>
      </c>
      <c r="AB4759" s="37">
        <v>1.7731347208163679</v>
      </c>
      <c r="AC4759" s="37">
        <v>2.8809627634338373</v>
      </c>
      <c r="AD4759" s="37">
        <v>3.3152709497222475</v>
      </c>
    </row>
    <row r="4760" spans="27:30" x14ac:dyDescent="0.3">
      <c r="AA4760" s="37">
        <v>4740</v>
      </c>
      <c r="AB4760" s="37">
        <v>1.8612121180238863</v>
      </c>
      <c r="AC4760" s="37">
        <v>2.9072408716623901</v>
      </c>
      <c r="AD4760" s="37">
        <v>3.5535656401272107</v>
      </c>
    </row>
    <row r="4761" spans="27:30" x14ac:dyDescent="0.3">
      <c r="AA4761" s="37">
        <v>4741</v>
      </c>
      <c r="AB4761" s="37">
        <v>1.8101601071953608</v>
      </c>
      <c r="AC4761" s="37">
        <v>2.751899537451346</v>
      </c>
      <c r="AD4761" s="37">
        <v>3.2012481462791276</v>
      </c>
    </row>
    <row r="4762" spans="27:30" x14ac:dyDescent="0.3">
      <c r="AA4762" s="37">
        <v>4742</v>
      </c>
      <c r="AB4762" s="37">
        <v>1.8114010338092341</v>
      </c>
      <c r="AC4762" s="37">
        <v>2.8434511575768027</v>
      </c>
      <c r="AD4762" s="37">
        <v>3.2811453305793061</v>
      </c>
    </row>
    <row r="4763" spans="27:30" x14ac:dyDescent="0.3">
      <c r="AA4763" s="37">
        <v>4743</v>
      </c>
      <c r="AB4763" s="37">
        <v>1.7223432881727621</v>
      </c>
      <c r="AC4763" s="37">
        <v>2.7423407878918931</v>
      </c>
      <c r="AD4763" s="37">
        <v>3.5149128704473185</v>
      </c>
    </row>
    <row r="4764" spans="27:30" x14ac:dyDescent="0.3">
      <c r="AA4764" s="37">
        <v>4744</v>
      </c>
      <c r="AB4764" s="37">
        <v>1.8085113803765103</v>
      </c>
      <c r="AC4764" s="37">
        <v>3.0071239876107994</v>
      </c>
      <c r="AD4764" s="37">
        <v>3.2235657053205675</v>
      </c>
    </row>
    <row r="4765" spans="27:30" x14ac:dyDescent="0.3">
      <c r="AA4765" s="37">
        <v>4745</v>
      </c>
      <c r="AB4765" s="37">
        <v>1.7879380602978023</v>
      </c>
      <c r="AC4765" s="37">
        <v>2.9394872940568653</v>
      </c>
      <c r="AD4765" s="37">
        <v>3.3313598865882468</v>
      </c>
    </row>
    <row r="4766" spans="27:30" x14ac:dyDescent="0.3">
      <c r="AA4766" s="37">
        <v>4746</v>
      </c>
      <c r="AB4766" s="37">
        <v>1.7002988870015945</v>
      </c>
      <c r="AC4766" s="37">
        <v>3.0332600608274447</v>
      </c>
      <c r="AD4766" s="37">
        <v>3.4310112838565057</v>
      </c>
    </row>
    <row r="4767" spans="27:30" x14ac:dyDescent="0.3">
      <c r="AA4767" s="37">
        <v>4747</v>
      </c>
      <c r="AB4767" s="37">
        <v>1.8664508499870074</v>
      </c>
      <c r="AC4767" s="37">
        <v>2.9633901964061975</v>
      </c>
      <c r="AD4767" s="37">
        <v>3.3581958838060753</v>
      </c>
    </row>
    <row r="4768" spans="27:30" x14ac:dyDescent="0.3">
      <c r="AA4768" s="37">
        <v>4748</v>
      </c>
      <c r="AB4768" s="37">
        <v>1.9030030926415091</v>
      </c>
      <c r="AC4768" s="37">
        <v>2.7550474538830279</v>
      </c>
      <c r="AD4768" s="37">
        <v>3.3472097670425542</v>
      </c>
    </row>
    <row r="4769" spans="27:30" x14ac:dyDescent="0.3">
      <c r="AA4769" s="37">
        <v>4749</v>
      </c>
      <c r="AB4769" s="37">
        <v>1.7715293993662919</v>
      </c>
      <c r="AC4769" s="37">
        <v>2.7173188366270606</v>
      </c>
      <c r="AD4769" s="37">
        <v>3.3216178053151557</v>
      </c>
    </row>
    <row r="4770" spans="27:30" x14ac:dyDescent="0.3">
      <c r="AA4770" s="37">
        <v>4750</v>
      </c>
      <c r="AB4770" s="37">
        <v>1.8273228622517543</v>
      </c>
      <c r="AC4770" s="37">
        <v>2.7102240089819727</v>
      </c>
      <c r="AD4770" s="37">
        <v>3.0715701621174536</v>
      </c>
    </row>
    <row r="4771" spans="27:30" x14ac:dyDescent="0.3">
      <c r="AA4771" s="37">
        <v>4751</v>
      </c>
      <c r="AB4771" s="37">
        <v>1.7368403885178907</v>
      </c>
      <c r="AC4771" s="37">
        <v>2.710737619168142</v>
      </c>
      <c r="AD4771" s="37">
        <v>3.2635620002313819</v>
      </c>
    </row>
    <row r="4772" spans="27:30" x14ac:dyDescent="0.3">
      <c r="AA4772" s="37">
        <v>4752</v>
      </c>
      <c r="AB4772" s="37">
        <v>1.7897510876774667</v>
      </c>
      <c r="AC4772" s="37">
        <v>2.9614342188813136</v>
      </c>
      <c r="AD4772" s="37">
        <v>3.2818106578564668</v>
      </c>
    </row>
    <row r="4773" spans="27:30" x14ac:dyDescent="0.3">
      <c r="AA4773" s="37">
        <v>4753</v>
      </c>
      <c r="AB4773" s="37">
        <v>1.7915226573905294</v>
      </c>
      <c r="AC4773" s="37">
        <v>2.8886825431569831</v>
      </c>
      <c r="AD4773" s="37">
        <v>3.2900552148000757</v>
      </c>
    </row>
    <row r="4774" spans="27:30" x14ac:dyDescent="0.3">
      <c r="AA4774" s="37">
        <v>4754</v>
      </c>
      <c r="AB4774" s="37">
        <v>1.7945134703232619</v>
      </c>
      <c r="AC4774" s="37">
        <v>2.8345638760300118</v>
      </c>
      <c r="AD4774" s="37">
        <v>3.5473952570495797</v>
      </c>
    </row>
    <row r="4775" spans="27:30" x14ac:dyDescent="0.3">
      <c r="AA4775" s="37">
        <v>4755</v>
      </c>
      <c r="AB4775" s="37">
        <v>1.8475102045926646</v>
      </c>
      <c r="AC4775" s="37">
        <v>2.7869257684065363</v>
      </c>
      <c r="AD4775" s="37">
        <v>3.3258395911803897</v>
      </c>
    </row>
    <row r="4776" spans="27:30" x14ac:dyDescent="0.3">
      <c r="AA4776" s="37">
        <v>4756</v>
      </c>
      <c r="AB4776" s="37">
        <v>1.7137492096179783</v>
      </c>
      <c r="AC4776" s="37">
        <v>2.7659791426792748</v>
      </c>
      <c r="AD4776" s="37">
        <v>3.2882472900522122</v>
      </c>
    </row>
    <row r="4777" spans="27:30" x14ac:dyDescent="0.3">
      <c r="AA4777" s="37">
        <v>4757</v>
      </c>
      <c r="AB4777" s="37">
        <v>1.7409901999235939</v>
      </c>
      <c r="AC4777" s="37">
        <v>2.9011194811797232</v>
      </c>
      <c r="AD4777" s="37">
        <v>3.2566044438039965</v>
      </c>
    </row>
    <row r="4778" spans="27:30" x14ac:dyDescent="0.3">
      <c r="AA4778" s="37">
        <v>4758</v>
      </c>
      <c r="AB4778" s="37">
        <v>1.8563425810657623</v>
      </c>
      <c r="AC4778" s="37">
        <v>2.9201238433209293</v>
      </c>
      <c r="AD4778" s="37">
        <v>3.1345505941036209</v>
      </c>
    </row>
    <row r="4779" spans="27:30" x14ac:dyDescent="0.3">
      <c r="AA4779" s="37">
        <v>4759</v>
      </c>
      <c r="AB4779" s="37">
        <v>1.6991492055351463</v>
      </c>
      <c r="AC4779" s="37">
        <v>2.7505800743993079</v>
      </c>
      <c r="AD4779" s="37">
        <v>3.2251929400428732</v>
      </c>
    </row>
    <row r="4780" spans="27:30" x14ac:dyDescent="0.3">
      <c r="AA4780" s="37">
        <v>4760</v>
      </c>
      <c r="AB4780" s="37">
        <v>1.7364182195047049</v>
      </c>
      <c r="AC4780" s="37">
        <v>2.7732279299902998</v>
      </c>
      <c r="AD4780" s="37">
        <v>3.3297803828189729</v>
      </c>
    </row>
    <row r="4781" spans="27:30" x14ac:dyDescent="0.3">
      <c r="AA4781" s="37">
        <v>4761</v>
      </c>
      <c r="AB4781" s="37">
        <v>1.788483259116721</v>
      </c>
      <c r="AC4781" s="37">
        <v>2.77127256865875</v>
      </c>
      <c r="AD4781" s="37">
        <v>3.3927546052438888</v>
      </c>
    </row>
    <row r="4782" spans="27:30" x14ac:dyDescent="0.3">
      <c r="AA4782" s="37">
        <v>4762</v>
      </c>
      <c r="AB4782" s="37">
        <v>1.7510923579236661</v>
      </c>
      <c r="AC4782" s="37">
        <v>2.8749721750490633</v>
      </c>
      <c r="AD4782" s="37">
        <v>3.3932476133511273</v>
      </c>
    </row>
    <row r="4783" spans="27:30" x14ac:dyDescent="0.3">
      <c r="AA4783" s="37">
        <v>4763</v>
      </c>
      <c r="AB4783" s="37">
        <v>1.6478744906882152</v>
      </c>
      <c r="AC4783" s="37">
        <v>2.9736143071052532</v>
      </c>
      <c r="AD4783" s="37">
        <v>3.3563402026529316</v>
      </c>
    </row>
    <row r="4784" spans="27:30" x14ac:dyDescent="0.3">
      <c r="AA4784" s="37">
        <v>4764</v>
      </c>
      <c r="AB4784" s="37">
        <v>1.6736894626301666</v>
      </c>
      <c r="AC4784" s="37">
        <v>2.7951176179797281</v>
      </c>
      <c r="AD4784" s="37">
        <v>3.19410830079747</v>
      </c>
    </row>
    <row r="4785" spans="27:30" x14ac:dyDescent="0.3">
      <c r="AA4785" s="37">
        <v>4765</v>
      </c>
      <c r="AB4785" s="37">
        <v>1.849284477104896</v>
      </c>
      <c r="AC4785" s="37">
        <v>2.8086767448604761</v>
      </c>
      <c r="AD4785" s="37">
        <v>3.3038292833050105</v>
      </c>
    </row>
    <row r="4786" spans="27:30" x14ac:dyDescent="0.3">
      <c r="AA4786" s="37">
        <v>4766</v>
      </c>
      <c r="AB4786" s="37">
        <v>1.8542930400775264</v>
      </c>
      <c r="AC4786" s="37">
        <v>2.8785015206353375</v>
      </c>
      <c r="AD4786" s="37">
        <v>3.3253789708755677</v>
      </c>
    </row>
    <row r="4787" spans="27:30" x14ac:dyDescent="0.3">
      <c r="AA4787" s="37">
        <v>4767</v>
      </c>
      <c r="AB4787" s="37">
        <v>1.6903858105181195</v>
      </c>
      <c r="AC4787" s="37">
        <v>2.7343778516418995</v>
      </c>
      <c r="AD4787" s="37">
        <v>3.3115369998759445</v>
      </c>
    </row>
    <row r="4788" spans="27:30" x14ac:dyDescent="0.3">
      <c r="AA4788" s="37">
        <v>4768</v>
      </c>
      <c r="AB4788" s="37">
        <v>1.8189166235189624</v>
      </c>
      <c r="AC4788" s="37">
        <v>2.7842244735253785</v>
      </c>
      <c r="AD4788" s="37">
        <v>3.2966272725127435</v>
      </c>
    </row>
    <row r="4789" spans="27:30" x14ac:dyDescent="0.3">
      <c r="AA4789" s="37">
        <v>4769</v>
      </c>
      <c r="AB4789" s="37">
        <v>1.8063243894505239</v>
      </c>
      <c r="AC4789" s="37">
        <v>2.6291037860056461</v>
      </c>
      <c r="AD4789" s="37">
        <v>3.2431406436785011</v>
      </c>
    </row>
    <row r="4790" spans="27:30" x14ac:dyDescent="0.3">
      <c r="AA4790" s="37">
        <v>4770</v>
      </c>
      <c r="AB4790" s="37">
        <v>1.7398529053895599</v>
      </c>
      <c r="AC4790" s="37">
        <v>2.9292689722328316</v>
      </c>
      <c r="AD4790" s="37">
        <v>3.2338709592593426</v>
      </c>
    </row>
    <row r="4791" spans="27:30" x14ac:dyDescent="0.3">
      <c r="AA4791" s="37">
        <v>4771</v>
      </c>
      <c r="AB4791" s="37">
        <v>1.7623178805130946</v>
      </c>
      <c r="AC4791" s="37">
        <v>2.8121785140261872</v>
      </c>
      <c r="AD4791" s="37">
        <v>3.4489228777329148</v>
      </c>
    </row>
    <row r="4792" spans="27:30" x14ac:dyDescent="0.3">
      <c r="AA4792" s="37">
        <v>4772</v>
      </c>
      <c r="AB4792" s="37">
        <v>1.7882266749067319</v>
      </c>
      <c r="AC4792" s="37">
        <v>2.9976505037439209</v>
      </c>
      <c r="AD4792" s="37">
        <v>3.4121067826321387</v>
      </c>
    </row>
    <row r="4793" spans="27:30" x14ac:dyDescent="0.3">
      <c r="AA4793" s="37">
        <v>4773</v>
      </c>
      <c r="AB4793" s="37">
        <v>1.8212547711326217</v>
      </c>
      <c r="AC4793" s="37">
        <v>2.8968709956959975</v>
      </c>
      <c r="AD4793" s="37">
        <v>3.3157138359964375</v>
      </c>
    </row>
    <row r="4794" spans="27:30" x14ac:dyDescent="0.3">
      <c r="AA4794" s="37">
        <v>4774</v>
      </c>
      <c r="AB4794" s="37">
        <v>1.7459617653318222</v>
      </c>
      <c r="AC4794" s="37">
        <v>3.1730055739104728</v>
      </c>
      <c r="AD4794" s="37">
        <v>3.2894712020975101</v>
      </c>
    </row>
    <row r="4795" spans="27:30" x14ac:dyDescent="0.3">
      <c r="AA4795" s="37">
        <v>4775</v>
      </c>
      <c r="AB4795" s="37">
        <v>1.7954440645362302</v>
      </c>
      <c r="AC4795" s="37">
        <v>2.6401735950402454</v>
      </c>
      <c r="AD4795" s="37">
        <v>3.5004331070689569</v>
      </c>
    </row>
    <row r="4796" spans="27:30" x14ac:dyDescent="0.3">
      <c r="AA4796" s="37">
        <v>4776</v>
      </c>
      <c r="AB4796" s="37">
        <v>1.7628298447120057</v>
      </c>
      <c r="AC4796" s="37">
        <v>2.8625207537148811</v>
      </c>
      <c r="AD4796" s="37">
        <v>3.2008437439705992</v>
      </c>
    </row>
    <row r="4797" spans="27:30" x14ac:dyDescent="0.3">
      <c r="AA4797" s="37">
        <v>4777</v>
      </c>
      <c r="AB4797" s="37">
        <v>1.6807149739392058</v>
      </c>
      <c r="AC4797" s="37">
        <v>2.666441631802166</v>
      </c>
      <c r="AD4797" s="37">
        <v>3.4272437773184472</v>
      </c>
    </row>
    <row r="4798" spans="27:30" x14ac:dyDescent="0.3">
      <c r="AA4798" s="37">
        <v>4778</v>
      </c>
      <c r="AB4798" s="37">
        <v>1.8241428834843334</v>
      </c>
      <c r="AC4798" s="37">
        <v>3.0316304967693259</v>
      </c>
      <c r="AD4798" s="37">
        <v>3.269798728797114</v>
      </c>
    </row>
    <row r="4799" spans="27:30" x14ac:dyDescent="0.3">
      <c r="AA4799" s="37">
        <v>4779</v>
      </c>
      <c r="AB4799" s="37">
        <v>1.6562124044661277</v>
      </c>
      <c r="AC4799" s="37">
        <v>2.5784406154271688</v>
      </c>
      <c r="AD4799" s="37">
        <v>3.1925329404697655</v>
      </c>
    </row>
    <row r="4800" spans="27:30" x14ac:dyDescent="0.3">
      <c r="AA4800" s="37">
        <v>4780</v>
      </c>
      <c r="AB4800" s="37">
        <v>1.8628009880649505</v>
      </c>
      <c r="AC4800" s="37">
        <v>2.9392185138371412</v>
      </c>
      <c r="AD4800" s="37">
        <v>3.129647505916954</v>
      </c>
    </row>
    <row r="4801" spans="27:30" x14ac:dyDescent="0.3">
      <c r="AA4801" s="37">
        <v>4781</v>
      </c>
      <c r="AB4801" s="37">
        <v>1.8188874346924888</v>
      </c>
      <c r="AC4801" s="37">
        <v>2.8861902531483765</v>
      </c>
      <c r="AD4801" s="37">
        <v>3.2747071914371202</v>
      </c>
    </row>
    <row r="4802" spans="27:30" x14ac:dyDescent="0.3">
      <c r="AA4802" s="37">
        <v>4782</v>
      </c>
      <c r="AB4802" s="37">
        <v>1.7373985859576271</v>
      </c>
      <c r="AC4802" s="37">
        <v>2.7022343703108316</v>
      </c>
      <c r="AD4802" s="37">
        <v>3.1510258492812375</v>
      </c>
    </row>
    <row r="4803" spans="27:30" x14ac:dyDescent="0.3">
      <c r="AA4803" s="37">
        <v>4783</v>
      </c>
      <c r="AB4803" s="37">
        <v>1.7442290409052759</v>
      </c>
      <c r="AC4803" s="37">
        <v>2.7793191926423346</v>
      </c>
      <c r="AD4803" s="37">
        <v>3.4135267926307948</v>
      </c>
    </row>
    <row r="4804" spans="27:30" x14ac:dyDescent="0.3">
      <c r="AA4804" s="37">
        <v>4784</v>
      </c>
      <c r="AB4804" s="37">
        <v>1.7312777823592749</v>
      </c>
      <c r="AC4804" s="37">
        <v>2.6123231356505419</v>
      </c>
      <c r="AD4804" s="37">
        <v>3.2769276330232828</v>
      </c>
    </row>
    <row r="4805" spans="27:30" x14ac:dyDescent="0.3">
      <c r="AA4805" s="37">
        <v>4785</v>
      </c>
      <c r="AB4805" s="37">
        <v>1.8119063289720281</v>
      </c>
      <c r="AC4805" s="37">
        <v>3.030290434347553</v>
      </c>
      <c r="AD4805" s="37">
        <v>3.593663078210859</v>
      </c>
    </row>
    <row r="4806" spans="27:30" x14ac:dyDescent="0.3">
      <c r="AA4806" s="37">
        <v>4786</v>
      </c>
      <c r="AB4806" s="37">
        <v>1.8849162543051399</v>
      </c>
      <c r="AC4806" s="37">
        <v>2.8473781013984261</v>
      </c>
      <c r="AD4806" s="37">
        <v>3.2447006473509732</v>
      </c>
    </row>
    <row r="4807" spans="27:30" x14ac:dyDescent="0.3">
      <c r="AA4807" s="37">
        <v>4787</v>
      </c>
      <c r="AB4807" s="37">
        <v>1.743916124928969</v>
      </c>
      <c r="AC4807" s="37">
        <v>3.0968062127950557</v>
      </c>
      <c r="AD4807" s="37">
        <v>3.398984224098085</v>
      </c>
    </row>
    <row r="4808" spans="27:30" x14ac:dyDescent="0.3">
      <c r="AA4808" s="37">
        <v>4788</v>
      </c>
      <c r="AB4808" s="37">
        <v>1.751720136164858</v>
      </c>
      <c r="AC4808" s="37">
        <v>2.7475211881364281</v>
      </c>
      <c r="AD4808" s="37">
        <v>3.3796058944631189</v>
      </c>
    </row>
    <row r="4809" spans="27:30" x14ac:dyDescent="0.3">
      <c r="AA4809" s="37">
        <v>4789</v>
      </c>
      <c r="AB4809" s="37">
        <v>1.8133111832236806</v>
      </c>
      <c r="AC4809" s="37">
        <v>2.580661121966016</v>
      </c>
      <c r="AD4809" s="37">
        <v>3.1575996848750294</v>
      </c>
    </row>
    <row r="4810" spans="27:30" x14ac:dyDescent="0.3">
      <c r="AA4810" s="37">
        <v>4790</v>
      </c>
      <c r="AB4810" s="37">
        <v>1.7971619300913362</v>
      </c>
      <c r="AC4810" s="37">
        <v>2.7858123331982436</v>
      </c>
      <c r="AD4810" s="37">
        <v>3.1202130712248382</v>
      </c>
    </row>
    <row r="4811" spans="27:30" x14ac:dyDescent="0.3">
      <c r="AA4811" s="37">
        <v>4791</v>
      </c>
      <c r="AB4811" s="37">
        <v>1.7969894410332563</v>
      </c>
      <c r="AC4811" s="37">
        <v>2.8362087093779635</v>
      </c>
      <c r="AD4811" s="37">
        <v>3.3898430646708677</v>
      </c>
    </row>
    <row r="4812" spans="27:30" x14ac:dyDescent="0.3">
      <c r="AA4812" s="37">
        <v>4792</v>
      </c>
      <c r="AB4812" s="37">
        <v>1.7653887525437146</v>
      </c>
      <c r="AC4812" s="37">
        <v>2.7449095484762749</v>
      </c>
      <c r="AD4812" s="37">
        <v>3.3081166195670257</v>
      </c>
    </row>
    <row r="4813" spans="27:30" x14ac:dyDescent="0.3">
      <c r="AA4813" s="37">
        <v>4793</v>
      </c>
      <c r="AB4813" s="37">
        <v>1.7597004948651691</v>
      </c>
      <c r="AC4813" s="37">
        <v>2.987849636361922</v>
      </c>
      <c r="AD4813" s="37">
        <v>3.2440450854592076</v>
      </c>
    </row>
    <row r="4814" spans="27:30" x14ac:dyDescent="0.3">
      <c r="AA4814" s="37">
        <v>4794</v>
      </c>
      <c r="AB4814" s="37">
        <v>1.7769827549460258</v>
      </c>
      <c r="AC4814" s="37">
        <v>2.8888188323278863</v>
      </c>
      <c r="AD4814" s="37">
        <v>3.404050651627252</v>
      </c>
    </row>
    <row r="4815" spans="27:30" x14ac:dyDescent="0.3">
      <c r="AA4815" s="37">
        <v>4795</v>
      </c>
      <c r="AB4815" s="37">
        <v>1.6970651452101497</v>
      </c>
      <c r="AC4815" s="37">
        <v>3.0272029252492412</v>
      </c>
      <c r="AD4815" s="37">
        <v>3.1818338126630135</v>
      </c>
    </row>
    <row r="4816" spans="27:30" x14ac:dyDescent="0.3">
      <c r="AA4816" s="37">
        <v>4796</v>
      </c>
      <c r="AB4816" s="37">
        <v>1.745578272397369</v>
      </c>
      <c r="AC4816" s="37">
        <v>2.7800139921947689</v>
      </c>
      <c r="AD4816" s="37">
        <v>3.2103611902175557</v>
      </c>
    </row>
    <row r="4817" spans="27:30" x14ac:dyDescent="0.3">
      <c r="AA4817" s="37">
        <v>4797</v>
      </c>
      <c r="AB4817" s="37">
        <v>1.7727966869853073</v>
      </c>
      <c r="AC4817" s="37">
        <v>2.7506682236323865</v>
      </c>
      <c r="AD4817" s="37">
        <v>3.1659382165433327</v>
      </c>
    </row>
    <row r="4818" spans="27:30" x14ac:dyDescent="0.3">
      <c r="AA4818" s="37">
        <v>4798</v>
      </c>
      <c r="AB4818" s="37">
        <v>1.7039958261210961</v>
      </c>
      <c r="AC4818" s="37">
        <v>2.895080072806735</v>
      </c>
      <c r="AD4818" s="37">
        <v>3.5062498818821513</v>
      </c>
    </row>
    <row r="4819" spans="27:30" x14ac:dyDescent="0.3">
      <c r="AA4819" s="37">
        <v>4799</v>
      </c>
      <c r="AB4819" s="37">
        <v>1.7651841780015725</v>
      </c>
      <c r="AC4819" s="37">
        <v>2.8018546677261962</v>
      </c>
      <c r="AD4819" s="37">
        <v>3.113030971801189</v>
      </c>
    </row>
    <row r="4820" spans="27:30" x14ac:dyDescent="0.3">
      <c r="AA4820" s="37">
        <v>4800</v>
      </c>
      <c r="AB4820" s="37">
        <v>1.7839352341267549</v>
      </c>
      <c r="AC4820" s="37">
        <v>2.7469994368057775</v>
      </c>
      <c r="AD4820" s="37">
        <v>3.2727190512610522</v>
      </c>
    </row>
    <row r="4821" spans="27:30" x14ac:dyDescent="0.3">
      <c r="AA4821" s="37">
        <v>4801</v>
      </c>
      <c r="AB4821" s="37">
        <v>1.911294242763973</v>
      </c>
      <c r="AC4821" s="37">
        <v>2.825582799466972</v>
      </c>
      <c r="AD4821" s="37">
        <v>3.2929345197658595</v>
      </c>
    </row>
    <row r="4822" spans="27:30" x14ac:dyDescent="0.3">
      <c r="AA4822" s="37">
        <v>4802</v>
      </c>
      <c r="AB4822" s="37">
        <v>1.9463770699226131</v>
      </c>
      <c r="AC4822" s="37">
        <v>2.9143952661756085</v>
      </c>
      <c r="AD4822" s="37">
        <v>3.1689787223121</v>
      </c>
    </row>
    <row r="4823" spans="27:30" x14ac:dyDescent="0.3">
      <c r="AA4823" s="37">
        <v>4803</v>
      </c>
      <c r="AB4823" s="37">
        <v>1.7877322960255433</v>
      </c>
      <c r="AC4823" s="37">
        <v>2.7104427248226357</v>
      </c>
      <c r="AD4823" s="37">
        <v>3.3279860033185384</v>
      </c>
    </row>
    <row r="4824" spans="27:30" x14ac:dyDescent="0.3">
      <c r="AA4824" s="37">
        <v>4804</v>
      </c>
      <c r="AB4824" s="37">
        <v>1.6913601356839976</v>
      </c>
      <c r="AC4824" s="37">
        <v>2.7397988931183788</v>
      </c>
      <c r="AD4824" s="37">
        <v>3.4419405759699719</v>
      </c>
    </row>
    <row r="4825" spans="27:30" x14ac:dyDescent="0.3">
      <c r="AA4825" s="37">
        <v>4805</v>
      </c>
      <c r="AB4825" s="37">
        <v>1.8069251649995648</v>
      </c>
      <c r="AC4825" s="37">
        <v>2.9797208271293338</v>
      </c>
      <c r="AD4825" s="37">
        <v>3.2887968923748603</v>
      </c>
    </row>
    <row r="4826" spans="27:30" x14ac:dyDescent="0.3">
      <c r="AA4826" s="37">
        <v>4806</v>
      </c>
      <c r="AB4826" s="37">
        <v>1.930877809904209</v>
      </c>
      <c r="AC4826" s="37">
        <v>2.899199140928836</v>
      </c>
      <c r="AD4826" s="37">
        <v>3.3265974084595085</v>
      </c>
    </row>
    <row r="4827" spans="27:30" x14ac:dyDescent="0.3">
      <c r="AA4827" s="37">
        <v>4807</v>
      </c>
      <c r="AB4827" s="37">
        <v>1.7407290915999767</v>
      </c>
      <c r="AC4827" s="37">
        <v>2.8215099047150147</v>
      </c>
      <c r="AD4827" s="37">
        <v>3.1564312125425436</v>
      </c>
    </row>
    <row r="4828" spans="27:30" x14ac:dyDescent="0.3">
      <c r="AA4828" s="37">
        <v>4808</v>
      </c>
      <c r="AB4828" s="37">
        <v>1.7763774272907158</v>
      </c>
      <c r="AC4828" s="37">
        <v>2.8242773248977153</v>
      </c>
      <c r="AD4828" s="37">
        <v>3.325346157251682</v>
      </c>
    </row>
    <row r="4829" spans="27:30" x14ac:dyDescent="0.3">
      <c r="AA4829" s="37">
        <v>4809</v>
      </c>
      <c r="AB4829" s="37">
        <v>1.7115606422258038</v>
      </c>
      <c r="AC4829" s="37">
        <v>2.6847803443961351</v>
      </c>
      <c r="AD4829" s="37">
        <v>3.3615984506568868</v>
      </c>
    </row>
    <row r="4830" spans="27:30" x14ac:dyDescent="0.3">
      <c r="AA4830" s="37">
        <v>4810</v>
      </c>
      <c r="AB4830" s="37">
        <v>1.8337248677768392</v>
      </c>
      <c r="AC4830" s="37">
        <v>2.8325065067877695</v>
      </c>
      <c r="AD4830" s="37">
        <v>3.3418889813995389</v>
      </c>
    </row>
    <row r="4831" spans="27:30" x14ac:dyDescent="0.3">
      <c r="AA4831" s="37">
        <v>4811</v>
      </c>
      <c r="AB4831" s="37">
        <v>1.6602834799211359</v>
      </c>
      <c r="AC4831" s="37">
        <v>2.7639162067844754</v>
      </c>
      <c r="AD4831" s="37">
        <v>3.6377367250426738</v>
      </c>
    </row>
    <row r="4832" spans="27:30" x14ac:dyDescent="0.3">
      <c r="AA4832" s="37">
        <v>4812</v>
      </c>
      <c r="AB4832" s="37">
        <v>1.7437053631003412</v>
      </c>
      <c r="AC4832" s="37">
        <v>2.6867795332695845</v>
      </c>
      <c r="AD4832" s="37">
        <v>3.2650671865551333</v>
      </c>
    </row>
    <row r="4833" spans="27:30" x14ac:dyDescent="0.3">
      <c r="AA4833" s="37">
        <v>4813</v>
      </c>
      <c r="AB4833" s="37">
        <v>1.8154939141865201</v>
      </c>
      <c r="AC4833" s="37">
        <v>2.8409757514658049</v>
      </c>
      <c r="AD4833" s="37">
        <v>3.2759131130662031</v>
      </c>
    </row>
    <row r="4834" spans="27:30" x14ac:dyDescent="0.3">
      <c r="AA4834" s="37">
        <v>4814</v>
      </c>
      <c r="AB4834" s="37">
        <v>1.8113109813253103</v>
      </c>
      <c r="AC4834" s="37">
        <v>2.7222704979215249</v>
      </c>
      <c r="AD4834" s="37">
        <v>3.4637877550237017</v>
      </c>
    </row>
    <row r="4835" spans="27:30" x14ac:dyDescent="0.3">
      <c r="AA4835" s="37">
        <v>4815</v>
      </c>
      <c r="AB4835" s="37">
        <v>1.6362543152515243</v>
      </c>
      <c r="AC4835" s="37">
        <v>2.9399407414776326</v>
      </c>
      <c r="AD4835" s="37">
        <v>3.4779546255563343</v>
      </c>
    </row>
    <row r="4836" spans="27:30" x14ac:dyDescent="0.3">
      <c r="AA4836" s="37">
        <v>4816</v>
      </c>
      <c r="AB4836" s="37">
        <v>1.7661810923874093</v>
      </c>
      <c r="AC4836" s="37">
        <v>2.7431943656389883</v>
      </c>
      <c r="AD4836" s="37">
        <v>3.6219976191654149</v>
      </c>
    </row>
    <row r="4837" spans="27:30" x14ac:dyDescent="0.3">
      <c r="AA4837" s="37">
        <v>4817</v>
      </c>
      <c r="AB4837" s="37">
        <v>1.8793384301900493</v>
      </c>
      <c r="AC4837" s="37">
        <v>2.8106275146332789</v>
      </c>
      <c r="AD4837" s="37">
        <v>3.5462124070871242</v>
      </c>
    </row>
    <row r="4838" spans="27:30" x14ac:dyDescent="0.3">
      <c r="AA4838" s="37">
        <v>4818</v>
      </c>
      <c r="AB4838" s="37">
        <v>1.7616771303585694</v>
      </c>
      <c r="AC4838" s="37">
        <v>2.8691915850033207</v>
      </c>
      <c r="AD4838" s="37">
        <v>3.2100300301029057</v>
      </c>
    </row>
    <row r="4839" spans="27:30" x14ac:dyDescent="0.3">
      <c r="AA4839" s="37">
        <v>4819</v>
      </c>
      <c r="AB4839" s="37">
        <v>1.7478879789068269</v>
      </c>
      <c r="AC4839" s="37">
        <v>2.7730203215649181</v>
      </c>
      <c r="AD4839" s="37">
        <v>3.4117839455970129</v>
      </c>
    </row>
    <row r="4840" spans="27:30" x14ac:dyDescent="0.3">
      <c r="AA4840" s="37">
        <v>4820</v>
      </c>
      <c r="AB4840" s="37">
        <v>1.7865810516544207</v>
      </c>
      <c r="AC4840" s="37">
        <v>2.8318078054201261</v>
      </c>
      <c r="AD4840" s="37">
        <v>3.3134700648172792</v>
      </c>
    </row>
    <row r="4841" spans="27:30" x14ac:dyDescent="0.3">
      <c r="AA4841" s="37">
        <v>4821</v>
      </c>
      <c r="AB4841" s="37">
        <v>1.9018147371541745</v>
      </c>
      <c r="AC4841" s="37">
        <v>2.7637809139068445</v>
      </c>
      <c r="AD4841" s="37">
        <v>3.2665033002374435</v>
      </c>
    </row>
    <row r="4842" spans="27:30" x14ac:dyDescent="0.3">
      <c r="AA4842" s="37">
        <v>4822</v>
      </c>
      <c r="AB4842" s="37">
        <v>1.6917507375410459</v>
      </c>
      <c r="AC4842" s="37">
        <v>2.9522033412867099</v>
      </c>
      <c r="AD4842" s="37">
        <v>3.3383234037225349</v>
      </c>
    </row>
    <row r="4843" spans="27:30" x14ac:dyDescent="0.3">
      <c r="AA4843" s="37">
        <v>4823</v>
      </c>
      <c r="AB4843" s="37">
        <v>1.8270808511513594</v>
      </c>
      <c r="AC4843" s="37">
        <v>2.8407708954292485</v>
      </c>
      <c r="AD4843" s="37">
        <v>3.3889696500400022</v>
      </c>
    </row>
    <row r="4844" spans="27:30" x14ac:dyDescent="0.3">
      <c r="AA4844" s="37">
        <v>4824</v>
      </c>
      <c r="AB4844" s="37">
        <v>1.7103834511240286</v>
      </c>
      <c r="AC4844" s="37">
        <v>2.6722823432665019</v>
      </c>
      <c r="AD4844" s="37">
        <v>3.3048039527950124</v>
      </c>
    </row>
    <row r="4845" spans="27:30" x14ac:dyDescent="0.3">
      <c r="AA4845" s="37">
        <v>4825</v>
      </c>
      <c r="AB4845" s="37">
        <v>1.7378168753882046</v>
      </c>
      <c r="AC4845" s="37">
        <v>2.8324686693088119</v>
      </c>
      <c r="AD4845" s="37">
        <v>3.3234566052951804</v>
      </c>
    </row>
    <row r="4846" spans="27:30" x14ac:dyDescent="0.3">
      <c r="AA4846" s="37">
        <v>4826</v>
      </c>
      <c r="AB4846" s="37">
        <v>1.9011446472079336</v>
      </c>
      <c r="AC4846" s="37">
        <v>3.0796996146010436</v>
      </c>
      <c r="AD4846" s="37">
        <v>3.3227307888096411</v>
      </c>
    </row>
    <row r="4847" spans="27:30" x14ac:dyDescent="0.3">
      <c r="AA4847" s="37">
        <v>4827</v>
      </c>
      <c r="AB4847" s="37">
        <v>1.8373489818521491</v>
      </c>
      <c r="AC4847" s="37">
        <v>2.7987190496847116</v>
      </c>
      <c r="AD4847" s="37">
        <v>3.4874541220550435</v>
      </c>
    </row>
    <row r="4848" spans="27:30" x14ac:dyDescent="0.3">
      <c r="AA4848" s="37">
        <v>4828</v>
      </c>
      <c r="AB4848" s="37">
        <v>1.8763304643786636</v>
      </c>
      <c r="AC4848" s="37">
        <v>2.9196719077286835</v>
      </c>
      <c r="AD4848" s="37">
        <v>3.1563067378263354</v>
      </c>
    </row>
    <row r="4849" spans="27:30" x14ac:dyDescent="0.3">
      <c r="AA4849" s="37">
        <v>4829</v>
      </c>
      <c r="AB4849" s="37">
        <v>1.7817816756237221</v>
      </c>
      <c r="AC4849" s="37">
        <v>2.852792305362263</v>
      </c>
      <c r="AD4849" s="37">
        <v>3.3176487329670961</v>
      </c>
    </row>
    <row r="4850" spans="27:30" x14ac:dyDescent="0.3">
      <c r="AA4850" s="37">
        <v>4830</v>
      </c>
      <c r="AB4850" s="37">
        <v>1.805224181765682</v>
      </c>
      <c r="AC4850" s="37">
        <v>2.8441209262640958</v>
      </c>
      <c r="AD4850" s="37">
        <v>3.2999400385787903</v>
      </c>
    </row>
    <row r="4851" spans="27:30" x14ac:dyDescent="0.3">
      <c r="AA4851" s="37">
        <v>4831</v>
      </c>
      <c r="AB4851" s="37">
        <v>1.7478677262323643</v>
      </c>
      <c r="AC4851" s="37">
        <v>2.8550575101327169</v>
      </c>
      <c r="AD4851" s="37">
        <v>3.4298891294668961</v>
      </c>
    </row>
    <row r="4852" spans="27:30" x14ac:dyDescent="0.3">
      <c r="AA4852" s="37">
        <v>4832</v>
      </c>
      <c r="AB4852" s="37">
        <v>1.8100333530844095</v>
      </c>
      <c r="AC4852" s="37">
        <v>2.9780177933648044</v>
      </c>
      <c r="AD4852" s="37">
        <v>3.2815507746944275</v>
      </c>
    </row>
    <row r="4853" spans="27:30" x14ac:dyDescent="0.3">
      <c r="AA4853" s="37">
        <v>4833</v>
      </c>
      <c r="AB4853" s="37">
        <v>1.7092863062543109</v>
      </c>
      <c r="AC4853" s="37">
        <v>2.6891503532304393</v>
      </c>
      <c r="AD4853" s="37">
        <v>3.1598282982178931</v>
      </c>
    </row>
    <row r="4854" spans="27:30" x14ac:dyDescent="0.3">
      <c r="AA4854" s="37">
        <v>4834</v>
      </c>
      <c r="AB4854" s="37">
        <v>1.8497344188858504</v>
      </c>
      <c r="AC4854" s="37">
        <v>2.9728464537085366</v>
      </c>
      <c r="AD4854" s="37">
        <v>3.4916616045882862</v>
      </c>
    </row>
    <row r="4855" spans="27:30" x14ac:dyDescent="0.3">
      <c r="AA4855" s="37">
        <v>4835</v>
      </c>
      <c r="AB4855" s="37">
        <v>1.7000907497501336</v>
      </c>
      <c r="AC4855" s="37">
        <v>2.6784562179489426</v>
      </c>
      <c r="AD4855" s="37">
        <v>3.3669382338451879</v>
      </c>
    </row>
    <row r="4856" spans="27:30" x14ac:dyDescent="0.3">
      <c r="AA4856" s="37">
        <v>4836</v>
      </c>
      <c r="AB4856" s="37">
        <v>1.8684827253158198</v>
      </c>
      <c r="AC4856" s="37">
        <v>2.8395474639963103</v>
      </c>
      <c r="AD4856" s="37">
        <v>3.344940241403398</v>
      </c>
    </row>
    <row r="4857" spans="27:30" x14ac:dyDescent="0.3">
      <c r="AA4857" s="37">
        <v>4837</v>
      </c>
      <c r="AB4857" s="37">
        <v>1.607688872397522</v>
      </c>
      <c r="AC4857" s="37">
        <v>3.0038960008389939</v>
      </c>
      <c r="AD4857" s="37">
        <v>3.384084163728958</v>
      </c>
    </row>
    <row r="4858" spans="27:30" x14ac:dyDescent="0.3">
      <c r="AA4858" s="37">
        <v>4838</v>
      </c>
      <c r="AB4858" s="37">
        <v>1.6944378652536314</v>
      </c>
      <c r="AC4858" s="37">
        <v>2.6794828720977684</v>
      </c>
      <c r="AD4858" s="37">
        <v>3.3743316742896354</v>
      </c>
    </row>
    <row r="4859" spans="27:30" x14ac:dyDescent="0.3">
      <c r="AA4859" s="37">
        <v>4839</v>
      </c>
      <c r="AB4859" s="37">
        <v>1.8153122387210561</v>
      </c>
      <c r="AC4859" s="37">
        <v>2.9899565024642194</v>
      </c>
      <c r="AD4859" s="37">
        <v>3.2930007925337694</v>
      </c>
    </row>
    <row r="4860" spans="27:30" x14ac:dyDescent="0.3">
      <c r="AA4860" s="37">
        <v>4840</v>
      </c>
      <c r="AB4860" s="37">
        <v>1.7167120006854448</v>
      </c>
      <c r="AC4860" s="37">
        <v>2.7894775334435247</v>
      </c>
      <c r="AD4860" s="37">
        <v>3.1968193002279461</v>
      </c>
    </row>
    <row r="4861" spans="27:30" x14ac:dyDescent="0.3">
      <c r="AA4861" s="37">
        <v>4841</v>
      </c>
      <c r="AB4861" s="37">
        <v>1.7814340155571677</v>
      </c>
      <c r="AC4861" s="37">
        <v>3.032874829106476</v>
      </c>
      <c r="AD4861" s="37">
        <v>3.6008077415023818</v>
      </c>
    </row>
    <row r="4862" spans="27:30" x14ac:dyDescent="0.3">
      <c r="AA4862" s="37">
        <v>4842</v>
      </c>
      <c r="AB4862" s="37">
        <v>1.8414693008185814</v>
      </c>
      <c r="AC4862" s="37">
        <v>2.9589862981382038</v>
      </c>
      <c r="AD4862" s="37">
        <v>3.3236141971934758</v>
      </c>
    </row>
    <row r="4863" spans="27:30" x14ac:dyDescent="0.3">
      <c r="AA4863" s="37">
        <v>4843</v>
      </c>
      <c r="AB4863" s="37">
        <v>1.6896750980683599</v>
      </c>
      <c r="AC4863" s="37">
        <v>2.7266624498334395</v>
      </c>
      <c r="AD4863" s="37">
        <v>3.3525507284444824</v>
      </c>
    </row>
    <row r="4864" spans="27:30" x14ac:dyDescent="0.3">
      <c r="AA4864" s="37">
        <v>4844</v>
      </c>
      <c r="AB4864" s="37">
        <v>1.7272955954987446</v>
      </c>
      <c r="AC4864" s="37">
        <v>2.8140691142459358</v>
      </c>
      <c r="AD4864" s="37">
        <v>3.4092939284608406</v>
      </c>
    </row>
    <row r="4865" spans="27:30" x14ac:dyDescent="0.3">
      <c r="AA4865" s="37">
        <v>4845</v>
      </c>
      <c r="AB4865" s="37">
        <v>1.7959876882028623</v>
      </c>
      <c r="AC4865" s="37">
        <v>3.0647292385086775</v>
      </c>
      <c r="AD4865" s="37">
        <v>3.3056537146514176</v>
      </c>
    </row>
    <row r="4866" spans="27:30" x14ac:dyDescent="0.3">
      <c r="AA4866" s="37">
        <v>4846</v>
      </c>
      <c r="AB4866" s="37">
        <v>1.8639166095163231</v>
      </c>
      <c r="AC4866" s="37">
        <v>2.7176399169928129</v>
      </c>
      <c r="AD4866" s="37">
        <v>3.1647827672635147</v>
      </c>
    </row>
    <row r="4867" spans="27:30" x14ac:dyDescent="0.3">
      <c r="AA4867" s="37">
        <v>4847</v>
      </c>
      <c r="AB4867" s="37">
        <v>1.7537226869731157</v>
      </c>
      <c r="AC4867" s="37">
        <v>2.8502384470046502</v>
      </c>
      <c r="AD4867" s="37">
        <v>3.2589132596099488</v>
      </c>
    </row>
    <row r="4868" spans="27:30" x14ac:dyDescent="0.3">
      <c r="AA4868" s="37">
        <v>4848</v>
      </c>
      <c r="AB4868" s="37">
        <v>1.7480525237555209</v>
      </c>
      <c r="AC4868" s="37">
        <v>2.859032931322786</v>
      </c>
      <c r="AD4868" s="37">
        <v>3.2582250982404846</v>
      </c>
    </row>
    <row r="4869" spans="27:30" x14ac:dyDescent="0.3">
      <c r="AA4869" s="37">
        <v>4849</v>
      </c>
      <c r="AB4869" s="37">
        <v>1.8038945280787102</v>
      </c>
      <c r="AC4869" s="37">
        <v>3.020372339498024</v>
      </c>
      <c r="AD4869" s="37">
        <v>3.3403862673220908</v>
      </c>
    </row>
    <row r="4870" spans="27:30" x14ac:dyDescent="0.3">
      <c r="AA4870" s="37">
        <v>4850</v>
      </c>
      <c r="AB4870" s="37">
        <v>1.7767701349085676</v>
      </c>
      <c r="AC4870" s="37">
        <v>2.8024719135586618</v>
      </c>
      <c r="AD4870" s="37">
        <v>3.450496876697728</v>
      </c>
    </row>
    <row r="4871" spans="27:30" x14ac:dyDescent="0.3">
      <c r="AA4871" s="37">
        <v>4851</v>
      </c>
      <c r="AB4871" s="37">
        <v>1.751420288902549</v>
      </c>
      <c r="AC4871" s="37">
        <v>2.8903846079805611</v>
      </c>
      <c r="AD4871" s="37">
        <v>3.0163061710527757</v>
      </c>
    </row>
    <row r="4872" spans="27:30" x14ac:dyDescent="0.3">
      <c r="AA4872" s="37">
        <v>4852</v>
      </c>
      <c r="AB4872" s="37">
        <v>1.8149040055623551</v>
      </c>
      <c r="AC4872" s="37">
        <v>2.7841926132065731</v>
      </c>
      <c r="AD4872" s="37">
        <v>3.5274977163176024</v>
      </c>
    </row>
    <row r="4873" spans="27:30" x14ac:dyDescent="0.3">
      <c r="AA4873" s="37">
        <v>4853</v>
      </c>
      <c r="AB4873" s="37">
        <v>1.7566946168596393</v>
      </c>
      <c r="AC4873" s="37">
        <v>2.9496628092610613</v>
      </c>
      <c r="AD4873" s="37">
        <v>3.4117911602108926</v>
      </c>
    </row>
    <row r="4874" spans="27:30" x14ac:dyDescent="0.3">
      <c r="AA4874" s="37">
        <v>4854</v>
      </c>
      <c r="AB4874" s="37">
        <v>1.8805398564347058</v>
      </c>
      <c r="AC4874" s="37">
        <v>2.9487046395108565</v>
      </c>
      <c r="AD4874" s="37">
        <v>3.3735841330338077</v>
      </c>
    </row>
    <row r="4875" spans="27:30" x14ac:dyDescent="0.3">
      <c r="AA4875" s="37">
        <v>4855</v>
      </c>
      <c r="AB4875" s="37">
        <v>1.7572574940416517</v>
      </c>
      <c r="AC4875" s="37">
        <v>2.8750149452338212</v>
      </c>
      <c r="AD4875" s="37">
        <v>3.3267719443985602</v>
      </c>
    </row>
    <row r="4876" spans="27:30" x14ac:dyDescent="0.3">
      <c r="AA4876" s="37">
        <v>4856</v>
      </c>
      <c r="AB4876" s="37">
        <v>1.701680286062448</v>
      </c>
      <c r="AC4876" s="37">
        <v>2.8681143780174732</v>
      </c>
      <c r="AD4876" s="37">
        <v>3.5425514145122565</v>
      </c>
    </row>
    <row r="4877" spans="27:30" x14ac:dyDescent="0.3">
      <c r="AA4877" s="37">
        <v>4857</v>
      </c>
      <c r="AB4877" s="37">
        <v>1.7893165282497554</v>
      </c>
      <c r="AC4877" s="37">
        <v>2.6989941734752798</v>
      </c>
      <c r="AD4877" s="37">
        <v>3.5765014730462377</v>
      </c>
    </row>
    <row r="4878" spans="27:30" x14ac:dyDescent="0.3">
      <c r="AA4878" s="37">
        <v>4858</v>
      </c>
      <c r="AB4878" s="37">
        <v>1.8378019604327291</v>
      </c>
      <c r="AC4878" s="37">
        <v>2.6849097309361198</v>
      </c>
      <c r="AD4878" s="37">
        <v>3.081946386038537</v>
      </c>
    </row>
    <row r="4879" spans="27:30" x14ac:dyDescent="0.3">
      <c r="AA4879" s="37">
        <v>4859</v>
      </c>
      <c r="AB4879" s="37">
        <v>1.8140918329011724</v>
      </c>
      <c r="AC4879" s="37">
        <v>2.7687402545794368</v>
      </c>
      <c r="AD4879" s="37">
        <v>3.3418813131525167</v>
      </c>
    </row>
    <row r="4880" spans="27:30" x14ac:dyDescent="0.3">
      <c r="AA4880" s="37">
        <v>4860</v>
      </c>
      <c r="AB4880" s="37">
        <v>1.7866083566084787</v>
      </c>
      <c r="AC4880" s="37">
        <v>3.0364013653786364</v>
      </c>
      <c r="AD4880" s="37">
        <v>3.3770385759492294</v>
      </c>
    </row>
    <row r="4881" spans="27:30" x14ac:dyDescent="0.3">
      <c r="AA4881" s="37">
        <v>4861</v>
      </c>
      <c r="AB4881" s="37">
        <v>1.7884590552410409</v>
      </c>
      <c r="AC4881" s="37">
        <v>2.9064407499312677</v>
      </c>
      <c r="AD4881" s="37">
        <v>3.1074845863132494</v>
      </c>
    </row>
    <row r="4882" spans="27:30" x14ac:dyDescent="0.3">
      <c r="AA4882" s="37">
        <v>4862</v>
      </c>
      <c r="AB4882" s="37">
        <v>1.8020565908337747</v>
      </c>
      <c r="AC4882" s="37">
        <v>2.7363831486133616</v>
      </c>
      <c r="AD4882" s="37">
        <v>3.3813799211252586</v>
      </c>
    </row>
    <row r="4883" spans="27:30" x14ac:dyDescent="0.3">
      <c r="AA4883" s="37">
        <v>4863</v>
      </c>
      <c r="AB4883" s="37">
        <v>1.8769480406338499</v>
      </c>
      <c r="AC4883" s="37">
        <v>2.8905407721082872</v>
      </c>
      <c r="AD4883" s="37">
        <v>3.3590985997334495</v>
      </c>
    </row>
    <row r="4884" spans="27:30" x14ac:dyDescent="0.3">
      <c r="AA4884" s="37">
        <v>4864</v>
      </c>
      <c r="AB4884" s="37">
        <v>1.7051254558874054</v>
      </c>
      <c r="AC4884" s="37">
        <v>2.8062675655929139</v>
      </c>
      <c r="AD4884" s="37">
        <v>3.5722891247956676</v>
      </c>
    </row>
    <row r="4885" spans="27:30" x14ac:dyDescent="0.3">
      <c r="AA4885" s="37">
        <v>4865</v>
      </c>
      <c r="AB4885" s="37">
        <v>1.6224656945521938</v>
      </c>
      <c r="AC4885" s="37">
        <v>2.8523482349712417</v>
      </c>
      <c r="AD4885" s="37">
        <v>3.2529742796776731</v>
      </c>
    </row>
    <row r="4886" spans="27:30" x14ac:dyDescent="0.3">
      <c r="AA4886" s="37">
        <v>4866</v>
      </c>
      <c r="AB4886" s="37">
        <v>1.6506972337856214</v>
      </c>
      <c r="AC4886" s="37">
        <v>2.7671830887002007</v>
      </c>
      <c r="AD4886" s="37">
        <v>3.3854906135424123</v>
      </c>
    </row>
    <row r="4887" spans="27:30" x14ac:dyDescent="0.3">
      <c r="AA4887" s="37">
        <v>4867</v>
      </c>
      <c r="AB4887" s="37">
        <v>1.8722619518748909</v>
      </c>
      <c r="AC4887" s="37">
        <v>3.0532560909427588</v>
      </c>
      <c r="AD4887" s="37">
        <v>3.4474377524786988</v>
      </c>
    </row>
    <row r="4888" spans="27:30" x14ac:dyDescent="0.3">
      <c r="AA4888" s="37">
        <v>4868</v>
      </c>
      <c r="AB4888" s="37">
        <v>1.8337942108831637</v>
      </c>
      <c r="AC4888" s="37">
        <v>2.9885797056780148</v>
      </c>
      <c r="AD4888" s="37">
        <v>3.4135515023602068</v>
      </c>
    </row>
    <row r="4889" spans="27:30" x14ac:dyDescent="0.3">
      <c r="AA4889" s="37">
        <v>4869</v>
      </c>
      <c r="AB4889" s="37">
        <v>1.8074953231782513</v>
      </c>
      <c r="AC4889" s="37">
        <v>2.9228231902927462</v>
      </c>
      <c r="AD4889" s="37">
        <v>3.3316285993629462</v>
      </c>
    </row>
    <row r="4890" spans="27:30" x14ac:dyDescent="0.3">
      <c r="AA4890" s="37">
        <v>4870</v>
      </c>
      <c r="AB4890" s="37">
        <v>1.7419182501499497</v>
      </c>
      <c r="AC4890" s="37">
        <v>2.8984921418752316</v>
      </c>
      <c r="AD4890" s="37">
        <v>3.2078489944875708</v>
      </c>
    </row>
    <row r="4891" spans="27:30" x14ac:dyDescent="0.3">
      <c r="AA4891" s="37">
        <v>4871</v>
      </c>
      <c r="AB4891" s="37">
        <v>1.8058826821347296</v>
      </c>
      <c r="AC4891" s="37">
        <v>3.031804529005556</v>
      </c>
      <c r="AD4891" s="37">
        <v>3.2832920391728875</v>
      </c>
    </row>
    <row r="4892" spans="27:30" x14ac:dyDescent="0.3">
      <c r="AA4892" s="37">
        <v>4872</v>
      </c>
      <c r="AB4892" s="37">
        <v>1.7188284689109756</v>
      </c>
      <c r="AC4892" s="37">
        <v>2.9115727673649912</v>
      </c>
      <c r="AD4892" s="37">
        <v>3.3966430409197708</v>
      </c>
    </row>
    <row r="4893" spans="27:30" x14ac:dyDescent="0.3">
      <c r="AA4893" s="37">
        <v>4873</v>
      </c>
      <c r="AB4893" s="37">
        <v>1.8582052715772948</v>
      </c>
      <c r="AC4893" s="37">
        <v>2.6770245599144147</v>
      </c>
      <c r="AD4893" s="37">
        <v>3.2600721456471815</v>
      </c>
    </row>
    <row r="4894" spans="27:30" x14ac:dyDescent="0.3">
      <c r="AA4894" s="37">
        <v>4874</v>
      </c>
      <c r="AB4894" s="37">
        <v>1.7731524419269913</v>
      </c>
      <c r="AC4894" s="37">
        <v>2.6645083334138753</v>
      </c>
      <c r="AD4894" s="37">
        <v>3.2102854789011808</v>
      </c>
    </row>
    <row r="4895" spans="27:30" x14ac:dyDescent="0.3">
      <c r="AA4895" s="37">
        <v>4875</v>
      </c>
      <c r="AB4895" s="37">
        <v>1.8065318688274645</v>
      </c>
      <c r="AC4895" s="37">
        <v>2.821168467396983</v>
      </c>
      <c r="AD4895" s="37">
        <v>3.5689922669604837</v>
      </c>
    </row>
    <row r="4896" spans="27:30" x14ac:dyDescent="0.3">
      <c r="AA4896" s="37">
        <v>4876</v>
      </c>
      <c r="AB4896" s="37">
        <v>1.779615996704438</v>
      </c>
      <c r="AC4896" s="37">
        <v>2.8851369279236385</v>
      </c>
      <c r="AD4896" s="37">
        <v>3.5151792252605727</v>
      </c>
    </row>
    <row r="4897" spans="27:30" x14ac:dyDescent="0.3">
      <c r="AA4897" s="37">
        <v>4877</v>
      </c>
      <c r="AB4897" s="37">
        <v>1.7710772597377464</v>
      </c>
      <c r="AC4897" s="37">
        <v>2.7761606613800733</v>
      </c>
      <c r="AD4897" s="37">
        <v>3.4670698121232055</v>
      </c>
    </row>
    <row r="4898" spans="27:30" x14ac:dyDescent="0.3">
      <c r="AA4898" s="37">
        <v>4878</v>
      </c>
      <c r="AB4898" s="37">
        <v>1.8181697511454615</v>
      </c>
      <c r="AC4898" s="37">
        <v>2.7952839984313496</v>
      </c>
      <c r="AD4898" s="37">
        <v>3.3169823603752002</v>
      </c>
    </row>
    <row r="4899" spans="27:30" x14ac:dyDescent="0.3">
      <c r="AA4899" s="37">
        <v>4879</v>
      </c>
      <c r="AB4899" s="37">
        <v>1.81897592456186</v>
      </c>
      <c r="AC4899" s="37">
        <v>2.9613153808297445</v>
      </c>
      <c r="AD4899" s="37">
        <v>3.2188372780974572</v>
      </c>
    </row>
    <row r="4900" spans="27:30" x14ac:dyDescent="0.3">
      <c r="AA4900" s="37">
        <v>4880</v>
      </c>
      <c r="AB4900" s="37">
        <v>1.8295405414604018</v>
      </c>
      <c r="AC4900" s="37">
        <v>2.7823897658763372</v>
      </c>
      <c r="AD4900" s="37">
        <v>3.2162978478476156</v>
      </c>
    </row>
    <row r="4901" spans="27:30" x14ac:dyDescent="0.3">
      <c r="AA4901" s="37">
        <v>4881</v>
      </c>
      <c r="AB4901" s="37">
        <v>1.7905975548217261</v>
      </c>
      <c r="AC4901" s="37">
        <v>2.8539631283287932</v>
      </c>
      <c r="AD4901" s="37">
        <v>3.6284963262983667</v>
      </c>
    </row>
    <row r="4902" spans="27:30" x14ac:dyDescent="0.3">
      <c r="AA4902" s="37">
        <v>4882</v>
      </c>
      <c r="AB4902" s="37">
        <v>1.8524779652695393</v>
      </c>
      <c r="AC4902" s="37">
        <v>2.8876564377060263</v>
      </c>
      <c r="AD4902" s="37">
        <v>3.3663670916275259</v>
      </c>
    </row>
    <row r="4903" spans="27:30" x14ac:dyDescent="0.3">
      <c r="AA4903" s="37">
        <v>4883</v>
      </c>
      <c r="AB4903" s="37">
        <v>1.7013250685164423</v>
      </c>
      <c r="AC4903" s="37">
        <v>2.8571954686709504</v>
      </c>
      <c r="AD4903" s="37">
        <v>3.3042390743937782</v>
      </c>
    </row>
    <row r="4904" spans="27:30" x14ac:dyDescent="0.3">
      <c r="AA4904" s="37">
        <v>4884</v>
      </c>
      <c r="AB4904" s="37">
        <v>1.7042323989287378</v>
      </c>
      <c r="AC4904" s="37">
        <v>2.9554808375337616</v>
      </c>
      <c r="AD4904" s="37">
        <v>3.2598939897667214</v>
      </c>
    </row>
    <row r="4905" spans="27:30" x14ac:dyDescent="0.3">
      <c r="AA4905" s="37">
        <v>4885</v>
      </c>
      <c r="AB4905" s="37">
        <v>1.7805894713722743</v>
      </c>
      <c r="AC4905" s="37">
        <v>2.8693268740262052</v>
      </c>
      <c r="AD4905" s="37">
        <v>3.1284130170673379</v>
      </c>
    </row>
    <row r="4906" spans="27:30" x14ac:dyDescent="0.3">
      <c r="AA4906" s="37">
        <v>4886</v>
      </c>
      <c r="AB4906" s="37">
        <v>1.8012097976527996</v>
      </c>
      <c r="AC4906" s="37">
        <v>2.9635657820886849</v>
      </c>
      <c r="AD4906" s="37">
        <v>3.3692396757967549</v>
      </c>
    </row>
    <row r="4907" spans="27:30" x14ac:dyDescent="0.3">
      <c r="AA4907" s="37">
        <v>4887</v>
      </c>
      <c r="AB4907" s="37">
        <v>1.8237195446908827</v>
      </c>
      <c r="AC4907" s="37">
        <v>2.8596877041738153</v>
      </c>
      <c r="AD4907" s="37">
        <v>3.2324278571576883</v>
      </c>
    </row>
    <row r="4908" spans="27:30" x14ac:dyDescent="0.3">
      <c r="AA4908" s="37">
        <v>4888</v>
      </c>
      <c r="AB4908" s="37">
        <v>1.8478348016125372</v>
      </c>
      <c r="AC4908" s="37">
        <v>2.9058741066799691</v>
      </c>
      <c r="AD4908" s="37">
        <v>3.371679537167771</v>
      </c>
    </row>
    <row r="4909" spans="27:30" x14ac:dyDescent="0.3">
      <c r="AA4909" s="37">
        <v>4889</v>
      </c>
      <c r="AB4909" s="37">
        <v>1.6897495472033595</v>
      </c>
      <c r="AC4909" s="37">
        <v>2.8596035008206906</v>
      </c>
      <c r="AD4909" s="37">
        <v>3.2133908142425183</v>
      </c>
    </row>
    <row r="4910" spans="27:30" x14ac:dyDescent="0.3">
      <c r="AA4910" s="37">
        <v>4890</v>
      </c>
      <c r="AB4910" s="37">
        <v>1.8905729961979565</v>
      </c>
      <c r="AC4910" s="37">
        <v>2.8629928764791939</v>
      </c>
      <c r="AD4910" s="37">
        <v>3.2131461787829108</v>
      </c>
    </row>
    <row r="4911" spans="27:30" x14ac:dyDescent="0.3">
      <c r="AA4911" s="37">
        <v>4891</v>
      </c>
      <c r="AB4911" s="37">
        <v>1.7765243120534924</v>
      </c>
      <c r="AC4911" s="37">
        <v>3.0191545669289379</v>
      </c>
      <c r="AD4911" s="37">
        <v>3.3348252153169406</v>
      </c>
    </row>
    <row r="4912" spans="27:30" x14ac:dyDescent="0.3">
      <c r="AA4912" s="37">
        <v>4892</v>
      </c>
      <c r="AB4912" s="37">
        <v>1.8842161301305174</v>
      </c>
      <c r="AC4912" s="37">
        <v>2.9553958694694042</v>
      </c>
      <c r="AD4912" s="37">
        <v>3.3875283574611421</v>
      </c>
    </row>
    <row r="4913" spans="27:30" x14ac:dyDescent="0.3">
      <c r="AA4913" s="37">
        <v>4893</v>
      </c>
      <c r="AB4913" s="37">
        <v>1.8365663697809793</v>
      </c>
      <c r="AC4913" s="37">
        <v>2.8936600241570987</v>
      </c>
      <c r="AD4913" s="37">
        <v>3.1532887905400488</v>
      </c>
    </row>
    <row r="4914" spans="27:30" x14ac:dyDescent="0.3">
      <c r="AA4914" s="37">
        <v>4894</v>
      </c>
      <c r="AB4914" s="37">
        <v>1.7735307922673178</v>
      </c>
      <c r="AC4914" s="37">
        <v>2.9240870499388776</v>
      </c>
      <c r="AD4914" s="37">
        <v>3.3481660263445807</v>
      </c>
    </row>
    <row r="4915" spans="27:30" x14ac:dyDescent="0.3">
      <c r="AA4915" s="37">
        <v>4895</v>
      </c>
      <c r="AB4915" s="37">
        <v>1.7232769577211575</v>
      </c>
      <c r="AC4915" s="37">
        <v>2.8849519315960448</v>
      </c>
      <c r="AD4915" s="37">
        <v>3.293799402595607</v>
      </c>
    </row>
    <row r="4916" spans="27:30" x14ac:dyDescent="0.3">
      <c r="AA4916" s="37">
        <v>4896</v>
      </c>
      <c r="AB4916" s="37">
        <v>1.7776090493571337</v>
      </c>
      <c r="AC4916" s="37">
        <v>2.8413861508924256</v>
      </c>
      <c r="AD4916" s="37">
        <v>3.4303552876741854</v>
      </c>
    </row>
    <row r="4917" spans="27:30" x14ac:dyDescent="0.3">
      <c r="AA4917" s="37">
        <v>4897</v>
      </c>
      <c r="AB4917" s="37">
        <v>1.8486919222673557</v>
      </c>
      <c r="AC4917" s="37">
        <v>2.795580023108398</v>
      </c>
      <c r="AD4917" s="37">
        <v>3.3587062359646023</v>
      </c>
    </row>
    <row r="4918" spans="27:30" x14ac:dyDescent="0.3">
      <c r="AA4918" s="37">
        <v>4898</v>
      </c>
      <c r="AB4918" s="37">
        <v>1.7825134738174342</v>
      </c>
      <c r="AC4918" s="37">
        <v>2.842282025810452</v>
      </c>
      <c r="AD4918" s="37">
        <v>3.1871603374844866</v>
      </c>
    </row>
    <row r="4919" spans="27:30" x14ac:dyDescent="0.3">
      <c r="AA4919" s="37">
        <v>4899</v>
      </c>
      <c r="AB4919" s="37">
        <v>1.7450849695553849</v>
      </c>
      <c r="AC4919" s="37">
        <v>2.8099724566674289</v>
      </c>
      <c r="AD4919" s="37">
        <v>3.2993770949893735</v>
      </c>
    </row>
    <row r="4920" spans="27:30" x14ac:dyDescent="0.3">
      <c r="AA4920" s="37">
        <v>4900</v>
      </c>
      <c r="AB4920" s="37">
        <v>1.6595190191613109</v>
      </c>
      <c r="AC4920" s="37">
        <v>2.7150472937925412</v>
      </c>
      <c r="AD4920" s="37">
        <v>3.2970269267962262</v>
      </c>
    </row>
    <row r="4921" spans="27:30" x14ac:dyDescent="0.3">
      <c r="AA4921" s="37">
        <v>4901</v>
      </c>
      <c r="AB4921" s="37">
        <v>1.7670257355728101</v>
      </c>
      <c r="AC4921" s="37">
        <v>2.794645859688365</v>
      </c>
      <c r="AD4921" s="37">
        <v>3.4225465338914867</v>
      </c>
    </row>
    <row r="4922" spans="27:30" x14ac:dyDescent="0.3">
      <c r="AA4922" s="37">
        <v>4902</v>
      </c>
      <c r="AB4922" s="37">
        <v>1.7765394908456522</v>
      </c>
      <c r="AC4922" s="37">
        <v>2.9024076780381347</v>
      </c>
      <c r="AD4922" s="37">
        <v>3.2718151987216753</v>
      </c>
    </row>
    <row r="4923" spans="27:30" x14ac:dyDescent="0.3">
      <c r="AA4923" s="37">
        <v>4903</v>
      </c>
      <c r="AB4923" s="37">
        <v>1.6981651036540182</v>
      </c>
      <c r="AC4923" s="37">
        <v>3.0718145275567688</v>
      </c>
      <c r="AD4923" s="37">
        <v>3.5532800975342869</v>
      </c>
    </row>
    <row r="4924" spans="27:30" x14ac:dyDescent="0.3">
      <c r="AA4924" s="37">
        <v>4904</v>
      </c>
      <c r="AB4924" s="37">
        <v>1.7901099490712649</v>
      </c>
      <c r="AC4924" s="37">
        <v>2.8412568183657503</v>
      </c>
      <c r="AD4924" s="37">
        <v>3.4945554808130272</v>
      </c>
    </row>
    <row r="4925" spans="27:30" x14ac:dyDescent="0.3">
      <c r="AA4925" s="37">
        <v>4905</v>
      </c>
      <c r="AB4925" s="37">
        <v>1.8511879619363916</v>
      </c>
      <c r="AC4925" s="37">
        <v>2.7650499052333486</v>
      </c>
      <c r="AD4925" s="37">
        <v>3.4757859943196676</v>
      </c>
    </row>
    <row r="4926" spans="27:30" x14ac:dyDescent="0.3">
      <c r="AA4926" s="37">
        <v>4906</v>
      </c>
      <c r="AB4926" s="37">
        <v>1.8006402724643109</v>
      </c>
      <c r="AC4926" s="37">
        <v>2.9501690732798105</v>
      </c>
      <c r="AD4926" s="37">
        <v>3.3397862284558744</v>
      </c>
    </row>
    <row r="4927" spans="27:30" x14ac:dyDescent="0.3">
      <c r="AA4927" s="37">
        <v>4907</v>
      </c>
      <c r="AB4927" s="37">
        <v>1.8271476570317482</v>
      </c>
      <c r="AC4927" s="37">
        <v>2.7939714795464377</v>
      </c>
      <c r="AD4927" s="37">
        <v>3.3966033270320026</v>
      </c>
    </row>
    <row r="4928" spans="27:30" x14ac:dyDescent="0.3">
      <c r="AA4928" s="37">
        <v>4908</v>
      </c>
      <c r="AB4928" s="37">
        <v>1.8632074784090982</v>
      </c>
      <c r="AC4928" s="37">
        <v>2.6722658869348557</v>
      </c>
      <c r="AD4928" s="37">
        <v>3.1850705456749742</v>
      </c>
    </row>
    <row r="4929" spans="27:30" x14ac:dyDescent="0.3">
      <c r="AA4929" s="37">
        <v>4909</v>
      </c>
      <c r="AB4929" s="37">
        <v>1.7280834883497098</v>
      </c>
      <c r="AC4929" s="37">
        <v>2.7401629921389645</v>
      </c>
      <c r="AD4929" s="37">
        <v>3.2684302339162699</v>
      </c>
    </row>
    <row r="4930" spans="27:30" x14ac:dyDescent="0.3">
      <c r="AA4930" s="37">
        <v>4910</v>
      </c>
      <c r="AB4930" s="37">
        <v>1.7439197070020243</v>
      </c>
      <c r="AC4930" s="37">
        <v>3.09203200241461</v>
      </c>
      <c r="AD4930" s="37">
        <v>3.0603481563935442</v>
      </c>
    </row>
    <row r="4931" spans="27:30" x14ac:dyDescent="0.3">
      <c r="AA4931" s="37">
        <v>4911</v>
      </c>
      <c r="AB4931" s="37">
        <v>1.7152973575180419</v>
      </c>
      <c r="AC4931" s="37">
        <v>2.7712082841033889</v>
      </c>
      <c r="AD4931" s="37">
        <v>3.4716520863122216</v>
      </c>
    </row>
    <row r="4932" spans="27:30" x14ac:dyDescent="0.3">
      <c r="AA4932" s="37">
        <v>4912</v>
      </c>
      <c r="AB4932" s="37">
        <v>1.7923334473824688</v>
      </c>
      <c r="AC4932" s="37">
        <v>2.8547004713489992</v>
      </c>
      <c r="AD4932" s="37">
        <v>3.1717269188388344</v>
      </c>
    </row>
    <row r="4933" spans="27:30" x14ac:dyDescent="0.3">
      <c r="AA4933" s="37">
        <v>4913</v>
      </c>
      <c r="AB4933" s="37">
        <v>1.8701617310361769</v>
      </c>
      <c r="AC4933" s="37">
        <v>2.7363906058749574</v>
      </c>
      <c r="AD4933" s="37">
        <v>3.2180535425133021</v>
      </c>
    </row>
    <row r="4934" spans="27:30" x14ac:dyDescent="0.3">
      <c r="AA4934" s="37">
        <v>4914</v>
      </c>
      <c r="AB4934" s="37">
        <v>1.9531676668032028</v>
      </c>
      <c r="AC4934" s="37">
        <v>2.6915889325996827</v>
      </c>
      <c r="AD4934" s="37">
        <v>3.4431927565880316</v>
      </c>
    </row>
    <row r="4935" spans="27:30" x14ac:dyDescent="0.3">
      <c r="AA4935" s="37">
        <v>4915</v>
      </c>
      <c r="AB4935" s="37">
        <v>1.7038211786607347</v>
      </c>
      <c r="AC4935" s="37">
        <v>2.7203925999267078</v>
      </c>
      <c r="AD4935" s="37">
        <v>3.1366289115950967</v>
      </c>
    </row>
    <row r="4936" spans="27:30" x14ac:dyDescent="0.3">
      <c r="AA4936" s="37">
        <v>4916</v>
      </c>
      <c r="AB4936" s="37">
        <v>1.924607794786197</v>
      </c>
      <c r="AC4936" s="37">
        <v>2.8638629496813888</v>
      </c>
      <c r="AD4936" s="37">
        <v>3.5921609611733074</v>
      </c>
    </row>
    <row r="4937" spans="27:30" x14ac:dyDescent="0.3">
      <c r="AA4937" s="37">
        <v>4917</v>
      </c>
      <c r="AB4937" s="37">
        <v>1.7032788717674776</v>
      </c>
      <c r="AC4937" s="37">
        <v>2.9850746437378559</v>
      </c>
      <c r="AD4937" s="37">
        <v>3.2504507318573279</v>
      </c>
    </row>
    <row r="4938" spans="27:30" x14ac:dyDescent="0.3">
      <c r="AA4938" s="37">
        <v>4918</v>
      </c>
      <c r="AB4938" s="37">
        <v>1.7886613855218074</v>
      </c>
      <c r="AC4938" s="37">
        <v>2.8653816067222193</v>
      </c>
      <c r="AD4938" s="37">
        <v>3.2698958364634172</v>
      </c>
    </row>
    <row r="4939" spans="27:30" x14ac:dyDescent="0.3">
      <c r="AA4939" s="37">
        <v>4919</v>
      </c>
      <c r="AB4939" s="37">
        <v>1.8435447725137231</v>
      </c>
      <c r="AC4939" s="37">
        <v>3.0877556027126603</v>
      </c>
      <c r="AD4939" s="37">
        <v>3.531329716188675</v>
      </c>
    </row>
    <row r="4940" spans="27:30" x14ac:dyDescent="0.3">
      <c r="AA4940" s="37">
        <v>4920</v>
      </c>
      <c r="AB4940" s="37">
        <v>1.6185298357010744</v>
      </c>
      <c r="AC4940" s="37">
        <v>2.7748582154158314</v>
      </c>
      <c r="AD4940" s="37">
        <v>3.3326428667926775</v>
      </c>
    </row>
    <row r="4941" spans="27:30" x14ac:dyDescent="0.3">
      <c r="AA4941" s="37">
        <v>4921</v>
      </c>
      <c r="AB4941" s="37">
        <v>1.823835136456436</v>
      </c>
      <c r="AC4941" s="37">
        <v>2.990675248259111</v>
      </c>
      <c r="AD4941" s="37">
        <v>3.4053403165769289</v>
      </c>
    </row>
    <row r="4942" spans="27:30" x14ac:dyDescent="0.3">
      <c r="AA4942" s="37">
        <v>4922</v>
      </c>
      <c r="AB4942" s="37">
        <v>1.7617787991934479</v>
      </c>
      <c r="AC4942" s="37">
        <v>2.7036409835399557</v>
      </c>
      <c r="AD4942" s="37">
        <v>3.1818515879951113</v>
      </c>
    </row>
    <row r="4943" spans="27:30" x14ac:dyDescent="0.3">
      <c r="AA4943" s="37">
        <v>4923</v>
      </c>
      <c r="AB4943" s="37">
        <v>1.8062678239010388</v>
      </c>
      <c r="AC4943" s="37">
        <v>2.9150689455162411</v>
      </c>
      <c r="AD4943" s="37">
        <v>3.3060394204217638</v>
      </c>
    </row>
    <row r="4944" spans="27:30" x14ac:dyDescent="0.3">
      <c r="AA4944" s="37">
        <v>4924</v>
      </c>
      <c r="AB4944" s="37">
        <v>1.7476853188864616</v>
      </c>
      <c r="AC4944" s="37">
        <v>2.9592521372819034</v>
      </c>
      <c r="AD4944" s="37">
        <v>3.5353181292767002</v>
      </c>
    </row>
    <row r="4945" spans="27:30" x14ac:dyDescent="0.3">
      <c r="AA4945" s="37">
        <v>4925</v>
      </c>
      <c r="AB4945" s="37">
        <v>1.6800248096166623</v>
      </c>
      <c r="AC4945" s="37">
        <v>2.8412849860052489</v>
      </c>
      <c r="AD4945" s="37">
        <v>3.3671682091035033</v>
      </c>
    </row>
    <row r="4946" spans="27:30" x14ac:dyDescent="0.3">
      <c r="AA4946" s="37">
        <v>4926</v>
      </c>
      <c r="AB4946" s="37">
        <v>1.8759061215970654</v>
      </c>
      <c r="AC4946" s="37">
        <v>2.7666244734893759</v>
      </c>
      <c r="AD4946" s="37">
        <v>3.4517459439569809</v>
      </c>
    </row>
    <row r="4947" spans="27:30" x14ac:dyDescent="0.3">
      <c r="AA4947" s="37">
        <v>4927</v>
      </c>
      <c r="AB4947" s="37">
        <v>1.8002157477306715</v>
      </c>
      <c r="AC4947" s="37">
        <v>2.872341466774003</v>
      </c>
      <c r="AD4947" s="37">
        <v>3.2529760253861899</v>
      </c>
    </row>
    <row r="4948" spans="27:30" x14ac:dyDescent="0.3">
      <c r="AA4948" s="37">
        <v>4928</v>
      </c>
      <c r="AB4948" s="37">
        <v>1.8602623757655214</v>
      </c>
      <c r="AC4948" s="37">
        <v>2.869858297524706</v>
      </c>
      <c r="AD4948" s="37">
        <v>3.1233743766860971</v>
      </c>
    </row>
    <row r="4949" spans="27:30" x14ac:dyDescent="0.3">
      <c r="AA4949" s="37">
        <v>4929</v>
      </c>
      <c r="AB4949" s="37">
        <v>1.8079314620917797</v>
      </c>
      <c r="AC4949" s="37">
        <v>2.6877421979442402</v>
      </c>
      <c r="AD4949" s="37">
        <v>3.1855430992562428</v>
      </c>
    </row>
    <row r="4950" spans="27:30" x14ac:dyDescent="0.3">
      <c r="AA4950" s="37">
        <v>4930</v>
      </c>
      <c r="AB4950" s="37">
        <v>1.8370753020731481</v>
      </c>
      <c r="AC4950" s="37">
        <v>2.6233351264120199</v>
      </c>
      <c r="AD4950" s="37">
        <v>3.2493812609988915</v>
      </c>
    </row>
    <row r="4951" spans="27:30" x14ac:dyDescent="0.3">
      <c r="AA4951" s="37">
        <v>4931</v>
      </c>
      <c r="AB4951" s="37">
        <v>1.8754347612495221</v>
      </c>
      <c r="AC4951" s="37">
        <v>2.8170852941267368</v>
      </c>
      <c r="AD4951" s="37">
        <v>3.2012505143563668</v>
      </c>
    </row>
    <row r="4952" spans="27:30" x14ac:dyDescent="0.3">
      <c r="AA4952" s="37">
        <v>4932</v>
      </c>
      <c r="AB4952" s="37">
        <v>1.6671036575416525</v>
      </c>
      <c r="AC4952" s="37">
        <v>2.8934849643797231</v>
      </c>
      <c r="AD4952" s="37">
        <v>3.3150070177927731</v>
      </c>
    </row>
    <row r="4953" spans="27:30" x14ac:dyDescent="0.3">
      <c r="AA4953" s="37">
        <v>4933</v>
      </c>
      <c r="AB4953" s="37">
        <v>1.795815929955848</v>
      </c>
      <c r="AC4953" s="37">
        <v>2.8550708287741298</v>
      </c>
      <c r="AD4953" s="37">
        <v>3.2837516761401084</v>
      </c>
    </row>
    <row r="4954" spans="27:30" x14ac:dyDescent="0.3">
      <c r="AA4954" s="37">
        <v>4934</v>
      </c>
      <c r="AB4954" s="37">
        <v>1.7374824833589881</v>
      </c>
      <c r="AC4954" s="37">
        <v>2.9158312184208919</v>
      </c>
      <c r="AD4954" s="37">
        <v>3.3682469168460938</v>
      </c>
    </row>
    <row r="4955" spans="27:30" x14ac:dyDescent="0.3">
      <c r="AA4955" s="37">
        <v>4935</v>
      </c>
      <c r="AB4955" s="37">
        <v>1.8612123534253875</v>
      </c>
      <c r="AC4955" s="37">
        <v>2.8231811971789238</v>
      </c>
      <c r="AD4955" s="37">
        <v>3.4253035097190496</v>
      </c>
    </row>
    <row r="4956" spans="27:30" x14ac:dyDescent="0.3">
      <c r="AA4956" s="37">
        <v>4936</v>
      </c>
      <c r="AB4956" s="37">
        <v>1.7840684116701357</v>
      </c>
      <c r="AC4956" s="37">
        <v>2.8535489347899192</v>
      </c>
      <c r="AD4956" s="37">
        <v>3.0987045346245403</v>
      </c>
    </row>
    <row r="4957" spans="27:30" x14ac:dyDescent="0.3">
      <c r="AA4957" s="37">
        <v>4937</v>
      </c>
      <c r="AB4957" s="37">
        <v>1.6137068041029374</v>
      </c>
      <c r="AC4957" s="37">
        <v>2.8403256173629132</v>
      </c>
      <c r="AD4957" s="37">
        <v>3.2956592273841809</v>
      </c>
    </row>
    <row r="4958" spans="27:30" x14ac:dyDescent="0.3">
      <c r="AA4958" s="37">
        <v>4938</v>
      </c>
      <c r="AB4958" s="37">
        <v>1.7992060798959122</v>
      </c>
      <c r="AC4958" s="37">
        <v>2.9746214565946132</v>
      </c>
      <c r="AD4958" s="37">
        <v>3.1570911493058644</v>
      </c>
    </row>
    <row r="4959" spans="27:30" x14ac:dyDescent="0.3">
      <c r="AA4959" s="37">
        <v>4939</v>
      </c>
      <c r="AB4959" s="37">
        <v>1.7324899597253587</v>
      </c>
      <c r="AC4959" s="37">
        <v>2.8136813133816263</v>
      </c>
      <c r="AD4959" s="37">
        <v>3.1945804762031833</v>
      </c>
    </row>
    <row r="4960" spans="27:30" x14ac:dyDescent="0.3">
      <c r="AA4960" s="37">
        <v>4940</v>
      </c>
      <c r="AB4960" s="37">
        <v>1.6536705203242008</v>
      </c>
      <c r="AC4960" s="37">
        <v>2.8208304468218661</v>
      </c>
      <c r="AD4960" s="37">
        <v>3.2893149706357381</v>
      </c>
    </row>
    <row r="4961" spans="27:30" x14ac:dyDescent="0.3">
      <c r="AA4961" s="37">
        <v>4941</v>
      </c>
      <c r="AB4961" s="37">
        <v>1.8806991442653689</v>
      </c>
      <c r="AC4961" s="37">
        <v>2.9175133331054179</v>
      </c>
      <c r="AD4961" s="37">
        <v>3.3965660506158648</v>
      </c>
    </row>
    <row r="4962" spans="27:30" x14ac:dyDescent="0.3">
      <c r="AA4962" s="37">
        <v>4942</v>
      </c>
      <c r="AB4962" s="37">
        <v>1.8369656683856355</v>
      </c>
      <c r="AC4962" s="37">
        <v>2.7888014891531108</v>
      </c>
      <c r="AD4962" s="37">
        <v>3.2759902050263312</v>
      </c>
    </row>
    <row r="4963" spans="27:30" x14ac:dyDescent="0.3">
      <c r="AA4963" s="37">
        <v>4943</v>
      </c>
      <c r="AB4963" s="37">
        <v>1.8414410299810813</v>
      </c>
      <c r="AC4963" s="37">
        <v>2.8172599117170671</v>
      </c>
      <c r="AD4963" s="37">
        <v>3.5347691705016175</v>
      </c>
    </row>
    <row r="4964" spans="27:30" x14ac:dyDescent="0.3">
      <c r="AA4964" s="37">
        <v>4944</v>
      </c>
      <c r="AB4964" s="37">
        <v>1.9069922121101386</v>
      </c>
      <c r="AC4964" s="37">
        <v>2.7109469115856752</v>
      </c>
      <c r="AD4964" s="37">
        <v>3.3910346691475293</v>
      </c>
    </row>
    <row r="4965" spans="27:30" x14ac:dyDescent="0.3">
      <c r="AA4965" s="37">
        <v>4945</v>
      </c>
      <c r="AB4965" s="37">
        <v>1.9142840944170771</v>
      </c>
      <c r="AC4965" s="37">
        <v>2.7437195508361967</v>
      </c>
      <c r="AD4965" s="37">
        <v>3.477621401342077</v>
      </c>
    </row>
    <row r="4966" spans="27:30" x14ac:dyDescent="0.3">
      <c r="AA4966" s="37">
        <v>4946</v>
      </c>
      <c r="AB4966" s="37">
        <v>1.7710916347068391</v>
      </c>
      <c r="AC4966" s="37">
        <v>2.8747695035532272</v>
      </c>
      <c r="AD4966" s="37">
        <v>3.2385823830658125</v>
      </c>
    </row>
    <row r="4967" spans="27:30" x14ac:dyDescent="0.3">
      <c r="AA4967" s="37">
        <v>4947</v>
      </c>
      <c r="AB4967" s="37">
        <v>1.8016591313568977</v>
      </c>
      <c r="AC4967" s="37">
        <v>2.8563504344877217</v>
      </c>
      <c r="AD4967" s="37">
        <v>3.6677330841611786</v>
      </c>
    </row>
    <row r="4968" spans="27:30" x14ac:dyDescent="0.3">
      <c r="AA4968" s="37">
        <v>4948</v>
      </c>
      <c r="AB4968" s="37">
        <v>1.7020975819825501</v>
      </c>
      <c r="AC4968" s="37">
        <v>2.7588058528712835</v>
      </c>
      <c r="AD4968" s="37">
        <v>3.4502353597506765</v>
      </c>
    </row>
    <row r="4969" spans="27:30" x14ac:dyDescent="0.3">
      <c r="AA4969" s="37">
        <v>4949</v>
      </c>
      <c r="AB4969" s="37">
        <v>1.8107458154589677</v>
      </c>
      <c r="AC4969" s="37">
        <v>2.9423622061655994</v>
      </c>
      <c r="AD4969" s="37">
        <v>3.3724061822205691</v>
      </c>
    </row>
    <row r="4970" spans="27:30" x14ac:dyDescent="0.3">
      <c r="AA4970" s="37">
        <v>4950</v>
      </c>
      <c r="AB4970" s="37">
        <v>1.825817514786692</v>
      </c>
      <c r="AC4970" s="37">
        <v>3.001558697710287</v>
      </c>
      <c r="AD4970" s="37">
        <v>3.2354171755899408</v>
      </c>
    </row>
    <row r="4971" spans="27:30" x14ac:dyDescent="0.3">
      <c r="AA4971" s="37">
        <v>4951</v>
      </c>
      <c r="AB4971" s="37">
        <v>1.8159944336527205</v>
      </c>
      <c r="AC4971" s="37">
        <v>2.9512478872213017</v>
      </c>
      <c r="AD4971" s="37">
        <v>3.5022345108821162</v>
      </c>
    </row>
    <row r="4972" spans="27:30" x14ac:dyDescent="0.3">
      <c r="AA4972" s="37">
        <v>4952</v>
      </c>
      <c r="AB4972" s="37">
        <v>1.9195311943971121</v>
      </c>
      <c r="AC4972" s="37">
        <v>2.7643558371495724</v>
      </c>
      <c r="AD4972" s="37">
        <v>3.4471436664721229</v>
      </c>
    </row>
    <row r="4973" spans="27:30" x14ac:dyDescent="0.3">
      <c r="AA4973" s="37">
        <v>4953</v>
      </c>
      <c r="AB4973" s="37">
        <v>1.6933084045409683</v>
      </c>
      <c r="AC4973" s="37">
        <v>2.8070033130536238</v>
      </c>
      <c r="AD4973" s="37">
        <v>3.1719976986682861</v>
      </c>
    </row>
    <row r="4974" spans="27:30" x14ac:dyDescent="0.3">
      <c r="AA4974" s="37">
        <v>4954</v>
      </c>
      <c r="AB4974" s="37">
        <v>1.8426721323705435</v>
      </c>
      <c r="AC4974" s="37">
        <v>2.7558337635773724</v>
      </c>
      <c r="AD4974" s="37">
        <v>3.3433664058962109</v>
      </c>
    </row>
    <row r="4975" spans="27:30" x14ac:dyDescent="0.3">
      <c r="AA4975" s="37">
        <v>4955</v>
      </c>
      <c r="AB4975" s="37">
        <v>1.7859050043776952</v>
      </c>
      <c r="AC4975" s="37">
        <v>2.8896748976927586</v>
      </c>
      <c r="AD4975" s="37">
        <v>3.4230289410156054</v>
      </c>
    </row>
    <row r="4976" spans="27:30" x14ac:dyDescent="0.3">
      <c r="AA4976" s="37">
        <v>4956</v>
      </c>
      <c r="AB4976" s="37">
        <v>1.855783999303896</v>
      </c>
      <c r="AC4976" s="37">
        <v>2.8450481609364573</v>
      </c>
      <c r="AD4976" s="37">
        <v>3.3168085161214305</v>
      </c>
    </row>
    <row r="4977" spans="27:30" x14ac:dyDescent="0.3">
      <c r="AA4977" s="37">
        <v>4957</v>
      </c>
      <c r="AB4977" s="37">
        <v>1.7947317419446063</v>
      </c>
      <c r="AC4977" s="37">
        <v>2.903547198856931</v>
      </c>
      <c r="AD4977" s="37">
        <v>3.4017947779556073</v>
      </c>
    </row>
    <row r="4978" spans="27:30" x14ac:dyDescent="0.3">
      <c r="AA4978" s="37">
        <v>4958</v>
      </c>
      <c r="AB4978" s="37">
        <v>1.7602776057086904</v>
      </c>
      <c r="AC4978" s="37">
        <v>2.8305625272391262</v>
      </c>
      <c r="AD4978" s="37">
        <v>3.2822643667281657</v>
      </c>
    </row>
    <row r="4979" spans="27:30" x14ac:dyDescent="0.3">
      <c r="AA4979" s="37">
        <v>4959</v>
      </c>
      <c r="AB4979" s="37">
        <v>1.770930771261811</v>
      </c>
      <c r="AC4979" s="37">
        <v>2.9163980497364146</v>
      </c>
      <c r="AD4979" s="37">
        <v>3.4816663586668199</v>
      </c>
    </row>
    <row r="4980" spans="27:30" x14ac:dyDescent="0.3">
      <c r="AA4980" s="37">
        <v>4960</v>
      </c>
      <c r="AB4980" s="37">
        <v>1.7286987018153253</v>
      </c>
      <c r="AC4980" s="37">
        <v>2.8895143825141942</v>
      </c>
      <c r="AD4980" s="37">
        <v>3.1595297746702418</v>
      </c>
    </row>
    <row r="4981" spans="27:30" x14ac:dyDescent="0.3">
      <c r="AA4981" s="37">
        <v>4961</v>
      </c>
      <c r="AB4981" s="37">
        <v>1.7587840037516145</v>
      </c>
      <c r="AC4981" s="37">
        <v>2.83589836440974</v>
      </c>
      <c r="AD4981" s="37">
        <v>3.3503962334406143</v>
      </c>
    </row>
    <row r="4982" spans="27:30" x14ac:dyDescent="0.3">
      <c r="AA4982" s="37">
        <v>4962</v>
      </c>
      <c r="AB4982" s="37">
        <v>1.8513695584609362</v>
      </c>
      <c r="AC4982" s="37">
        <v>2.8156423801927715</v>
      </c>
      <c r="AD4982" s="37">
        <v>3.4532115132724588</v>
      </c>
    </row>
    <row r="4983" spans="27:30" x14ac:dyDescent="0.3">
      <c r="AA4983" s="37">
        <v>4963</v>
      </c>
      <c r="AB4983" s="37">
        <v>1.7950479604791856</v>
      </c>
      <c r="AC4983" s="37">
        <v>2.8723989598518092</v>
      </c>
      <c r="AD4983" s="37">
        <v>3.2822766424607952</v>
      </c>
    </row>
    <row r="4984" spans="27:30" x14ac:dyDescent="0.3">
      <c r="AA4984" s="37">
        <v>4964</v>
      </c>
      <c r="AB4984" s="37">
        <v>1.8145232703002503</v>
      </c>
      <c r="AC4984" s="37">
        <v>2.860018899951092</v>
      </c>
      <c r="AD4984" s="37">
        <v>3.2175466514480555</v>
      </c>
    </row>
    <row r="4985" spans="27:30" x14ac:dyDescent="0.3">
      <c r="AA4985" s="37">
        <v>4965</v>
      </c>
      <c r="AB4985" s="37">
        <v>1.8396331522575138</v>
      </c>
      <c r="AC4985" s="37">
        <v>2.7347953486267951</v>
      </c>
      <c r="AD4985" s="37">
        <v>3.3364103292572209</v>
      </c>
    </row>
    <row r="4986" spans="27:30" x14ac:dyDescent="0.3">
      <c r="AA4986" s="37">
        <v>4966</v>
      </c>
      <c r="AB4986" s="37">
        <v>1.8013844075055581</v>
      </c>
      <c r="AC4986" s="37">
        <v>2.8701982381313851</v>
      </c>
      <c r="AD4986" s="37">
        <v>3.6181957699844092</v>
      </c>
    </row>
    <row r="4987" spans="27:30" x14ac:dyDescent="0.3">
      <c r="AA4987" s="37">
        <v>4967</v>
      </c>
      <c r="AB4987" s="37">
        <v>1.7072329154401238</v>
      </c>
      <c r="AC4987" s="37">
        <v>2.7688750475305199</v>
      </c>
      <c r="AD4987" s="37">
        <v>3.2303852170951699</v>
      </c>
    </row>
    <row r="4988" spans="27:30" x14ac:dyDescent="0.3">
      <c r="AA4988" s="37">
        <v>4968</v>
      </c>
      <c r="AB4988" s="37">
        <v>1.7761265673093454</v>
      </c>
      <c r="AC4988" s="37">
        <v>2.9349600337315969</v>
      </c>
      <c r="AD4988" s="37">
        <v>3.3851681750534075</v>
      </c>
    </row>
    <row r="4989" spans="27:30" x14ac:dyDescent="0.3">
      <c r="AA4989" s="37">
        <v>4969</v>
      </c>
      <c r="AB4989" s="37">
        <v>1.8107738546600369</v>
      </c>
      <c r="AC4989" s="37">
        <v>2.8346689238151432</v>
      </c>
      <c r="AD4989" s="37">
        <v>3.2600201571450032</v>
      </c>
    </row>
    <row r="4990" spans="27:30" x14ac:dyDescent="0.3">
      <c r="AA4990" s="37">
        <v>4970</v>
      </c>
      <c r="AB4990" s="37">
        <v>1.7893636046208732</v>
      </c>
      <c r="AC4990" s="37">
        <v>2.9276488380965815</v>
      </c>
      <c r="AD4990" s="37">
        <v>3.2799056576237935</v>
      </c>
    </row>
    <row r="4991" spans="27:30" x14ac:dyDescent="0.3">
      <c r="AA4991" s="37">
        <v>4971</v>
      </c>
      <c r="AB4991" s="37">
        <v>1.7201470080457639</v>
      </c>
      <c r="AC4991" s="37">
        <v>2.7505033088828434</v>
      </c>
      <c r="AD4991" s="37">
        <v>3.3469741616691016</v>
      </c>
    </row>
    <row r="4992" spans="27:30" x14ac:dyDescent="0.3">
      <c r="AA4992" s="37">
        <v>4972</v>
      </c>
      <c r="AB4992" s="37">
        <v>1.7203484409588541</v>
      </c>
      <c r="AC4992" s="37">
        <v>2.8701892163161915</v>
      </c>
      <c r="AD4992" s="37">
        <v>3.4625198681463081</v>
      </c>
    </row>
    <row r="4993" spans="27:30" x14ac:dyDescent="0.3">
      <c r="AA4993" s="37">
        <v>4973</v>
      </c>
      <c r="AB4993" s="37">
        <v>1.8334195714319703</v>
      </c>
      <c r="AC4993" s="37">
        <v>2.7564765996665561</v>
      </c>
      <c r="AD4993" s="37">
        <v>3.3859555243405124</v>
      </c>
    </row>
    <row r="4994" spans="27:30" x14ac:dyDescent="0.3">
      <c r="AA4994" s="37">
        <v>4974</v>
      </c>
      <c r="AB4994" s="37">
        <v>1.8657917917023878</v>
      </c>
      <c r="AC4994" s="37">
        <v>2.6809577051706661</v>
      </c>
      <c r="AD4994" s="37">
        <v>3.3056856748490224</v>
      </c>
    </row>
    <row r="4995" spans="27:30" x14ac:dyDescent="0.3">
      <c r="AA4995" s="37">
        <v>4975</v>
      </c>
      <c r="AB4995" s="37">
        <v>1.7589394322034215</v>
      </c>
      <c r="AC4995" s="37">
        <v>2.8572578339041184</v>
      </c>
      <c r="AD4995" s="37">
        <v>3.4132298090454078</v>
      </c>
    </row>
    <row r="4996" spans="27:30" x14ac:dyDescent="0.3">
      <c r="AA4996" s="37">
        <v>4976</v>
      </c>
      <c r="AB4996" s="37">
        <v>1.8413027557525481</v>
      </c>
      <c r="AC4996" s="37">
        <v>2.7307201734376108</v>
      </c>
      <c r="AD4996" s="37">
        <v>3.3918644015332813</v>
      </c>
    </row>
    <row r="4997" spans="27:30" x14ac:dyDescent="0.3">
      <c r="AA4997" s="37">
        <v>4977</v>
      </c>
      <c r="AB4997" s="37">
        <v>1.7756186249398793</v>
      </c>
      <c r="AC4997" s="37">
        <v>2.9080730747237014</v>
      </c>
      <c r="AD4997" s="37">
        <v>3.0275580240939859</v>
      </c>
    </row>
    <row r="4998" spans="27:30" x14ac:dyDescent="0.3">
      <c r="AA4998" s="37">
        <v>4978</v>
      </c>
      <c r="AB4998" s="37">
        <v>1.8330107435361771</v>
      </c>
      <c r="AC4998" s="37">
        <v>2.802122210514161</v>
      </c>
      <c r="AD4998" s="37">
        <v>3.2794666403773172</v>
      </c>
    </row>
    <row r="4999" spans="27:30" x14ac:dyDescent="0.3">
      <c r="AA4999" s="37">
        <v>4979</v>
      </c>
      <c r="AB4999" s="37">
        <v>1.7419531008341742</v>
      </c>
      <c r="AC4999" s="37">
        <v>2.6994053225306174</v>
      </c>
      <c r="AD4999" s="37">
        <v>3.2961034671935834</v>
      </c>
    </row>
    <row r="5000" spans="27:30" x14ac:dyDescent="0.3">
      <c r="AA5000" s="37">
        <v>4980</v>
      </c>
      <c r="AB5000" s="37">
        <v>1.8811929409176267</v>
      </c>
      <c r="AC5000" s="37">
        <v>2.8605160760061192</v>
      </c>
      <c r="AD5000" s="37">
        <v>3.4912383914936438</v>
      </c>
    </row>
    <row r="5001" spans="27:30" x14ac:dyDescent="0.3">
      <c r="AA5001" s="37">
        <v>4981</v>
      </c>
      <c r="AB5001" s="37">
        <v>1.8442411828450154</v>
      </c>
      <c r="AC5001" s="37">
        <v>2.6323093768832657</v>
      </c>
      <c r="AD5001" s="37">
        <v>3.63231187889778</v>
      </c>
    </row>
    <row r="5002" spans="27:30" x14ac:dyDescent="0.3">
      <c r="AA5002" s="37">
        <v>4982</v>
      </c>
      <c r="AB5002" s="37">
        <v>1.8005275536546035</v>
      </c>
      <c r="AC5002" s="37">
        <v>3.0157926960793726</v>
      </c>
      <c r="AD5002" s="37">
        <v>3.6733237175245015</v>
      </c>
    </row>
    <row r="5003" spans="27:30" x14ac:dyDescent="0.3">
      <c r="AA5003" s="37">
        <v>4983</v>
      </c>
      <c r="AB5003" s="37">
        <v>1.8813536667303157</v>
      </c>
      <c r="AC5003" s="37">
        <v>2.8255346862424235</v>
      </c>
      <c r="AD5003" s="37">
        <v>3.0187977262179384</v>
      </c>
    </row>
    <row r="5004" spans="27:30" x14ac:dyDescent="0.3">
      <c r="AA5004" s="37">
        <v>4984</v>
      </c>
      <c r="AB5004" s="37">
        <v>1.7258894872285961</v>
      </c>
      <c r="AC5004" s="37">
        <v>2.860317779778657</v>
      </c>
      <c r="AD5004" s="37">
        <v>3.5009398557016671</v>
      </c>
    </row>
    <row r="5005" spans="27:30" x14ac:dyDescent="0.3">
      <c r="AA5005" s="37">
        <v>4985</v>
      </c>
      <c r="AB5005" s="37">
        <v>1.7496353456328291</v>
      </c>
      <c r="AC5005" s="37">
        <v>2.8161658488211327</v>
      </c>
      <c r="AD5005" s="37">
        <v>3.3194406363146225</v>
      </c>
    </row>
    <row r="5006" spans="27:30" x14ac:dyDescent="0.3">
      <c r="AA5006" s="37">
        <v>4986</v>
      </c>
      <c r="AB5006" s="37">
        <v>1.8176641580832558</v>
      </c>
      <c r="AC5006" s="37">
        <v>2.974612449121818</v>
      </c>
      <c r="AD5006" s="37">
        <v>3.4609651634965046</v>
      </c>
    </row>
    <row r="5007" spans="27:30" x14ac:dyDescent="0.3">
      <c r="AA5007" s="37">
        <v>4987</v>
      </c>
      <c r="AB5007" s="37">
        <v>1.8014564098520882</v>
      </c>
      <c r="AC5007" s="37">
        <v>2.7190488698793462</v>
      </c>
      <c r="AD5007" s="37">
        <v>3.1176638647563428</v>
      </c>
    </row>
    <row r="5008" spans="27:30" x14ac:dyDescent="0.3">
      <c r="AA5008" s="37">
        <v>4988</v>
      </c>
      <c r="AB5008" s="37">
        <v>1.7728727509859661</v>
      </c>
      <c r="AC5008" s="37">
        <v>2.8053981840741478</v>
      </c>
      <c r="AD5008" s="37">
        <v>3.0809160801075142</v>
      </c>
    </row>
    <row r="5009" spans="27:30" x14ac:dyDescent="0.3">
      <c r="AA5009" s="37">
        <v>4989</v>
      </c>
      <c r="AB5009" s="37">
        <v>1.8814053401499742</v>
      </c>
      <c r="AC5009" s="37">
        <v>2.7542424442326121</v>
      </c>
      <c r="AD5009" s="37">
        <v>3.4471150057048323</v>
      </c>
    </row>
    <row r="5010" spans="27:30" x14ac:dyDescent="0.3">
      <c r="AA5010" s="37">
        <v>4990</v>
      </c>
      <c r="AB5010" s="37">
        <v>1.8075217780980612</v>
      </c>
      <c r="AC5010" s="37">
        <v>3.0340435802342993</v>
      </c>
      <c r="AD5010" s="37">
        <v>3.2357806604181465</v>
      </c>
    </row>
    <row r="5011" spans="27:30" x14ac:dyDescent="0.3">
      <c r="AA5011" s="37">
        <v>4991</v>
      </c>
      <c r="AB5011" s="37">
        <v>1.6247815334944367</v>
      </c>
      <c r="AC5011" s="37">
        <v>2.8760303377167005</v>
      </c>
      <c r="AD5011" s="37">
        <v>3.5084681670523228</v>
      </c>
    </row>
    <row r="5012" spans="27:30" x14ac:dyDescent="0.3">
      <c r="AA5012" s="37">
        <v>4992</v>
      </c>
      <c r="AB5012" s="37">
        <v>1.8431164671743763</v>
      </c>
      <c r="AC5012" s="37">
        <v>2.808714445172356</v>
      </c>
      <c r="AD5012" s="37">
        <v>3.2099858750451173</v>
      </c>
    </row>
    <row r="5013" spans="27:30" x14ac:dyDescent="0.3">
      <c r="AA5013" s="37">
        <v>4993</v>
      </c>
      <c r="AB5013" s="37">
        <v>1.8232715632768834</v>
      </c>
      <c r="AC5013" s="37">
        <v>2.8716348382657833</v>
      </c>
      <c r="AD5013" s="37">
        <v>3.3681088648439665</v>
      </c>
    </row>
    <row r="5014" spans="27:30" x14ac:dyDescent="0.3">
      <c r="AA5014" s="37">
        <v>4994</v>
      </c>
      <c r="AB5014" s="37">
        <v>1.7738204546343765</v>
      </c>
      <c r="AC5014" s="37">
        <v>2.7884944912208423</v>
      </c>
      <c r="AD5014" s="37">
        <v>3.3067058888880063</v>
      </c>
    </row>
    <row r="5015" spans="27:30" x14ac:dyDescent="0.3">
      <c r="AA5015" s="37">
        <v>4995</v>
      </c>
      <c r="AB5015" s="37">
        <v>1.9753955823748583</v>
      </c>
      <c r="AC5015" s="37">
        <v>2.9248003028907847</v>
      </c>
      <c r="AD5015" s="37">
        <v>3.5362310818852531</v>
      </c>
    </row>
    <row r="5016" spans="27:30" x14ac:dyDescent="0.3">
      <c r="AA5016" s="37">
        <v>4996</v>
      </c>
      <c r="AB5016" s="37">
        <v>1.6598621496862458</v>
      </c>
      <c r="AC5016" s="37">
        <v>2.8372304164065567</v>
      </c>
      <c r="AD5016" s="37">
        <v>3.2590986013815946</v>
      </c>
    </row>
    <row r="5017" spans="27:30" x14ac:dyDescent="0.3">
      <c r="AA5017" s="37">
        <v>4997</v>
      </c>
      <c r="AB5017" s="37">
        <v>1.7775553543497984</v>
      </c>
      <c r="AC5017" s="37">
        <v>3.105762435040313</v>
      </c>
      <c r="AD5017" s="37">
        <v>3.2426335063317566</v>
      </c>
    </row>
    <row r="5018" spans="27:30" x14ac:dyDescent="0.3">
      <c r="AA5018" s="37">
        <v>4998</v>
      </c>
      <c r="AB5018" s="37">
        <v>1.7924471013119756</v>
      </c>
      <c r="AC5018" s="37">
        <v>2.9871203312892902</v>
      </c>
      <c r="AD5018" s="37">
        <v>3.5148774993461269</v>
      </c>
    </row>
    <row r="5019" spans="27:30" x14ac:dyDescent="0.3">
      <c r="AA5019" s="37">
        <v>4999</v>
      </c>
      <c r="AB5019" s="37">
        <v>1.8138495358865538</v>
      </c>
      <c r="AC5019" s="37">
        <v>2.9154716493435568</v>
      </c>
      <c r="AD5019" s="37">
        <v>3.4117098999697562</v>
      </c>
    </row>
    <row r="5020" spans="27:30" x14ac:dyDescent="0.3">
      <c r="AA5020" s="37">
        <v>5000</v>
      </c>
      <c r="AB5020" s="37">
        <v>1.8618532452138803</v>
      </c>
      <c r="AC5020" s="37">
        <v>3.0281231104864883</v>
      </c>
      <c r="AD5020" s="37">
        <v>3.3084611953523186</v>
      </c>
    </row>
    <row r="5021" spans="27:30" x14ac:dyDescent="0.3">
      <c r="AA5021" s="37">
        <v>5001</v>
      </c>
      <c r="AB5021" s="37">
        <v>1.8321626439718159</v>
      </c>
      <c r="AC5021" s="37">
        <v>2.8464036199024432</v>
      </c>
      <c r="AD5021" s="37">
        <v>3.3061162260542125</v>
      </c>
    </row>
    <row r="5022" spans="27:30" x14ac:dyDescent="0.3">
      <c r="AA5022" s="37">
        <v>5002</v>
      </c>
      <c r="AB5022" s="37">
        <v>1.7338105444729122</v>
      </c>
      <c r="AC5022" s="37">
        <v>2.7390265264099467</v>
      </c>
      <c r="AD5022" s="37">
        <v>3.4608853244104774</v>
      </c>
    </row>
    <row r="5023" spans="27:30" x14ac:dyDescent="0.3">
      <c r="AA5023" s="37">
        <v>5003</v>
      </c>
      <c r="AB5023" s="37">
        <v>1.8461332787258227</v>
      </c>
      <c r="AC5023" s="37">
        <v>2.9333616648709566</v>
      </c>
      <c r="AD5023" s="37">
        <v>3.3443467418492361</v>
      </c>
    </row>
    <row r="5024" spans="27:30" x14ac:dyDescent="0.3">
      <c r="AA5024" s="37">
        <v>5004</v>
      </c>
      <c r="AB5024" s="37">
        <v>1.6843713450863504</v>
      </c>
      <c r="AC5024" s="37">
        <v>2.8115797974513965</v>
      </c>
      <c r="AD5024" s="37">
        <v>3.537937408051997</v>
      </c>
    </row>
    <row r="5025" spans="27:30" x14ac:dyDescent="0.3">
      <c r="AA5025" s="37">
        <v>5005</v>
      </c>
      <c r="AB5025" s="37">
        <v>1.8057700281574851</v>
      </c>
      <c r="AC5025" s="37">
        <v>2.8740529799175945</v>
      </c>
      <c r="AD5025" s="37">
        <v>3.3122417401066762</v>
      </c>
    </row>
    <row r="5026" spans="27:30" x14ac:dyDescent="0.3">
      <c r="AA5026" s="37">
        <v>5006</v>
      </c>
      <c r="AB5026" s="37">
        <v>1.8384943452118327</v>
      </c>
      <c r="AC5026" s="37">
        <v>3.0836290559198498</v>
      </c>
      <c r="AD5026" s="37">
        <v>3.4405131673179139</v>
      </c>
    </row>
    <row r="5027" spans="27:30" x14ac:dyDescent="0.3">
      <c r="AA5027" s="37">
        <v>5007</v>
      </c>
      <c r="AB5027" s="37">
        <v>1.8369919961552723</v>
      </c>
      <c r="AC5027" s="37">
        <v>2.8743097489119078</v>
      </c>
      <c r="AD5027" s="37">
        <v>3.2034808945845872</v>
      </c>
    </row>
    <row r="5028" spans="27:30" x14ac:dyDescent="0.3">
      <c r="AA5028" s="37">
        <v>5008</v>
      </c>
      <c r="AB5028" s="37">
        <v>1.7396077368083789</v>
      </c>
      <c r="AC5028" s="37">
        <v>2.9698216082920297</v>
      </c>
      <c r="AD5028" s="37">
        <v>3.1588696027076768</v>
      </c>
    </row>
    <row r="5029" spans="27:30" x14ac:dyDescent="0.3">
      <c r="AA5029" s="37">
        <v>5009</v>
      </c>
      <c r="AB5029" s="37">
        <v>1.8291531599422146</v>
      </c>
      <c r="AC5029" s="37">
        <v>2.9314302403803021</v>
      </c>
      <c r="AD5029" s="37">
        <v>3.4072199164926289</v>
      </c>
    </row>
    <row r="5030" spans="27:30" x14ac:dyDescent="0.3">
      <c r="AA5030" s="37">
        <v>5010</v>
      </c>
      <c r="AB5030" s="37">
        <v>1.7807134124474542</v>
      </c>
      <c r="AC5030" s="37">
        <v>2.8772658360752978</v>
      </c>
      <c r="AD5030" s="37">
        <v>3.288423603858289</v>
      </c>
    </row>
    <row r="5031" spans="27:30" x14ac:dyDescent="0.3">
      <c r="AA5031" s="37">
        <v>5011</v>
      </c>
      <c r="AB5031" s="37">
        <v>1.8853944016005626</v>
      </c>
      <c r="AC5031" s="37">
        <v>3.0162514307262436</v>
      </c>
      <c r="AD5031" s="37">
        <v>3.1321503694061303</v>
      </c>
    </row>
    <row r="5032" spans="27:30" x14ac:dyDescent="0.3">
      <c r="AA5032" s="37">
        <v>5012</v>
      </c>
      <c r="AB5032" s="37">
        <v>1.8389224021417754</v>
      </c>
      <c r="AC5032" s="37">
        <v>2.9127112385754028</v>
      </c>
      <c r="AD5032" s="37">
        <v>3.2664733644304702</v>
      </c>
    </row>
    <row r="5033" spans="27:30" x14ac:dyDescent="0.3">
      <c r="AA5033" s="37">
        <v>5013</v>
      </c>
      <c r="AB5033" s="37">
        <v>1.8246601995820213</v>
      </c>
      <c r="AC5033" s="37">
        <v>2.9370493776618614</v>
      </c>
      <c r="AD5033" s="37">
        <v>3.4729290485047613</v>
      </c>
    </row>
    <row r="5034" spans="27:30" x14ac:dyDescent="0.3">
      <c r="AA5034" s="37">
        <v>5014</v>
      </c>
      <c r="AB5034" s="37">
        <v>1.7638461457673882</v>
      </c>
      <c r="AC5034" s="37">
        <v>2.9706724411581744</v>
      </c>
      <c r="AD5034" s="37">
        <v>3.294201624319911</v>
      </c>
    </row>
    <row r="5035" spans="27:30" x14ac:dyDescent="0.3">
      <c r="AA5035" s="37">
        <v>5015</v>
      </c>
      <c r="AB5035" s="37">
        <v>1.7321934535702423</v>
      </c>
      <c r="AC5035" s="37">
        <v>2.6662499371076418</v>
      </c>
      <c r="AD5035" s="37">
        <v>3.1662094710125062</v>
      </c>
    </row>
    <row r="5036" spans="27:30" x14ac:dyDescent="0.3">
      <c r="AA5036" s="37">
        <v>5016</v>
      </c>
      <c r="AB5036" s="37">
        <v>1.8845391157998568</v>
      </c>
      <c r="AC5036" s="37">
        <v>3.0620148482069309</v>
      </c>
      <c r="AD5036" s="37">
        <v>3.3488169865770461</v>
      </c>
    </row>
    <row r="5037" spans="27:30" x14ac:dyDescent="0.3">
      <c r="AA5037" s="37">
        <v>5017</v>
      </c>
      <c r="AB5037" s="37">
        <v>1.7243528741401155</v>
      </c>
      <c r="AC5037" s="37">
        <v>2.8284278524937796</v>
      </c>
      <c r="AD5037" s="37">
        <v>3.0738474965591212</v>
      </c>
    </row>
    <row r="5038" spans="27:30" x14ac:dyDescent="0.3">
      <c r="AA5038" s="37">
        <v>5018</v>
      </c>
      <c r="AB5038" s="37">
        <v>1.7189851854932994</v>
      </c>
      <c r="AC5038" s="37">
        <v>2.929943654489811</v>
      </c>
      <c r="AD5038" s="37">
        <v>3.3455381587704252</v>
      </c>
    </row>
    <row r="5039" spans="27:30" x14ac:dyDescent="0.3">
      <c r="AA5039" s="37">
        <v>5019</v>
      </c>
      <c r="AB5039" s="37">
        <v>1.7164045994286627</v>
      </c>
      <c r="AC5039" s="37">
        <v>2.8395282200463874</v>
      </c>
      <c r="AD5039" s="37">
        <v>3.3699989684136056</v>
      </c>
    </row>
    <row r="5040" spans="27:30" x14ac:dyDescent="0.3">
      <c r="AA5040" s="37">
        <v>5020</v>
      </c>
      <c r="AB5040" s="37">
        <v>1.8222210106607868</v>
      </c>
      <c r="AC5040" s="37">
        <v>2.6994016065319779</v>
      </c>
      <c r="AD5040" s="37">
        <v>3.1705267074352377</v>
      </c>
    </row>
    <row r="5041" spans="27:30" x14ac:dyDescent="0.3">
      <c r="AA5041" s="37">
        <v>5021</v>
      </c>
      <c r="AB5041" s="37">
        <v>1.857010368234022</v>
      </c>
      <c r="AC5041" s="37">
        <v>2.9155845713596409</v>
      </c>
      <c r="AD5041" s="37">
        <v>3.1128252731024908</v>
      </c>
    </row>
    <row r="5042" spans="27:30" x14ac:dyDescent="0.3">
      <c r="AA5042" s="37">
        <v>5022</v>
      </c>
      <c r="AB5042" s="37">
        <v>1.8320109120821524</v>
      </c>
      <c r="AC5042" s="37">
        <v>2.9129470685162215</v>
      </c>
      <c r="AD5042" s="37">
        <v>3.3534388882910751</v>
      </c>
    </row>
    <row r="5043" spans="27:30" x14ac:dyDescent="0.3">
      <c r="AA5043" s="37">
        <v>5023</v>
      </c>
      <c r="AB5043" s="37">
        <v>1.8048437070981709</v>
      </c>
      <c r="AC5043" s="37">
        <v>2.8682408113638114</v>
      </c>
      <c r="AD5043" s="37">
        <v>3.3344422648640935</v>
      </c>
    </row>
    <row r="5044" spans="27:30" x14ac:dyDescent="0.3">
      <c r="AA5044" s="37">
        <v>5024</v>
      </c>
      <c r="AB5044" s="37">
        <v>1.7516529999059556</v>
      </c>
      <c r="AC5044" s="37">
        <v>2.8661476505666426</v>
      </c>
      <c r="AD5044" s="37">
        <v>3.4726876345386182</v>
      </c>
    </row>
    <row r="5045" spans="27:30" x14ac:dyDescent="0.3">
      <c r="AA5045" s="37">
        <v>5025</v>
      </c>
      <c r="AB5045" s="37">
        <v>1.9444017685383208</v>
      </c>
      <c r="AC5045" s="37">
        <v>2.7568401640581146</v>
      </c>
      <c r="AD5045" s="37">
        <v>3.3844629290167978</v>
      </c>
    </row>
    <row r="5046" spans="27:30" x14ac:dyDescent="0.3">
      <c r="AA5046" s="37">
        <v>5026</v>
      </c>
      <c r="AB5046" s="37">
        <v>1.707485311319638</v>
      </c>
      <c r="AC5046" s="37">
        <v>2.7071001088541786</v>
      </c>
      <c r="AD5046" s="37">
        <v>3.4100053945698705</v>
      </c>
    </row>
    <row r="5047" spans="27:30" x14ac:dyDescent="0.3">
      <c r="AA5047" s="37">
        <v>5027</v>
      </c>
      <c r="AB5047" s="37">
        <v>1.7996905307809161</v>
      </c>
      <c r="AC5047" s="37">
        <v>2.9521783134150259</v>
      </c>
      <c r="AD5047" s="37">
        <v>3.6431084875139406</v>
      </c>
    </row>
    <row r="5048" spans="27:30" x14ac:dyDescent="0.3">
      <c r="AA5048" s="37">
        <v>5028</v>
      </c>
      <c r="AB5048" s="37">
        <v>1.7278618748626762</v>
      </c>
      <c r="AC5048" s="37">
        <v>2.9332975760602777</v>
      </c>
      <c r="AD5048" s="37">
        <v>3.4937068958078306</v>
      </c>
    </row>
    <row r="5049" spans="27:30" x14ac:dyDescent="0.3">
      <c r="AA5049" s="37">
        <v>5029</v>
      </c>
      <c r="AB5049" s="37">
        <v>1.7638040515663795</v>
      </c>
      <c r="AC5049" s="37">
        <v>2.8447415123044091</v>
      </c>
      <c r="AD5049" s="37">
        <v>3.4404633502764712</v>
      </c>
    </row>
    <row r="5050" spans="27:30" x14ac:dyDescent="0.3">
      <c r="AA5050" s="37">
        <v>5030</v>
      </c>
      <c r="AB5050" s="37">
        <v>1.8563536530305951</v>
      </c>
      <c r="AC5050" s="37">
        <v>2.8408183562336746</v>
      </c>
      <c r="AD5050" s="37">
        <v>3.5670437479788717</v>
      </c>
    </row>
    <row r="5051" spans="27:30" x14ac:dyDescent="0.3">
      <c r="AA5051" s="37">
        <v>5031</v>
      </c>
      <c r="AB5051" s="37">
        <v>1.7497212793122108</v>
      </c>
      <c r="AC5051" s="37">
        <v>2.7812416361104781</v>
      </c>
      <c r="AD5051" s="37">
        <v>3.1805888038516064</v>
      </c>
    </row>
    <row r="5052" spans="27:30" x14ac:dyDescent="0.3">
      <c r="AA5052" s="37">
        <v>5032</v>
      </c>
      <c r="AB5052" s="37">
        <v>1.7039882626624319</v>
      </c>
      <c r="AC5052" s="37">
        <v>3.1096504716860887</v>
      </c>
      <c r="AD5052" s="37">
        <v>3.2495179085116903</v>
      </c>
    </row>
    <row r="5053" spans="27:30" x14ac:dyDescent="0.3">
      <c r="AA5053" s="37">
        <v>5033</v>
      </c>
      <c r="AB5053" s="37">
        <v>1.884301234644377</v>
      </c>
      <c r="AC5053" s="37">
        <v>2.6718147002594406</v>
      </c>
      <c r="AD5053" s="37">
        <v>3.1700128509635448</v>
      </c>
    </row>
    <row r="5054" spans="27:30" x14ac:dyDescent="0.3">
      <c r="AA5054" s="37">
        <v>5034</v>
      </c>
      <c r="AB5054" s="37">
        <v>1.7501406058113245</v>
      </c>
      <c r="AC5054" s="37">
        <v>2.6992595557917527</v>
      </c>
      <c r="AD5054" s="37">
        <v>3.1356995353220176</v>
      </c>
    </row>
    <row r="5055" spans="27:30" x14ac:dyDescent="0.3">
      <c r="AA5055" s="37">
        <v>5035</v>
      </c>
      <c r="AB5055" s="37">
        <v>1.7269520836393286</v>
      </c>
      <c r="AC5055" s="37">
        <v>3.1202169962271729</v>
      </c>
      <c r="AD5055" s="37">
        <v>3.3917702201210478</v>
      </c>
    </row>
    <row r="5056" spans="27:30" x14ac:dyDescent="0.3">
      <c r="AA5056" s="37">
        <v>5036</v>
      </c>
      <c r="AB5056" s="37">
        <v>1.7958202613449057</v>
      </c>
      <c r="AC5056" s="37">
        <v>2.6815263252871344</v>
      </c>
      <c r="AD5056" s="37">
        <v>3.152286641272398</v>
      </c>
    </row>
    <row r="5057" spans="27:30" x14ac:dyDescent="0.3">
      <c r="AA5057" s="37">
        <v>5037</v>
      </c>
      <c r="AB5057" s="37">
        <v>1.7461934963795598</v>
      </c>
      <c r="AC5057" s="37">
        <v>2.9657632401003666</v>
      </c>
      <c r="AD5057" s="37">
        <v>3.3272891666649373</v>
      </c>
    </row>
    <row r="5058" spans="27:30" x14ac:dyDescent="0.3">
      <c r="AA5058" s="37">
        <v>5038</v>
      </c>
      <c r="AB5058" s="37">
        <v>1.8364589301223075</v>
      </c>
      <c r="AC5058" s="37">
        <v>2.7756605829070251</v>
      </c>
      <c r="AD5058" s="37">
        <v>3.3704516030495655</v>
      </c>
    </row>
    <row r="5059" spans="27:30" x14ac:dyDescent="0.3">
      <c r="AA5059" s="37">
        <v>5039</v>
      </c>
      <c r="AB5059" s="37">
        <v>1.733468543498673</v>
      </c>
      <c r="AC5059" s="37">
        <v>2.7843063669173658</v>
      </c>
      <c r="AD5059" s="37">
        <v>3.2626335137261573</v>
      </c>
    </row>
    <row r="5060" spans="27:30" x14ac:dyDescent="0.3">
      <c r="AA5060" s="37">
        <v>5040</v>
      </c>
      <c r="AB5060" s="37">
        <v>1.8067348613730467</v>
      </c>
      <c r="AC5060" s="37">
        <v>2.8836132260973608</v>
      </c>
      <c r="AD5060" s="37">
        <v>3.4441460348453781</v>
      </c>
    </row>
    <row r="5061" spans="27:30" x14ac:dyDescent="0.3">
      <c r="AA5061" s="37">
        <v>5041</v>
      </c>
      <c r="AB5061" s="37">
        <v>1.7432130386808125</v>
      </c>
      <c r="AC5061" s="37">
        <v>2.9139505182484413</v>
      </c>
      <c r="AD5061" s="37">
        <v>3.2642535754790489</v>
      </c>
    </row>
    <row r="5062" spans="27:30" x14ac:dyDescent="0.3">
      <c r="AA5062" s="37">
        <v>5042</v>
      </c>
      <c r="AB5062" s="37">
        <v>1.8014047095263783</v>
      </c>
      <c r="AC5062" s="37">
        <v>2.8673917986334869</v>
      </c>
      <c r="AD5062" s="37">
        <v>3.328223783569956</v>
      </c>
    </row>
    <row r="5063" spans="27:30" x14ac:dyDescent="0.3">
      <c r="AA5063" s="37">
        <v>5043</v>
      </c>
      <c r="AB5063" s="37">
        <v>1.8306502598693646</v>
      </c>
      <c r="AC5063" s="37">
        <v>2.8146601773800279</v>
      </c>
      <c r="AD5063" s="37">
        <v>3.3573902386894443</v>
      </c>
    </row>
    <row r="5064" spans="27:30" x14ac:dyDescent="0.3">
      <c r="AA5064" s="37">
        <v>5044</v>
      </c>
      <c r="AB5064" s="37">
        <v>1.741889305239225</v>
      </c>
      <c r="AC5064" s="37">
        <v>2.8203503078080381</v>
      </c>
      <c r="AD5064" s="37">
        <v>3.1975523320050878</v>
      </c>
    </row>
    <row r="5065" spans="27:30" x14ac:dyDescent="0.3">
      <c r="AA5065" s="37">
        <v>5045</v>
      </c>
      <c r="AB5065" s="37">
        <v>1.7714751437577749</v>
      </c>
      <c r="AC5065" s="37">
        <v>2.8329632944516852</v>
      </c>
      <c r="AD5065" s="37">
        <v>3.5720898119238629</v>
      </c>
    </row>
    <row r="5066" spans="27:30" x14ac:dyDescent="0.3">
      <c r="AA5066" s="37">
        <v>5046</v>
      </c>
      <c r="AB5066" s="37">
        <v>1.781575216575022</v>
      </c>
      <c r="AC5066" s="37">
        <v>2.8808927093976497</v>
      </c>
      <c r="AD5066" s="37">
        <v>3.4365927945197368</v>
      </c>
    </row>
    <row r="5067" spans="27:30" x14ac:dyDescent="0.3">
      <c r="AA5067" s="37">
        <v>5047</v>
      </c>
      <c r="AB5067" s="37">
        <v>1.7074007880385114</v>
      </c>
      <c r="AC5067" s="37">
        <v>2.8189581996873465</v>
      </c>
      <c r="AD5067" s="37">
        <v>3.3520491315819703</v>
      </c>
    </row>
    <row r="5068" spans="27:30" x14ac:dyDescent="0.3">
      <c r="AA5068" s="37">
        <v>5048</v>
      </c>
      <c r="AB5068" s="37">
        <v>1.7364619019424661</v>
      </c>
      <c r="AC5068" s="37">
        <v>2.8931417467138258</v>
      </c>
      <c r="AD5068" s="37">
        <v>3.226219290930088</v>
      </c>
    </row>
    <row r="5069" spans="27:30" x14ac:dyDescent="0.3">
      <c r="AA5069" s="37">
        <v>5049</v>
      </c>
      <c r="AB5069" s="37">
        <v>1.6837699753060991</v>
      </c>
      <c r="AC5069" s="37">
        <v>2.9743456767091572</v>
      </c>
      <c r="AD5069" s="37">
        <v>3.2685836002686393</v>
      </c>
    </row>
    <row r="5070" spans="27:30" x14ac:dyDescent="0.3">
      <c r="AA5070" s="37">
        <v>5050</v>
      </c>
      <c r="AB5070" s="37">
        <v>1.7623342094134604</v>
      </c>
      <c r="AC5070" s="37">
        <v>2.8711073998563998</v>
      </c>
      <c r="AD5070" s="37">
        <v>3.4379065297943687</v>
      </c>
    </row>
    <row r="5071" spans="27:30" x14ac:dyDescent="0.3">
      <c r="AA5071" s="37">
        <v>5051</v>
      </c>
      <c r="AB5071" s="37">
        <v>1.7827170804089414</v>
      </c>
      <c r="AC5071" s="37">
        <v>2.6802263861086275</v>
      </c>
      <c r="AD5071" s="37">
        <v>3.2914307613469935</v>
      </c>
    </row>
    <row r="5072" spans="27:30" x14ac:dyDescent="0.3">
      <c r="AA5072" s="37">
        <v>5052</v>
      </c>
      <c r="AB5072" s="37">
        <v>1.7723828140518925</v>
      </c>
      <c r="AC5072" s="37">
        <v>2.8884783292551175</v>
      </c>
      <c r="AD5072" s="37">
        <v>3.3824272259703489</v>
      </c>
    </row>
    <row r="5073" spans="27:30" x14ac:dyDescent="0.3">
      <c r="AA5073" s="37">
        <v>5053</v>
      </c>
      <c r="AB5073" s="37">
        <v>1.7822185812811013</v>
      </c>
      <c r="AC5073" s="37">
        <v>2.9822953345050531</v>
      </c>
      <c r="AD5073" s="37">
        <v>3.4453984810132399</v>
      </c>
    </row>
    <row r="5074" spans="27:30" x14ac:dyDescent="0.3">
      <c r="AA5074" s="37">
        <v>5054</v>
      </c>
      <c r="AB5074" s="37">
        <v>1.7530749243680104</v>
      </c>
      <c r="AC5074" s="37">
        <v>2.9339282492024976</v>
      </c>
      <c r="AD5074" s="37">
        <v>3.1748946229806965</v>
      </c>
    </row>
    <row r="5075" spans="27:30" x14ac:dyDescent="0.3">
      <c r="AA5075" s="37">
        <v>5055</v>
      </c>
      <c r="AB5075" s="37">
        <v>1.7632337326897631</v>
      </c>
      <c r="AC5075" s="37">
        <v>2.797854974717652</v>
      </c>
      <c r="AD5075" s="37">
        <v>3.1994621091792594</v>
      </c>
    </row>
    <row r="5076" spans="27:30" x14ac:dyDescent="0.3">
      <c r="AA5076" s="37">
        <v>5056</v>
      </c>
      <c r="AB5076" s="37">
        <v>1.7523827784787169</v>
      </c>
      <c r="AC5076" s="37">
        <v>2.8648994574791855</v>
      </c>
      <c r="AD5076" s="37">
        <v>3.4266740112033669</v>
      </c>
    </row>
    <row r="5077" spans="27:30" x14ac:dyDescent="0.3">
      <c r="AA5077" s="37">
        <v>5057</v>
      </c>
      <c r="AB5077" s="37">
        <v>1.7763537148609254</v>
      </c>
      <c r="AC5077" s="37">
        <v>2.7596597244207342</v>
      </c>
      <c r="AD5077" s="37">
        <v>3.6134926105520901</v>
      </c>
    </row>
    <row r="5078" spans="27:30" x14ac:dyDescent="0.3">
      <c r="AA5078" s="37">
        <v>5058</v>
      </c>
      <c r="AB5078" s="37">
        <v>1.7324827337512245</v>
      </c>
      <c r="AC5078" s="37">
        <v>2.823274589914905</v>
      </c>
      <c r="AD5078" s="37">
        <v>3.2646926795412039</v>
      </c>
    </row>
    <row r="5079" spans="27:30" x14ac:dyDescent="0.3">
      <c r="AA5079" s="37">
        <v>5059</v>
      </c>
      <c r="AB5079" s="37">
        <v>1.8112358584569659</v>
      </c>
      <c r="AC5079" s="37">
        <v>2.8361711196423394</v>
      </c>
      <c r="AD5079" s="37">
        <v>3.2665432917267885</v>
      </c>
    </row>
    <row r="5080" spans="27:30" x14ac:dyDescent="0.3">
      <c r="AA5080" s="37">
        <v>5060</v>
      </c>
      <c r="AB5080" s="37">
        <v>1.7674466348338922</v>
      </c>
      <c r="AC5080" s="37">
        <v>2.9324624795924206</v>
      </c>
      <c r="AD5080" s="37">
        <v>3.2613207362565078</v>
      </c>
    </row>
    <row r="5081" spans="27:30" x14ac:dyDescent="0.3">
      <c r="AA5081" s="37">
        <v>5061</v>
      </c>
      <c r="AB5081" s="37">
        <v>1.8790759246863826</v>
      </c>
      <c r="AC5081" s="37">
        <v>2.6417122941170774</v>
      </c>
      <c r="AD5081" s="37">
        <v>3.5300353031400848</v>
      </c>
    </row>
    <row r="5082" spans="27:30" x14ac:dyDescent="0.3">
      <c r="AA5082" s="37">
        <v>5062</v>
      </c>
      <c r="AB5082" s="37">
        <v>1.7833651629533296</v>
      </c>
      <c r="AC5082" s="37">
        <v>2.7154088529178022</v>
      </c>
      <c r="AD5082" s="37">
        <v>3.2567642664945207</v>
      </c>
    </row>
    <row r="5083" spans="27:30" x14ac:dyDescent="0.3">
      <c r="AA5083" s="37">
        <v>5063</v>
      </c>
      <c r="AB5083" s="37">
        <v>1.7875894409994975</v>
      </c>
      <c r="AC5083" s="37">
        <v>2.8552448784741102</v>
      </c>
      <c r="AD5083" s="37">
        <v>3.5007686327261109</v>
      </c>
    </row>
    <row r="5084" spans="27:30" x14ac:dyDescent="0.3">
      <c r="AA5084" s="37">
        <v>5064</v>
      </c>
      <c r="AB5084" s="37">
        <v>1.8135608677809711</v>
      </c>
      <c r="AC5084" s="37">
        <v>2.8383137379963967</v>
      </c>
      <c r="AD5084" s="37">
        <v>3.3677380763314999</v>
      </c>
    </row>
    <row r="5085" spans="27:30" x14ac:dyDescent="0.3">
      <c r="AA5085" s="37">
        <v>5065</v>
      </c>
      <c r="AB5085" s="37">
        <v>1.8292254453462908</v>
      </c>
      <c r="AC5085" s="37">
        <v>2.7467969655741222</v>
      </c>
      <c r="AD5085" s="37">
        <v>3.3605018674384328</v>
      </c>
    </row>
    <row r="5086" spans="27:30" x14ac:dyDescent="0.3">
      <c r="AA5086" s="37">
        <v>5066</v>
      </c>
      <c r="AB5086" s="37">
        <v>1.7845073571148391</v>
      </c>
      <c r="AC5086" s="37">
        <v>2.8558798153092821</v>
      </c>
      <c r="AD5086" s="37">
        <v>3.2026880246671121</v>
      </c>
    </row>
    <row r="5087" spans="27:30" x14ac:dyDescent="0.3">
      <c r="AA5087" s="37">
        <v>5067</v>
      </c>
      <c r="AB5087" s="37">
        <v>1.8867080325173098</v>
      </c>
      <c r="AC5087" s="37">
        <v>2.8685163869412573</v>
      </c>
      <c r="AD5087" s="37">
        <v>3.4737216392845633</v>
      </c>
    </row>
    <row r="5088" spans="27:30" x14ac:dyDescent="0.3">
      <c r="AA5088" s="37">
        <v>5068</v>
      </c>
      <c r="AB5088" s="37">
        <v>1.8427355862809456</v>
      </c>
      <c r="AC5088" s="37">
        <v>2.8097780492163507</v>
      </c>
      <c r="AD5088" s="37">
        <v>3.2944144161819224</v>
      </c>
    </row>
    <row r="5089" spans="27:30" x14ac:dyDescent="0.3">
      <c r="AA5089" s="37">
        <v>5069</v>
      </c>
      <c r="AB5089" s="37">
        <v>1.8624790233259922</v>
      </c>
      <c r="AC5089" s="37">
        <v>2.7460309932742955</v>
      </c>
      <c r="AD5089" s="37">
        <v>3.4792363085444622</v>
      </c>
    </row>
    <row r="5090" spans="27:30" x14ac:dyDescent="0.3">
      <c r="AA5090" s="37">
        <v>5070</v>
      </c>
      <c r="AB5090" s="37">
        <v>1.7402166090778319</v>
      </c>
      <c r="AC5090" s="37">
        <v>2.7581367331713813</v>
      </c>
      <c r="AD5090" s="37">
        <v>3.4353175443187625</v>
      </c>
    </row>
    <row r="5091" spans="27:30" x14ac:dyDescent="0.3">
      <c r="AA5091" s="37">
        <v>5071</v>
      </c>
      <c r="AB5091" s="37">
        <v>1.6921140070411953</v>
      </c>
      <c r="AC5091" s="37">
        <v>3.0268712230627308</v>
      </c>
      <c r="AD5091" s="37">
        <v>3.3101405432531075</v>
      </c>
    </row>
    <row r="5092" spans="27:30" x14ac:dyDescent="0.3">
      <c r="AA5092" s="37">
        <v>5072</v>
      </c>
      <c r="AB5092" s="37">
        <v>1.7802824549402052</v>
      </c>
      <c r="AC5092" s="37">
        <v>2.7376118475838163</v>
      </c>
      <c r="AD5092" s="37">
        <v>3.1666789413111878</v>
      </c>
    </row>
    <row r="5093" spans="27:30" x14ac:dyDescent="0.3">
      <c r="AA5093" s="37">
        <v>5073</v>
      </c>
      <c r="AB5093" s="37">
        <v>1.7005406251520188</v>
      </c>
      <c r="AC5093" s="37">
        <v>2.8425862199429823</v>
      </c>
      <c r="AD5093" s="37">
        <v>3.2492036670442968</v>
      </c>
    </row>
    <row r="5094" spans="27:30" x14ac:dyDescent="0.3">
      <c r="AA5094" s="37">
        <v>5074</v>
      </c>
      <c r="AB5094" s="37">
        <v>1.7831984100074243</v>
      </c>
      <c r="AC5094" s="37">
        <v>3.0269225739085237</v>
      </c>
      <c r="AD5094" s="37">
        <v>3.3749541263636558</v>
      </c>
    </row>
    <row r="5095" spans="27:30" x14ac:dyDescent="0.3">
      <c r="AA5095" s="37">
        <v>5075</v>
      </c>
      <c r="AB5095" s="37">
        <v>1.8685325359669256</v>
      </c>
      <c r="AC5095" s="37">
        <v>2.7725355585582023</v>
      </c>
      <c r="AD5095" s="37">
        <v>3.2192469434350768</v>
      </c>
    </row>
    <row r="5096" spans="27:30" x14ac:dyDescent="0.3">
      <c r="AA5096" s="37">
        <v>5076</v>
      </c>
      <c r="AB5096" s="37">
        <v>1.6993965902207933</v>
      </c>
      <c r="AC5096" s="37">
        <v>2.7722128139652833</v>
      </c>
      <c r="AD5096" s="37">
        <v>3.3536936309337118</v>
      </c>
    </row>
    <row r="5097" spans="27:30" x14ac:dyDescent="0.3">
      <c r="AA5097" s="37">
        <v>5077</v>
      </c>
      <c r="AB5097" s="37">
        <v>1.7785455780173924</v>
      </c>
      <c r="AC5097" s="37">
        <v>2.9147092438978111</v>
      </c>
      <c r="AD5097" s="37">
        <v>3.374202013406804</v>
      </c>
    </row>
    <row r="5098" spans="27:30" x14ac:dyDescent="0.3">
      <c r="AA5098" s="37">
        <v>5078</v>
      </c>
      <c r="AB5098" s="37">
        <v>1.887167341042393</v>
      </c>
      <c r="AC5098" s="37">
        <v>2.8899543272090016</v>
      </c>
      <c r="AD5098" s="37">
        <v>3.3618644614384463</v>
      </c>
    </row>
    <row r="5099" spans="27:30" x14ac:dyDescent="0.3">
      <c r="AA5099" s="37">
        <v>5079</v>
      </c>
      <c r="AB5099" s="37">
        <v>1.808800623852127</v>
      </c>
      <c r="AC5099" s="37">
        <v>2.9083261859140177</v>
      </c>
      <c r="AD5099" s="37">
        <v>3.3586805852524821</v>
      </c>
    </row>
    <row r="5100" spans="27:30" x14ac:dyDescent="0.3">
      <c r="AA5100" s="37">
        <v>5080</v>
      </c>
      <c r="AB5100" s="37">
        <v>1.7292790840061987</v>
      </c>
      <c r="AC5100" s="37">
        <v>2.7784508829975736</v>
      </c>
      <c r="AD5100" s="37">
        <v>3.2347348023246387</v>
      </c>
    </row>
    <row r="5101" spans="27:30" x14ac:dyDescent="0.3">
      <c r="AA5101" s="37">
        <v>5081</v>
      </c>
      <c r="AB5101" s="37">
        <v>1.78778627744556</v>
      </c>
      <c r="AC5101" s="37">
        <v>2.8959486224551521</v>
      </c>
      <c r="AD5101" s="37">
        <v>3.1826253758288452</v>
      </c>
    </row>
    <row r="5102" spans="27:30" x14ac:dyDescent="0.3">
      <c r="AA5102" s="37">
        <v>5082</v>
      </c>
      <c r="AB5102" s="37">
        <v>1.6955789695869039</v>
      </c>
      <c r="AC5102" s="37">
        <v>2.8391820572982125</v>
      </c>
      <c r="AD5102" s="37">
        <v>3.1760169061706809</v>
      </c>
    </row>
    <row r="5103" spans="27:30" x14ac:dyDescent="0.3">
      <c r="AA5103" s="37">
        <v>5083</v>
      </c>
      <c r="AB5103" s="37">
        <v>1.6967786758285215</v>
      </c>
      <c r="AC5103" s="37">
        <v>2.7757116803445485</v>
      </c>
      <c r="AD5103" s="37">
        <v>3.4647966528951306</v>
      </c>
    </row>
    <row r="5104" spans="27:30" x14ac:dyDescent="0.3">
      <c r="AA5104" s="37">
        <v>5084</v>
      </c>
      <c r="AB5104" s="37">
        <v>1.85587632626197</v>
      </c>
      <c r="AC5104" s="37">
        <v>2.8234679699683949</v>
      </c>
      <c r="AD5104" s="37">
        <v>3.091960897259646</v>
      </c>
    </row>
    <row r="5105" spans="27:30" x14ac:dyDescent="0.3">
      <c r="AA5105" s="37">
        <v>5085</v>
      </c>
      <c r="AB5105" s="37">
        <v>1.6577585234104066</v>
      </c>
      <c r="AC5105" s="37">
        <v>2.8908677701302885</v>
      </c>
      <c r="AD5105" s="37">
        <v>3.0608313882447424</v>
      </c>
    </row>
    <row r="5106" spans="27:30" x14ac:dyDescent="0.3">
      <c r="AA5106" s="37">
        <v>5086</v>
      </c>
      <c r="AB5106" s="37">
        <v>1.7833914550139709</v>
      </c>
      <c r="AC5106" s="37">
        <v>2.9438086191796495</v>
      </c>
      <c r="AD5106" s="37">
        <v>3.256424457643095</v>
      </c>
    </row>
    <row r="5107" spans="27:30" x14ac:dyDescent="0.3">
      <c r="AA5107" s="37">
        <v>5087</v>
      </c>
      <c r="AB5107" s="37">
        <v>1.7595196961603443</v>
      </c>
      <c r="AC5107" s="37">
        <v>3.0074621716190384</v>
      </c>
      <c r="AD5107" s="37">
        <v>3.3221686270626782</v>
      </c>
    </row>
    <row r="5108" spans="27:30" x14ac:dyDescent="0.3">
      <c r="AA5108" s="37">
        <v>5088</v>
      </c>
      <c r="AB5108" s="37">
        <v>1.8550226543222859</v>
      </c>
      <c r="AC5108" s="37">
        <v>2.9162140403353001</v>
      </c>
      <c r="AD5108" s="37">
        <v>3.4206384191003605</v>
      </c>
    </row>
    <row r="5109" spans="27:30" x14ac:dyDescent="0.3">
      <c r="AA5109" s="37">
        <v>5089</v>
      </c>
      <c r="AB5109" s="37">
        <v>1.6820226139070245</v>
      </c>
      <c r="AC5109" s="37">
        <v>3.0074243889854824</v>
      </c>
      <c r="AD5109" s="37">
        <v>3.3571285151001224</v>
      </c>
    </row>
    <row r="5110" spans="27:30" x14ac:dyDescent="0.3">
      <c r="AA5110" s="37">
        <v>5090</v>
      </c>
      <c r="AB5110" s="37">
        <v>1.7561142944613901</v>
      </c>
      <c r="AC5110" s="37">
        <v>2.8007551495270264</v>
      </c>
      <c r="AD5110" s="37">
        <v>3.235082599833603</v>
      </c>
    </row>
    <row r="5111" spans="27:30" x14ac:dyDescent="0.3">
      <c r="AA5111" s="37">
        <v>5091</v>
      </c>
      <c r="AB5111" s="37">
        <v>1.7385896834412156</v>
      </c>
      <c r="AC5111" s="37">
        <v>2.7822824115523033</v>
      </c>
      <c r="AD5111" s="37">
        <v>3.1564142885798829</v>
      </c>
    </row>
    <row r="5112" spans="27:30" x14ac:dyDescent="0.3">
      <c r="AA5112" s="37">
        <v>5092</v>
      </c>
      <c r="AB5112" s="37">
        <v>1.834959082226022</v>
      </c>
      <c r="AC5112" s="37">
        <v>2.86534748044867</v>
      </c>
      <c r="AD5112" s="37">
        <v>3.2850614838918974</v>
      </c>
    </row>
    <row r="5113" spans="27:30" x14ac:dyDescent="0.3">
      <c r="AA5113" s="37">
        <v>5093</v>
      </c>
      <c r="AB5113" s="37">
        <v>1.7155152819026867</v>
      </c>
      <c r="AC5113" s="37">
        <v>2.6432293759777994</v>
      </c>
      <c r="AD5113" s="37">
        <v>3.2799632249312944</v>
      </c>
    </row>
    <row r="5114" spans="27:30" x14ac:dyDescent="0.3">
      <c r="AA5114" s="37">
        <v>5094</v>
      </c>
      <c r="AB5114" s="37">
        <v>1.7570639803273957</v>
      </c>
      <c r="AC5114" s="37">
        <v>2.8921091695761976</v>
      </c>
      <c r="AD5114" s="37">
        <v>3.2871067393034452</v>
      </c>
    </row>
    <row r="5115" spans="27:30" x14ac:dyDescent="0.3">
      <c r="AA5115" s="37">
        <v>5095</v>
      </c>
      <c r="AB5115" s="37">
        <v>1.6560411041759577</v>
      </c>
      <c r="AC5115" s="37">
        <v>2.761164235438589</v>
      </c>
      <c r="AD5115" s="37">
        <v>3.2374354075979124</v>
      </c>
    </row>
    <row r="5116" spans="27:30" x14ac:dyDescent="0.3">
      <c r="AA5116" s="37">
        <v>5096</v>
      </c>
      <c r="AB5116" s="37">
        <v>1.7968614204967601</v>
      </c>
      <c r="AC5116" s="37">
        <v>2.9878640253349702</v>
      </c>
      <c r="AD5116" s="37">
        <v>3.4193168233901492</v>
      </c>
    </row>
    <row r="5117" spans="27:30" x14ac:dyDescent="0.3">
      <c r="AA5117" s="37">
        <v>5097</v>
      </c>
      <c r="AB5117" s="37">
        <v>1.821243571311993</v>
      </c>
      <c r="AC5117" s="37">
        <v>3.0040103419978625</v>
      </c>
      <c r="AD5117" s="37">
        <v>3.366160192437901</v>
      </c>
    </row>
    <row r="5118" spans="27:30" x14ac:dyDescent="0.3">
      <c r="AA5118" s="37">
        <v>5098</v>
      </c>
      <c r="AB5118" s="37">
        <v>1.7534103309155014</v>
      </c>
      <c r="AC5118" s="37">
        <v>2.8808246226905445</v>
      </c>
      <c r="AD5118" s="37">
        <v>3.2015479159751306</v>
      </c>
    </row>
    <row r="5119" spans="27:30" x14ac:dyDescent="0.3">
      <c r="AA5119" s="37">
        <v>5099</v>
      </c>
      <c r="AB5119" s="37">
        <v>1.7818831265710966</v>
      </c>
      <c r="AC5119" s="37">
        <v>2.9198135498880671</v>
      </c>
      <c r="AD5119" s="37">
        <v>3.4740125378608657</v>
      </c>
    </row>
    <row r="5120" spans="27:30" x14ac:dyDescent="0.3">
      <c r="AA5120" s="37">
        <v>5100</v>
      </c>
      <c r="AB5120" s="37">
        <v>1.7759735284620559</v>
      </c>
      <c r="AC5120" s="37">
        <v>2.7828450197205199</v>
      </c>
      <c r="AD5120" s="37">
        <v>3.2121684121826886</v>
      </c>
    </row>
    <row r="5121" spans="27:30" x14ac:dyDescent="0.3">
      <c r="AA5121" s="37">
        <v>5101</v>
      </c>
      <c r="AB5121" s="37">
        <v>1.6995719253998036</v>
      </c>
      <c r="AC5121" s="37">
        <v>2.8609398305368003</v>
      </c>
      <c r="AD5121" s="37">
        <v>3.2916597323425458</v>
      </c>
    </row>
    <row r="5122" spans="27:30" x14ac:dyDescent="0.3">
      <c r="AA5122" s="37">
        <v>5102</v>
      </c>
      <c r="AB5122" s="37">
        <v>1.7498584742501428</v>
      </c>
      <c r="AC5122" s="37">
        <v>2.8553835752304164</v>
      </c>
      <c r="AD5122" s="37">
        <v>3.510212692746967</v>
      </c>
    </row>
    <row r="5123" spans="27:30" x14ac:dyDescent="0.3">
      <c r="AA5123" s="37">
        <v>5103</v>
      </c>
      <c r="AB5123" s="37">
        <v>1.7601285810863798</v>
      </c>
      <c r="AC5123" s="37">
        <v>2.8680341284117663</v>
      </c>
      <c r="AD5123" s="37">
        <v>3.4547188869390313</v>
      </c>
    </row>
    <row r="5124" spans="27:30" x14ac:dyDescent="0.3">
      <c r="AA5124" s="37">
        <v>5104</v>
      </c>
      <c r="AB5124" s="37">
        <v>1.8049648975325217</v>
      </c>
      <c r="AC5124" s="37">
        <v>2.857031187763412</v>
      </c>
      <c r="AD5124" s="37">
        <v>3.4205595965614184</v>
      </c>
    </row>
    <row r="5125" spans="27:30" x14ac:dyDescent="0.3">
      <c r="AA5125" s="37">
        <v>5105</v>
      </c>
      <c r="AB5125" s="37">
        <v>1.8126707358888947</v>
      </c>
      <c r="AC5125" s="37">
        <v>2.8498985831593666</v>
      </c>
      <c r="AD5125" s="37">
        <v>3.4509758762763929</v>
      </c>
    </row>
    <row r="5126" spans="27:30" x14ac:dyDescent="0.3">
      <c r="AA5126" s="37">
        <v>5106</v>
      </c>
      <c r="AB5126" s="37">
        <v>1.8715225482433131</v>
      </c>
      <c r="AC5126" s="37">
        <v>2.9995848368471276</v>
      </c>
      <c r="AD5126" s="37">
        <v>3.2114779425161251</v>
      </c>
    </row>
    <row r="5127" spans="27:30" x14ac:dyDescent="0.3">
      <c r="AA5127" s="37">
        <v>5107</v>
      </c>
      <c r="AB5127" s="37">
        <v>1.7855426812157886</v>
      </c>
      <c r="AC5127" s="37">
        <v>2.7963322895969962</v>
      </c>
      <c r="AD5127" s="37">
        <v>3.1911591028935731</v>
      </c>
    </row>
    <row r="5128" spans="27:30" x14ac:dyDescent="0.3">
      <c r="AA5128" s="37">
        <v>5108</v>
      </c>
      <c r="AB5128" s="37">
        <v>1.8263937745226364</v>
      </c>
      <c r="AC5128" s="37">
        <v>2.7952586148666767</v>
      </c>
      <c r="AD5128" s="37">
        <v>3.6269130701922982</v>
      </c>
    </row>
    <row r="5129" spans="27:30" x14ac:dyDescent="0.3">
      <c r="AA5129" s="37">
        <v>5109</v>
      </c>
      <c r="AB5129" s="37">
        <v>1.7646006509790086</v>
      </c>
      <c r="AC5129" s="37">
        <v>2.833260959574142</v>
      </c>
      <c r="AD5129" s="37">
        <v>3.3027638485555588</v>
      </c>
    </row>
    <row r="5130" spans="27:30" x14ac:dyDescent="0.3">
      <c r="AA5130" s="37">
        <v>5110</v>
      </c>
      <c r="AB5130" s="37">
        <v>1.8600171050172045</v>
      </c>
      <c r="AC5130" s="37">
        <v>2.9817598260853484</v>
      </c>
      <c r="AD5130" s="37">
        <v>3.4438575129727922</v>
      </c>
    </row>
    <row r="5131" spans="27:30" x14ac:dyDescent="0.3">
      <c r="AA5131" s="37">
        <v>5111</v>
      </c>
      <c r="AB5131" s="37">
        <v>1.8959604986474921</v>
      </c>
      <c r="AC5131" s="37">
        <v>2.8945238803887987</v>
      </c>
      <c r="AD5131" s="37">
        <v>3.3335066486214382</v>
      </c>
    </row>
    <row r="5132" spans="27:30" x14ac:dyDescent="0.3">
      <c r="AA5132" s="37">
        <v>5112</v>
      </c>
      <c r="AB5132" s="37">
        <v>1.8369876029884094</v>
      </c>
      <c r="AC5132" s="37">
        <v>2.723709150817899</v>
      </c>
      <c r="AD5132" s="37">
        <v>3.5168358751223407</v>
      </c>
    </row>
    <row r="5133" spans="27:30" x14ac:dyDescent="0.3">
      <c r="AA5133" s="37">
        <v>5113</v>
      </c>
      <c r="AB5133" s="37">
        <v>1.7297106268312468</v>
      </c>
      <c r="AC5133" s="37">
        <v>2.8623384482579071</v>
      </c>
      <c r="AD5133" s="37">
        <v>3.269797438977442</v>
      </c>
    </row>
    <row r="5134" spans="27:30" x14ac:dyDescent="0.3">
      <c r="AA5134" s="37">
        <v>5114</v>
      </c>
      <c r="AB5134" s="37">
        <v>1.7259250222195488</v>
      </c>
      <c r="AC5134" s="37">
        <v>2.816188868145808</v>
      </c>
      <c r="AD5134" s="37">
        <v>3.1773850907068426</v>
      </c>
    </row>
    <row r="5135" spans="27:30" x14ac:dyDescent="0.3">
      <c r="AA5135" s="37">
        <v>5115</v>
      </c>
      <c r="AB5135" s="37">
        <v>1.7062058148356718</v>
      </c>
      <c r="AC5135" s="37">
        <v>2.8283174744317048</v>
      </c>
      <c r="AD5135" s="37">
        <v>3.2919871861220984</v>
      </c>
    </row>
    <row r="5136" spans="27:30" x14ac:dyDescent="0.3">
      <c r="AA5136" s="37">
        <v>5116</v>
      </c>
      <c r="AB5136" s="37">
        <v>1.7795244413292926</v>
      </c>
      <c r="AC5136" s="37">
        <v>2.8147130475887434</v>
      </c>
      <c r="AD5136" s="37">
        <v>3.2011535795984249</v>
      </c>
    </row>
    <row r="5137" spans="27:30" x14ac:dyDescent="0.3">
      <c r="AA5137" s="37">
        <v>5117</v>
      </c>
      <c r="AB5137" s="37">
        <v>1.9237244998799554</v>
      </c>
      <c r="AC5137" s="37">
        <v>2.9362747525166641</v>
      </c>
      <c r="AD5137" s="37">
        <v>3.0796786100184783</v>
      </c>
    </row>
    <row r="5138" spans="27:30" x14ac:dyDescent="0.3">
      <c r="AA5138" s="37">
        <v>5118</v>
      </c>
      <c r="AB5138" s="37">
        <v>1.8302094848850969</v>
      </c>
      <c r="AC5138" s="37">
        <v>2.9438119626082333</v>
      </c>
      <c r="AD5138" s="37">
        <v>3.3493612671342436</v>
      </c>
    </row>
    <row r="5139" spans="27:30" x14ac:dyDescent="0.3">
      <c r="AA5139" s="37">
        <v>5119</v>
      </c>
      <c r="AB5139" s="37">
        <v>1.848569012084285</v>
      </c>
      <c r="AC5139" s="37">
        <v>2.8916977343586723</v>
      </c>
      <c r="AD5139" s="37">
        <v>3.2478940515131161</v>
      </c>
    </row>
    <row r="5140" spans="27:30" x14ac:dyDescent="0.3">
      <c r="AA5140" s="37">
        <v>5120</v>
      </c>
      <c r="AB5140" s="37">
        <v>1.8135351506681221</v>
      </c>
      <c r="AC5140" s="37">
        <v>2.886317152364366</v>
      </c>
      <c r="AD5140" s="37">
        <v>3.2724883165410739</v>
      </c>
    </row>
    <row r="5141" spans="27:30" x14ac:dyDescent="0.3">
      <c r="AA5141" s="37">
        <v>5121</v>
      </c>
      <c r="AB5141" s="37">
        <v>1.8117756091807609</v>
      </c>
      <c r="AC5141" s="37">
        <v>2.8529229147518911</v>
      </c>
      <c r="AD5141" s="37">
        <v>3.4856283450398657</v>
      </c>
    </row>
    <row r="5142" spans="27:30" x14ac:dyDescent="0.3">
      <c r="AA5142" s="37">
        <v>5122</v>
      </c>
      <c r="AB5142" s="37">
        <v>1.800440066180315</v>
      </c>
      <c r="AC5142" s="37">
        <v>2.647170006260704</v>
      </c>
      <c r="AD5142" s="37">
        <v>3.3816234615787386</v>
      </c>
    </row>
    <row r="5143" spans="27:30" x14ac:dyDescent="0.3">
      <c r="AA5143" s="37">
        <v>5123</v>
      </c>
      <c r="AB5143" s="37">
        <v>1.8826512583478725</v>
      </c>
      <c r="AC5143" s="37">
        <v>2.9894097751689896</v>
      </c>
      <c r="AD5143" s="37">
        <v>3.5498680867642443</v>
      </c>
    </row>
    <row r="5144" spans="27:30" x14ac:dyDescent="0.3">
      <c r="AA5144" s="37">
        <v>5124</v>
      </c>
      <c r="AB5144" s="37">
        <v>1.8849820745009487</v>
      </c>
      <c r="AC5144" s="37">
        <v>2.873786992024479</v>
      </c>
      <c r="AD5144" s="37">
        <v>3.3800773434657598</v>
      </c>
    </row>
    <row r="5145" spans="27:30" x14ac:dyDescent="0.3">
      <c r="AA5145" s="37">
        <v>5125</v>
      </c>
      <c r="AB5145" s="37">
        <v>1.789698629120049</v>
      </c>
      <c r="AC5145" s="37">
        <v>2.6199410888550525</v>
      </c>
      <c r="AD5145" s="37">
        <v>3.6619199897409334</v>
      </c>
    </row>
    <row r="5146" spans="27:30" x14ac:dyDescent="0.3">
      <c r="AA5146" s="37">
        <v>5126</v>
      </c>
      <c r="AB5146" s="37">
        <v>1.7727454067203365</v>
      </c>
      <c r="AC5146" s="37">
        <v>2.8975841714046568</v>
      </c>
      <c r="AD5146" s="37">
        <v>3.4833562883996074</v>
      </c>
    </row>
    <row r="5147" spans="27:30" x14ac:dyDescent="0.3">
      <c r="AA5147" s="37">
        <v>5127</v>
      </c>
      <c r="AB5147" s="37">
        <v>1.796046585575648</v>
      </c>
      <c r="AC5147" s="37">
        <v>2.7692815216994204</v>
      </c>
      <c r="AD5147" s="37">
        <v>3.6135903516146617</v>
      </c>
    </row>
    <row r="5148" spans="27:30" x14ac:dyDescent="0.3">
      <c r="AA5148" s="37">
        <v>5128</v>
      </c>
      <c r="AB5148" s="37">
        <v>1.8582147513339347</v>
      </c>
      <c r="AC5148" s="37">
        <v>2.8757664169407731</v>
      </c>
      <c r="AD5148" s="37">
        <v>3.3614779658917513</v>
      </c>
    </row>
    <row r="5149" spans="27:30" x14ac:dyDescent="0.3">
      <c r="AA5149" s="37">
        <v>5129</v>
      </c>
      <c r="AB5149" s="37">
        <v>1.855207538232408</v>
      </c>
      <c r="AC5149" s="37">
        <v>2.8940476803827844</v>
      </c>
      <c r="AD5149" s="37">
        <v>3.2554085585955868</v>
      </c>
    </row>
    <row r="5150" spans="27:30" x14ac:dyDescent="0.3">
      <c r="AA5150" s="37">
        <v>5130</v>
      </c>
      <c r="AB5150" s="37">
        <v>1.7262890345514847</v>
      </c>
      <c r="AC5150" s="37">
        <v>2.7389050127597709</v>
      </c>
      <c r="AD5150" s="37">
        <v>3.23773492887468</v>
      </c>
    </row>
    <row r="5151" spans="27:30" x14ac:dyDescent="0.3">
      <c r="AA5151" s="37">
        <v>5131</v>
      </c>
      <c r="AB5151" s="37">
        <v>1.9014774472335518</v>
      </c>
      <c r="AC5151" s="37">
        <v>2.8176688806281351</v>
      </c>
      <c r="AD5151" s="37">
        <v>3.2668205490092643</v>
      </c>
    </row>
    <row r="5152" spans="27:30" x14ac:dyDescent="0.3">
      <c r="AA5152" s="37">
        <v>5132</v>
      </c>
      <c r="AB5152" s="37">
        <v>1.7655592812939807</v>
      </c>
      <c r="AC5152" s="37">
        <v>3.0045456822061594</v>
      </c>
      <c r="AD5152" s="37">
        <v>3.5350206178941903</v>
      </c>
    </row>
    <row r="5153" spans="27:30" x14ac:dyDescent="0.3">
      <c r="AA5153" s="37">
        <v>5133</v>
      </c>
      <c r="AB5153" s="37">
        <v>1.7282264515744916</v>
      </c>
      <c r="AC5153" s="37">
        <v>3.0232124764310098</v>
      </c>
      <c r="AD5153" s="37">
        <v>3.2429792413456031</v>
      </c>
    </row>
    <row r="5154" spans="27:30" x14ac:dyDescent="0.3">
      <c r="AA5154" s="37">
        <v>5134</v>
      </c>
      <c r="AB5154" s="37">
        <v>1.788647815137316</v>
      </c>
      <c r="AC5154" s="37">
        <v>2.8502452296752865</v>
      </c>
      <c r="AD5154" s="37">
        <v>3.3423471419420383</v>
      </c>
    </row>
    <row r="5155" spans="27:30" x14ac:dyDescent="0.3">
      <c r="AA5155" s="37">
        <v>5135</v>
      </c>
      <c r="AB5155" s="37">
        <v>1.804806480815587</v>
      </c>
      <c r="AC5155" s="37">
        <v>2.8981766398115831</v>
      </c>
      <c r="AD5155" s="37">
        <v>3.3189148879879622</v>
      </c>
    </row>
    <row r="5156" spans="27:30" x14ac:dyDescent="0.3">
      <c r="AA5156" s="37">
        <v>5136</v>
      </c>
      <c r="AB5156" s="37">
        <v>1.8122094862692826</v>
      </c>
      <c r="AC5156" s="37">
        <v>2.7007593364509703</v>
      </c>
      <c r="AD5156" s="37">
        <v>3.2832493967942948</v>
      </c>
    </row>
    <row r="5157" spans="27:30" x14ac:dyDescent="0.3">
      <c r="AA5157" s="37">
        <v>5137</v>
      </c>
      <c r="AB5157" s="37">
        <v>1.8358929548033069</v>
      </c>
      <c r="AC5157" s="37">
        <v>2.9966273849804717</v>
      </c>
      <c r="AD5157" s="37">
        <v>3.3424501118527674</v>
      </c>
    </row>
    <row r="5158" spans="27:30" x14ac:dyDescent="0.3">
      <c r="AA5158" s="37">
        <v>5138</v>
      </c>
      <c r="AB5158" s="37">
        <v>1.7623826520519685</v>
      </c>
      <c r="AC5158" s="37">
        <v>2.7784625646453769</v>
      </c>
      <c r="AD5158" s="37">
        <v>3.2803252487771228</v>
      </c>
    </row>
    <row r="5159" spans="27:30" x14ac:dyDescent="0.3">
      <c r="AA5159" s="37">
        <v>5139</v>
      </c>
      <c r="AB5159" s="37">
        <v>1.8165228826230895</v>
      </c>
      <c r="AC5159" s="37">
        <v>2.9323216652109649</v>
      </c>
      <c r="AD5159" s="37">
        <v>3.5290800883179547</v>
      </c>
    </row>
    <row r="5160" spans="27:30" x14ac:dyDescent="0.3">
      <c r="AA5160" s="37">
        <v>5140</v>
      </c>
      <c r="AB5160" s="37">
        <v>1.7798448058274621</v>
      </c>
      <c r="AC5160" s="37">
        <v>2.7410070643994802</v>
      </c>
      <c r="AD5160" s="37">
        <v>3.441294291626769</v>
      </c>
    </row>
    <row r="5161" spans="27:30" x14ac:dyDescent="0.3">
      <c r="AA5161" s="37">
        <v>5141</v>
      </c>
      <c r="AB5161" s="37">
        <v>1.7299237567767425</v>
      </c>
      <c r="AC5161" s="37">
        <v>2.9417335592181448</v>
      </c>
      <c r="AD5161" s="37">
        <v>3.4357105304379902</v>
      </c>
    </row>
    <row r="5162" spans="27:30" x14ac:dyDescent="0.3">
      <c r="AA5162" s="37">
        <v>5142</v>
      </c>
      <c r="AB5162" s="37">
        <v>1.6699233801601749</v>
      </c>
      <c r="AC5162" s="37">
        <v>2.824384838393156</v>
      </c>
      <c r="AD5162" s="37">
        <v>3.2738694822480152</v>
      </c>
    </row>
    <row r="5163" spans="27:30" x14ac:dyDescent="0.3">
      <c r="AA5163" s="37">
        <v>5143</v>
      </c>
      <c r="AB5163" s="37">
        <v>1.6742518735999277</v>
      </c>
      <c r="AC5163" s="37">
        <v>2.8803307057830163</v>
      </c>
      <c r="AD5163" s="37">
        <v>3.3539094947067896</v>
      </c>
    </row>
    <row r="5164" spans="27:30" x14ac:dyDescent="0.3">
      <c r="AA5164" s="37">
        <v>5144</v>
      </c>
      <c r="AB5164" s="37">
        <v>1.7598410079881879</v>
      </c>
      <c r="AC5164" s="37">
        <v>2.9394970206227584</v>
      </c>
      <c r="AD5164" s="37">
        <v>3.3214838981194683</v>
      </c>
    </row>
    <row r="5165" spans="27:30" x14ac:dyDescent="0.3">
      <c r="AA5165" s="37">
        <v>5145</v>
      </c>
      <c r="AB5165" s="37">
        <v>1.7193753680449679</v>
      </c>
      <c r="AC5165" s="37">
        <v>2.7530781818600669</v>
      </c>
      <c r="AD5165" s="37">
        <v>3.2776303922801562</v>
      </c>
    </row>
    <row r="5166" spans="27:30" x14ac:dyDescent="0.3">
      <c r="AA5166" s="37">
        <v>5146</v>
      </c>
      <c r="AB5166" s="37">
        <v>1.8213436412608892</v>
      </c>
      <c r="AC5166" s="37">
        <v>2.8112453584927195</v>
      </c>
      <c r="AD5166" s="37">
        <v>3.6734398297480326</v>
      </c>
    </row>
    <row r="5167" spans="27:30" x14ac:dyDescent="0.3">
      <c r="AA5167" s="37">
        <v>5147</v>
      </c>
      <c r="AB5167" s="37">
        <v>1.8111005896396075</v>
      </c>
      <c r="AC5167" s="37">
        <v>2.8633049845383614</v>
      </c>
      <c r="AD5167" s="37">
        <v>3.4408385148125125</v>
      </c>
    </row>
    <row r="5168" spans="27:30" x14ac:dyDescent="0.3">
      <c r="AA5168" s="37">
        <v>5148</v>
      </c>
      <c r="AB5168" s="37">
        <v>1.7485328955423429</v>
      </c>
      <c r="AC5168" s="37">
        <v>2.9716558260001573</v>
      </c>
      <c r="AD5168" s="37">
        <v>3.1593451168711049</v>
      </c>
    </row>
    <row r="5169" spans="27:30" x14ac:dyDescent="0.3">
      <c r="AA5169" s="37">
        <v>5149</v>
      </c>
      <c r="AB5169" s="37">
        <v>1.6934006942439253</v>
      </c>
      <c r="AC5169" s="37">
        <v>2.7440736130575232</v>
      </c>
      <c r="AD5169" s="37">
        <v>3.1624616066724993</v>
      </c>
    </row>
    <row r="5170" spans="27:30" x14ac:dyDescent="0.3">
      <c r="AA5170" s="37">
        <v>5150</v>
      </c>
      <c r="AB5170" s="37">
        <v>1.7420461065323656</v>
      </c>
      <c r="AC5170" s="37">
        <v>2.8757249625711929</v>
      </c>
      <c r="AD5170" s="37">
        <v>3.3356673302075577</v>
      </c>
    </row>
    <row r="5171" spans="27:30" x14ac:dyDescent="0.3">
      <c r="AA5171" s="37">
        <v>5151</v>
      </c>
      <c r="AB5171" s="37">
        <v>1.7322911775567653</v>
      </c>
      <c r="AC5171" s="37">
        <v>2.8132512282070214</v>
      </c>
      <c r="AD5171" s="37">
        <v>3.353727926300019</v>
      </c>
    </row>
    <row r="5172" spans="27:30" x14ac:dyDescent="0.3">
      <c r="AA5172" s="37">
        <v>5152</v>
      </c>
      <c r="AB5172" s="37">
        <v>1.8432804345558256</v>
      </c>
      <c r="AC5172" s="37">
        <v>2.7723913930904205</v>
      </c>
      <c r="AD5172" s="37">
        <v>3.3233372790500502</v>
      </c>
    </row>
    <row r="5173" spans="27:30" x14ac:dyDescent="0.3">
      <c r="AA5173" s="37">
        <v>5153</v>
      </c>
      <c r="AB5173" s="37">
        <v>1.7653555421644915</v>
      </c>
      <c r="AC5173" s="37">
        <v>2.8435708756707769</v>
      </c>
      <c r="AD5173" s="37">
        <v>3.2626170536105397</v>
      </c>
    </row>
    <row r="5174" spans="27:30" x14ac:dyDescent="0.3">
      <c r="AA5174" s="37">
        <v>5154</v>
      </c>
      <c r="AB5174" s="37">
        <v>1.7687014950141808</v>
      </c>
      <c r="AC5174" s="37">
        <v>2.9766762120674128</v>
      </c>
      <c r="AD5174" s="37">
        <v>3.3532336860108694</v>
      </c>
    </row>
    <row r="5175" spans="27:30" x14ac:dyDescent="0.3">
      <c r="AA5175" s="37">
        <v>5155</v>
      </c>
      <c r="AB5175" s="37">
        <v>1.6976301276649584</v>
      </c>
      <c r="AC5175" s="37">
        <v>2.7809504977393416</v>
      </c>
      <c r="AD5175" s="37">
        <v>3.3002304948248464</v>
      </c>
    </row>
    <row r="5176" spans="27:30" x14ac:dyDescent="0.3">
      <c r="AA5176" s="37">
        <v>5156</v>
      </c>
      <c r="AB5176" s="37">
        <v>1.8898675705223174</v>
      </c>
      <c r="AC5176" s="37">
        <v>2.7670154025336839</v>
      </c>
      <c r="AD5176" s="37">
        <v>3.3636352436914883</v>
      </c>
    </row>
    <row r="5177" spans="27:30" x14ac:dyDescent="0.3">
      <c r="AA5177" s="37">
        <v>5157</v>
      </c>
      <c r="AB5177" s="37">
        <v>1.7673408434987472</v>
      </c>
      <c r="AC5177" s="37">
        <v>3.1072306350489667</v>
      </c>
      <c r="AD5177" s="37">
        <v>3.4000553051739595</v>
      </c>
    </row>
    <row r="5178" spans="27:30" x14ac:dyDescent="0.3">
      <c r="AA5178" s="37">
        <v>5158</v>
      </c>
      <c r="AB5178" s="37">
        <v>1.7963158241600188</v>
      </c>
      <c r="AC5178" s="37">
        <v>2.8590518072322841</v>
      </c>
      <c r="AD5178" s="37">
        <v>3.3614674826127309</v>
      </c>
    </row>
    <row r="5179" spans="27:30" x14ac:dyDescent="0.3">
      <c r="AA5179" s="37">
        <v>5159</v>
      </c>
      <c r="AB5179" s="37">
        <v>1.8444813387888694</v>
      </c>
      <c r="AC5179" s="37">
        <v>2.9784337482052674</v>
      </c>
      <c r="AD5179" s="37">
        <v>3.3397831895785859</v>
      </c>
    </row>
    <row r="5180" spans="27:30" x14ac:dyDescent="0.3">
      <c r="AA5180" s="37">
        <v>5160</v>
      </c>
      <c r="AB5180" s="37">
        <v>1.8093105335390782</v>
      </c>
      <c r="AC5180" s="37">
        <v>2.8840506596777451</v>
      </c>
      <c r="AD5180" s="37">
        <v>3.2657174257925417</v>
      </c>
    </row>
    <row r="5181" spans="27:30" x14ac:dyDescent="0.3">
      <c r="AA5181" s="37">
        <v>5161</v>
      </c>
      <c r="AB5181" s="37">
        <v>1.8772874492174962</v>
      </c>
      <c r="AC5181" s="37">
        <v>2.7912302205908675</v>
      </c>
      <c r="AD5181" s="37">
        <v>3.2052097571289639</v>
      </c>
    </row>
    <row r="5182" spans="27:30" x14ac:dyDescent="0.3">
      <c r="AA5182" s="37">
        <v>5162</v>
      </c>
      <c r="AB5182" s="37">
        <v>1.8510929042767228</v>
      </c>
      <c r="AC5182" s="37">
        <v>2.8233466735249979</v>
      </c>
      <c r="AD5182" s="37">
        <v>3.3887052832398612</v>
      </c>
    </row>
    <row r="5183" spans="27:30" x14ac:dyDescent="0.3">
      <c r="AA5183" s="37">
        <v>5163</v>
      </c>
      <c r="AB5183" s="37">
        <v>1.607811632815823</v>
      </c>
      <c r="AC5183" s="37">
        <v>2.8747027631780262</v>
      </c>
      <c r="AD5183" s="37">
        <v>3.5137212709270949</v>
      </c>
    </row>
    <row r="5184" spans="27:30" x14ac:dyDescent="0.3">
      <c r="AA5184" s="37">
        <v>5164</v>
      </c>
      <c r="AB5184" s="37">
        <v>1.7868502974145475</v>
      </c>
      <c r="AC5184" s="37">
        <v>3.1553024581520304</v>
      </c>
      <c r="AD5184" s="37">
        <v>3.3243426976357098</v>
      </c>
    </row>
    <row r="5185" spans="27:30" x14ac:dyDescent="0.3">
      <c r="AA5185" s="37">
        <v>5165</v>
      </c>
      <c r="AB5185" s="37">
        <v>1.8072333197407286</v>
      </c>
      <c r="AC5185" s="37">
        <v>2.7954033817613313</v>
      </c>
      <c r="AD5185" s="37">
        <v>3.1706839521760313</v>
      </c>
    </row>
    <row r="5186" spans="27:30" x14ac:dyDescent="0.3">
      <c r="AA5186" s="37">
        <v>5166</v>
      </c>
      <c r="AB5186" s="37">
        <v>1.7910383712959108</v>
      </c>
      <c r="AC5186" s="37">
        <v>2.8470925234081972</v>
      </c>
      <c r="AD5186" s="37">
        <v>3.4015145671798304</v>
      </c>
    </row>
    <row r="5187" spans="27:30" x14ac:dyDescent="0.3">
      <c r="AA5187" s="37">
        <v>5167</v>
      </c>
      <c r="AB5187" s="37">
        <v>1.8754246950635698</v>
      </c>
      <c r="AC5187" s="37">
        <v>3.0459749326387042</v>
      </c>
      <c r="AD5187" s="37">
        <v>3.2549994812892411</v>
      </c>
    </row>
    <row r="5188" spans="27:30" x14ac:dyDescent="0.3">
      <c r="AA5188" s="37">
        <v>5168</v>
      </c>
      <c r="AB5188" s="37">
        <v>1.8174092280450995</v>
      </c>
      <c r="AC5188" s="37">
        <v>2.6627676493906303</v>
      </c>
      <c r="AD5188" s="37">
        <v>3.4798603670600032</v>
      </c>
    </row>
    <row r="5189" spans="27:30" x14ac:dyDescent="0.3">
      <c r="AA5189" s="37">
        <v>5169</v>
      </c>
      <c r="AB5189" s="37">
        <v>1.826421234712803</v>
      </c>
      <c r="AC5189" s="37">
        <v>2.6523796065802734</v>
      </c>
      <c r="AD5189" s="37">
        <v>3.2273890166934227</v>
      </c>
    </row>
    <row r="5190" spans="27:30" x14ac:dyDescent="0.3">
      <c r="AA5190" s="37">
        <v>5170</v>
      </c>
      <c r="AB5190" s="37">
        <v>1.8580212482861502</v>
      </c>
      <c r="AC5190" s="37">
        <v>2.8724997465985873</v>
      </c>
      <c r="AD5190" s="37">
        <v>3.2716992768581732</v>
      </c>
    </row>
    <row r="5191" spans="27:30" x14ac:dyDescent="0.3">
      <c r="AA5191" s="37">
        <v>5171</v>
      </c>
      <c r="AB5191" s="37">
        <v>1.8001485456918365</v>
      </c>
      <c r="AC5191" s="37">
        <v>2.880009776054985</v>
      </c>
      <c r="AD5191" s="37">
        <v>3.4073106379034837</v>
      </c>
    </row>
    <row r="5192" spans="27:30" x14ac:dyDescent="0.3">
      <c r="AA5192" s="37">
        <v>5172</v>
      </c>
      <c r="AB5192" s="37">
        <v>1.8876790843528808</v>
      </c>
      <c r="AC5192" s="37">
        <v>2.7969812587839633</v>
      </c>
      <c r="AD5192" s="37">
        <v>3.3778144869981941</v>
      </c>
    </row>
    <row r="5193" spans="27:30" x14ac:dyDescent="0.3">
      <c r="AA5193" s="37">
        <v>5173</v>
      </c>
      <c r="AB5193" s="37">
        <v>1.8076848989712977</v>
      </c>
      <c r="AC5193" s="37">
        <v>2.8039017776339299</v>
      </c>
      <c r="AD5193" s="37">
        <v>3.3516156840932267</v>
      </c>
    </row>
    <row r="5194" spans="27:30" x14ac:dyDescent="0.3">
      <c r="AA5194" s="37">
        <v>5174</v>
      </c>
      <c r="AB5194" s="37">
        <v>1.7042803643412452</v>
      </c>
      <c r="AC5194" s="37">
        <v>2.739177028117374</v>
      </c>
      <c r="AD5194" s="37">
        <v>3.437836765660899</v>
      </c>
    </row>
    <row r="5195" spans="27:30" x14ac:dyDescent="0.3">
      <c r="AA5195" s="37">
        <v>5175</v>
      </c>
      <c r="AB5195" s="37">
        <v>1.7807151340081311</v>
      </c>
      <c r="AC5195" s="37">
        <v>2.7735422197850816</v>
      </c>
      <c r="AD5195" s="37">
        <v>3.4774006538116291</v>
      </c>
    </row>
    <row r="5196" spans="27:30" x14ac:dyDescent="0.3">
      <c r="AA5196" s="37">
        <v>5176</v>
      </c>
      <c r="AB5196" s="37">
        <v>1.7158667047404335</v>
      </c>
      <c r="AC5196" s="37">
        <v>2.8915431674787713</v>
      </c>
      <c r="AD5196" s="37">
        <v>3.3604021017478551</v>
      </c>
    </row>
    <row r="5197" spans="27:30" x14ac:dyDescent="0.3">
      <c r="AA5197" s="37">
        <v>5177</v>
      </c>
      <c r="AB5197" s="37">
        <v>1.8028208099194487</v>
      </c>
      <c r="AC5197" s="37">
        <v>2.7966937012750863</v>
      </c>
      <c r="AD5197" s="37">
        <v>3.4477122631268133</v>
      </c>
    </row>
    <row r="5198" spans="27:30" x14ac:dyDescent="0.3">
      <c r="AA5198" s="37">
        <v>5178</v>
      </c>
      <c r="AB5198" s="37">
        <v>1.8368806863183991</v>
      </c>
      <c r="AC5198" s="37">
        <v>2.8674432547794386</v>
      </c>
      <c r="AD5198" s="37">
        <v>3.2359985884287905</v>
      </c>
    </row>
    <row r="5199" spans="27:30" x14ac:dyDescent="0.3">
      <c r="AA5199" s="37">
        <v>5179</v>
      </c>
      <c r="AB5199" s="37">
        <v>1.788730013428357</v>
      </c>
      <c r="AC5199" s="37">
        <v>2.775054938221845</v>
      </c>
      <c r="AD5199" s="37">
        <v>3.7789029861724353</v>
      </c>
    </row>
    <row r="5200" spans="27:30" x14ac:dyDescent="0.3">
      <c r="AA5200" s="37">
        <v>5180</v>
      </c>
      <c r="AB5200" s="37">
        <v>1.7697960479384443</v>
      </c>
      <c r="AC5200" s="37">
        <v>2.9353167962869504</v>
      </c>
      <c r="AD5200" s="37">
        <v>3.2105880817906756</v>
      </c>
    </row>
    <row r="5201" spans="27:30" x14ac:dyDescent="0.3">
      <c r="AA5201" s="37">
        <v>5181</v>
      </c>
      <c r="AB5201" s="37">
        <v>1.790884804424518</v>
      </c>
      <c r="AC5201" s="37">
        <v>2.7403042112956517</v>
      </c>
      <c r="AD5201" s="37">
        <v>3.3488920420381225</v>
      </c>
    </row>
    <row r="5202" spans="27:30" x14ac:dyDescent="0.3">
      <c r="AA5202" s="37">
        <v>5182</v>
      </c>
      <c r="AB5202" s="37">
        <v>1.7536563761711454</v>
      </c>
      <c r="AC5202" s="37">
        <v>2.8877096603876167</v>
      </c>
      <c r="AD5202" s="37">
        <v>3.344792456440556</v>
      </c>
    </row>
    <row r="5203" spans="27:30" x14ac:dyDescent="0.3">
      <c r="AA5203" s="37">
        <v>5183</v>
      </c>
      <c r="AB5203" s="37">
        <v>1.7684014179262433</v>
      </c>
      <c r="AC5203" s="37">
        <v>2.8987618224592318</v>
      </c>
      <c r="AD5203" s="37">
        <v>3.3890401099390228</v>
      </c>
    </row>
    <row r="5204" spans="27:30" x14ac:dyDescent="0.3">
      <c r="AA5204" s="37">
        <v>5184</v>
      </c>
      <c r="AB5204" s="37">
        <v>1.7721480385958017</v>
      </c>
      <c r="AC5204" s="37">
        <v>2.9122195047191597</v>
      </c>
      <c r="AD5204" s="37">
        <v>3.2178441803553213</v>
      </c>
    </row>
    <row r="5205" spans="27:30" x14ac:dyDescent="0.3">
      <c r="AA5205" s="37">
        <v>5185</v>
      </c>
      <c r="AB5205" s="37">
        <v>1.7746198037737699</v>
      </c>
      <c r="AC5205" s="37">
        <v>3.0355269149886221</v>
      </c>
      <c r="AD5205" s="37">
        <v>3.1898691981806109</v>
      </c>
    </row>
    <row r="5206" spans="27:30" x14ac:dyDescent="0.3">
      <c r="AA5206" s="37">
        <v>5186</v>
      </c>
      <c r="AB5206" s="37">
        <v>1.8506294088816893</v>
      </c>
      <c r="AC5206" s="37">
        <v>2.9355149010293342</v>
      </c>
      <c r="AD5206" s="37">
        <v>3.3434252780196871</v>
      </c>
    </row>
    <row r="5207" spans="27:30" x14ac:dyDescent="0.3">
      <c r="AA5207" s="37">
        <v>5187</v>
      </c>
      <c r="AB5207" s="37">
        <v>1.6548917876030569</v>
      </c>
      <c r="AC5207" s="37">
        <v>2.8952742437375845</v>
      </c>
      <c r="AD5207" s="37">
        <v>3.3270939065230087</v>
      </c>
    </row>
    <row r="5208" spans="27:30" x14ac:dyDescent="0.3">
      <c r="AA5208" s="37">
        <v>5188</v>
      </c>
      <c r="AB5208" s="37">
        <v>1.5779840088296799</v>
      </c>
      <c r="AC5208" s="37">
        <v>2.746377256803691</v>
      </c>
      <c r="AD5208" s="37">
        <v>3.2033407459164756</v>
      </c>
    </row>
    <row r="5209" spans="27:30" x14ac:dyDescent="0.3">
      <c r="AA5209" s="37">
        <v>5189</v>
      </c>
      <c r="AB5209" s="37">
        <v>1.8219319362317392</v>
      </c>
      <c r="AC5209" s="37">
        <v>2.8929881546908511</v>
      </c>
      <c r="AD5209" s="37">
        <v>3.1951834364330791</v>
      </c>
    </row>
    <row r="5210" spans="27:30" x14ac:dyDescent="0.3">
      <c r="AA5210" s="37">
        <v>5190</v>
      </c>
      <c r="AB5210" s="37">
        <v>1.9916513782469558</v>
      </c>
      <c r="AC5210" s="37">
        <v>2.9168861610151295</v>
      </c>
      <c r="AD5210" s="37">
        <v>3.4611316001697161</v>
      </c>
    </row>
    <row r="5211" spans="27:30" x14ac:dyDescent="0.3">
      <c r="AA5211" s="37">
        <v>5191</v>
      </c>
      <c r="AB5211" s="37">
        <v>1.6606007600235553</v>
      </c>
      <c r="AC5211" s="37">
        <v>2.7708068060385891</v>
      </c>
      <c r="AD5211" s="37">
        <v>3.3399373080584756</v>
      </c>
    </row>
    <row r="5212" spans="27:30" x14ac:dyDescent="0.3">
      <c r="AA5212" s="37">
        <v>5192</v>
      </c>
      <c r="AB5212" s="37">
        <v>1.750914472835716</v>
      </c>
      <c r="AC5212" s="37">
        <v>3.0449595283663</v>
      </c>
      <c r="AD5212" s="37">
        <v>3.3461761153509539</v>
      </c>
    </row>
    <row r="5213" spans="27:30" x14ac:dyDescent="0.3">
      <c r="AA5213" s="37">
        <v>5193</v>
      </c>
      <c r="AB5213" s="37">
        <v>1.7479796028404064</v>
      </c>
      <c r="AC5213" s="37">
        <v>2.8021640759819264</v>
      </c>
      <c r="AD5213" s="37">
        <v>3.2458629529939209</v>
      </c>
    </row>
    <row r="5214" spans="27:30" x14ac:dyDescent="0.3">
      <c r="AA5214" s="37">
        <v>5194</v>
      </c>
      <c r="AB5214" s="37">
        <v>1.8050730640614396</v>
      </c>
      <c r="AC5214" s="37">
        <v>2.7892938697401615</v>
      </c>
      <c r="AD5214" s="37">
        <v>3.2353163413363575</v>
      </c>
    </row>
    <row r="5215" spans="27:30" x14ac:dyDescent="0.3">
      <c r="AA5215" s="37">
        <v>5195</v>
      </c>
      <c r="AB5215" s="37">
        <v>1.7386524399660215</v>
      </c>
      <c r="AC5215" s="37">
        <v>2.7519161734864692</v>
      </c>
      <c r="AD5215" s="37">
        <v>3.435398724076689</v>
      </c>
    </row>
    <row r="5216" spans="27:30" x14ac:dyDescent="0.3">
      <c r="AA5216" s="37">
        <v>5196</v>
      </c>
      <c r="AB5216" s="37">
        <v>1.7511626116618457</v>
      </c>
      <c r="AC5216" s="37">
        <v>2.9508729521141333</v>
      </c>
      <c r="AD5216" s="37">
        <v>3.2270338611966247</v>
      </c>
    </row>
    <row r="5217" spans="27:30" x14ac:dyDescent="0.3">
      <c r="AA5217" s="37">
        <v>5197</v>
      </c>
      <c r="AB5217" s="37">
        <v>1.8236105093323385</v>
      </c>
      <c r="AC5217" s="37">
        <v>2.8085027274375616</v>
      </c>
      <c r="AD5217" s="37">
        <v>3.5098389331329689</v>
      </c>
    </row>
    <row r="5218" spans="27:30" x14ac:dyDescent="0.3">
      <c r="AA5218" s="37">
        <v>5198</v>
      </c>
      <c r="AB5218" s="37">
        <v>1.7388397976828223</v>
      </c>
      <c r="AC5218" s="37">
        <v>2.8460421985283597</v>
      </c>
      <c r="AD5218" s="37">
        <v>3.4078609808228859</v>
      </c>
    </row>
    <row r="5219" spans="27:30" x14ac:dyDescent="0.3">
      <c r="AA5219" s="37">
        <v>5199</v>
      </c>
      <c r="AB5219" s="37">
        <v>1.7623501026216224</v>
      </c>
      <c r="AC5219" s="37">
        <v>2.7715469102092336</v>
      </c>
      <c r="AD5219" s="37">
        <v>3.2130890176890352</v>
      </c>
    </row>
    <row r="5220" spans="27:30" x14ac:dyDescent="0.3">
      <c r="AA5220" s="37">
        <v>5200</v>
      </c>
      <c r="AB5220" s="37">
        <v>1.7595847519601187</v>
      </c>
      <c r="AC5220" s="37">
        <v>2.8326521128725415</v>
      </c>
      <c r="AD5220" s="37">
        <v>3.1505052146044519</v>
      </c>
    </row>
    <row r="5221" spans="27:30" x14ac:dyDescent="0.3">
      <c r="AA5221" s="37">
        <v>5201</v>
      </c>
      <c r="AB5221" s="37">
        <v>1.721647752555463</v>
      </c>
      <c r="AC5221" s="37">
        <v>2.8035431916737883</v>
      </c>
      <c r="AD5221" s="37">
        <v>3.5435843643551976</v>
      </c>
    </row>
    <row r="5222" spans="27:30" x14ac:dyDescent="0.3">
      <c r="AA5222" s="37">
        <v>5202</v>
      </c>
      <c r="AB5222" s="37">
        <v>1.8610263127773117</v>
      </c>
      <c r="AC5222" s="37">
        <v>2.7217458936813816</v>
      </c>
      <c r="AD5222" s="37">
        <v>3.2752251678012709</v>
      </c>
    </row>
    <row r="5223" spans="27:30" x14ac:dyDescent="0.3">
      <c r="AA5223" s="37">
        <v>5203</v>
      </c>
      <c r="AB5223" s="37">
        <v>1.7595933863421296</v>
      </c>
      <c r="AC5223" s="37">
        <v>2.8425497057593279</v>
      </c>
      <c r="AD5223" s="37">
        <v>3.3697580876063844</v>
      </c>
    </row>
    <row r="5224" spans="27:30" x14ac:dyDescent="0.3">
      <c r="AA5224" s="37">
        <v>5204</v>
      </c>
      <c r="AB5224" s="37">
        <v>1.6704419805842667</v>
      </c>
      <c r="AC5224" s="37">
        <v>2.8577485795496149</v>
      </c>
      <c r="AD5224" s="37">
        <v>3.4190754113309727</v>
      </c>
    </row>
    <row r="5225" spans="27:30" x14ac:dyDescent="0.3">
      <c r="AA5225" s="37">
        <v>5205</v>
      </c>
      <c r="AB5225" s="37">
        <v>1.7773488181236203</v>
      </c>
      <c r="AC5225" s="37">
        <v>2.7022894852994468</v>
      </c>
      <c r="AD5225" s="37">
        <v>3.5435524806945273</v>
      </c>
    </row>
    <row r="5226" spans="27:30" x14ac:dyDescent="0.3">
      <c r="AA5226" s="37">
        <v>5206</v>
      </c>
      <c r="AB5226" s="37">
        <v>1.8045457379200289</v>
      </c>
      <c r="AC5226" s="37">
        <v>2.9272423971000645</v>
      </c>
      <c r="AD5226" s="37">
        <v>3.39450884696973</v>
      </c>
    </row>
    <row r="5227" spans="27:30" x14ac:dyDescent="0.3">
      <c r="AA5227" s="37">
        <v>5207</v>
      </c>
      <c r="AB5227" s="37">
        <v>1.724849124623425</v>
      </c>
      <c r="AC5227" s="37">
        <v>2.8027940933824746</v>
      </c>
      <c r="AD5227" s="37">
        <v>3.3164706138830837</v>
      </c>
    </row>
    <row r="5228" spans="27:30" x14ac:dyDescent="0.3">
      <c r="AA5228" s="37">
        <v>5208</v>
      </c>
      <c r="AB5228" s="37">
        <v>1.8506922636636018</v>
      </c>
      <c r="AC5228" s="37">
        <v>3.0296315281402202</v>
      </c>
      <c r="AD5228" s="37">
        <v>3.3517013308228352</v>
      </c>
    </row>
    <row r="5229" spans="27:30" x14ac:dyDescent="0.3">
      <c r="AA5229" s="37">
        <v>5209</v>
      </c>
      <c r="AB5229" s="37">
        <v>1.6965634732577006</v>
      </c>
      <c r="AC5229" s="37">
        <v>2.7161330877257481</v>
      </c>
      <c r="AD5229" s="37">
        <v>3.3969868383760753</v>
      </c>
    </row>
    <row r="5230" spans="27:30" x14ac:dyDescent="0.3">
      <c r="AA5230" s="37">
        <v>5210</v>
      </c>
      <c r="AB5230" s="37">
        <v>1.828275914020332</v>
      </c>
      <c r="AC5230" s="37">
        <v>2.8242910868796525</v>
      </c>
      <c r="AD5230" s="37">
        <v>3.3113532516597628</v>
      </c>
    </row>
    <row r="5231" spans="27:30" x14ac:dyDescent="0.3">
      <c r="AA5231" s="37">
        <v>5211</v>
      </c>
      <c r="AB5231" s="37">
        <v>1.7475430690417382</v>
      </c>
      <c r="AC5231" s="37">
        <v>2.8494801684843298</v>
      </c>
      <c r="AD5231" s="37">
        <v>3.5891639424167892</v>
      </c>
    </row>
    <row r="5232" spans="27:30" x14ac:dyDescent="0.3">
      <c r="AA5232" s="37">
        <v>5212</v>
      </c>
      <c r="AB5232" s="37">
        <v>1.8477737751293208</v>
      </c>
      <c r="AC5232" s="37">
        <v>2.8949895459568618</v>
      </c>
      <c r="AD5232" s="37">
        <v>3.3673284727878889</v>
      </c>
    </row>
    <row r="5233" spans="27:30" x14ac:dyDescent="0.3">
      <c r="AA5233" s="37">
        <v>5213</v>
      </c>
      <c r="AB5233" s="37">
        <v>1.7667155708365083</v>
      </c>
      <c r="AC5233" s="37">
        <v>2.925335956305775</v>
      </c>
      <c r="AD5233" s="37">
        <v>3.3960069054010544</v>
      </c>
    </row>
    <row r="5234" spans="27:30" x14ac:dyDescent="0.3">
      <c r="AA5234" s="37">
        <v>5214</v>
      </c>
      <c r="AB5234" s="37">
        <v>1.8896523172498128</v>
      </c>
      <c r="AC5234" s="37">
        <v>2.6215796231357924</v>
      </c>
      <c r="AD5234" s="37">
        <v>3.1037649410215766</v>
      </c>
    </row>
    <row r="5235" spans="27:30" x14ac:dyDescent="0.3">
      <c r="AA5235" s="37">
        <v>5215</v>
      </c>
      <c r="AB5235" s="37">
        <v>1.7728074688537456</v>
      </c>
      <c r="AC5235" s="37">
        <v>2.9194669030041336</v>
      </c>
      <c r="AD5235" s="37">
        <v>3.3091791098096719</v>
      </c>
    </row>
    <row r="5236" spans="27:30" x14ac:dyDescent="0.3">
      <c r="AA5236" s="37">
        <v>5216</v>
      </c>
      <c r="AB5236" s="37">
        <v>1.8118257963523459</v>
      </c>
      <c r="AC5236" s="37">
        <v>2.8519241240014335</v>
      </c>
      <c r="AD5236" s="37">
        <v>3.1555876501911544</v>
      </c>
    </row>
    <row r="5237" spans="27:30" x14ac:dyDescent="0.3">
      <c r="AA5237" s="37">
        <v>5217</v>
      </c>
      <c r="AB5237" s="37">
        <v>1.6309989143024173</v>
      </c>
      <c r="AC5237" s="37">
        <v>2.7646396641534019</v>
      </c>
      <c r="AD5237" s="37">
        <v>3.5432736796100555</v>
      </c>
    </row>
    <row r="5238" spans="27:30" x14ac:dyDescent="0.3">
      <c r="AA5238" s="37">
        <v>5218</v>
      </c>
      <c r="AB5238" s="37">
        <v>1.7358803641854368</v>
      </c>
      <c r="AC5238" s="37">
        <v>2.9717730207527735</v>
      </c>
      <c r="AD5238" s="37">
        <v>3.4712504143029821</v>
      </c>
    </row>
    <row r="5239" spans="27:30" x14ac:dyDescent="0.3">
      <c r="AA5239" s="37">
        <v>5219</v>
      </c>
      <c r="AB5239" s="37">
        <v>1.786174398695811</v>
      </c>
      <c r="AC5239" s="37">
        <v>2.9214108410063662</v>
      </c>
      <c r="AD5239" s="37">
        <v>3.2884817759380103</v>
      </c>
    </row>
    <row r="5240" spans="27:30" x14ac:dyDescent="0.3">
      <c r="AA5240" s="37">
        <v>5220</v>
      </c>
      <c r="AB5240" s="37">
        <v>1.8088208226023621</v>
      </c>
      <c r="AC5240" s="37">
        <v>2.9600670103583546</v>
      </c>
      <c r="AD5240" s="37">
        <v>3.1736766549784408</v>
      </c>
    </row>
    <row r="5241" spans="27:30" x14ac:dyDescent="0.3">
      <c r="AA5241" s="37">
        <v>5221</v>
      </c>
      <c r="AB5241" s="37">
        <v>1.9571122014714359</v>
      </c>
      <c r="AC5241" s="37">
        <v>2.9104219044822766</v>
      </c>
      <c r="AD5241" s="37">
        <v>3.4197991799459224</v>
      </c>
    </row>
    <row r="5242" spans="27:30" x14ac:dyDescent="0.3">
      <c r="AA5242" s="37">
        <v>5222</v>
      </c>
      <c r="AB5242" s="37">
        <v>1.6653576791325704</v>
      </c>
      <c r="AC5242" s="37">
        <v>2.7509595600011547</v>
      </c>
      <c r="AD5242" s="37">
        <v>3.374612065891919</v>
      </c>
    </row>
    <row r="5243" spans="27:30" x14ac:dyDescent="0.3">
      <c r="AA5243" s="37">
        <v>5223</v>
      </c>
      <c r="AB5243" s="37">
        <v>1.8513921380070595</v>
      </c>
      <c r="AC5243" s="37">
        <v>2.8560323609453473</v>
      </c>
      <c r="AD5243" s="37">
        <v>3.248601919031501</v>
      </c>
    </row>
    <row r="5244" spans="27:30" x14ac:dyDescent="0.3">
      <c r="AA5244" s="37">
        <v>5224</v>
      </c>
      <c r="AB5244" s="37">
        <v>1.7931614240456006</v>
      </c>
      <c r="AC5244" s="37">
        <v>2.8540976028664571</v>
      </c>
      <c r="AD5244" s="37">
        <v>3.5051579453301307</v>
      </c>
    </row>
    <row r="5245" spans="27:30" x14ac:dyDescent="0.3">
      <c r="AA5245" s="37">
        <v>5225</v>
      </c>
      <c r="AB5245" s="37">
        <v>1.737033075028346</v>
      </c>
      <c r="AC5245" s="37">
        <v>2.9503208731376445</v>
      </c>
      <c r="AD5245" s="37">
        <v>3.4402816588928067</v>
      </c>
    </row>
    <row r="5246" spans="27:30" x14ac:dyDescent="0.3">
      <c r="AA5246" s="37">
        <v>5226</v>
      </c>
      <c r="AB5246" s="37">
        <v>1.7034775249682332</v>
      </c>
      <c r="AC5246" s="37">
        <v>2.8272665121226721</v>
      </c>
      <c r="AD5246" s="37">
        <v>3.1555684199201339</v>
      </c>
    </row>
    <row r="5247" spans="27:30" x14ac:dyDescent="0.3">
      <c r="AA5247" s="37">
        <v>5227</v>
      </c>
      <c r="AB5247" s="37">
        <v>1.8214002275278465</v>
      </c>
      <c r="AC5247" s="37">
        <v>2.9469450133359887</v>
      </c>
      <c r="AD5247" s="37">
        <v>3.2602729451198345</v>
      </c>
    </row>
    <row r="5248" spans="27:30" x14ac:dyDescent="0.3">
      <c r="AA5248" s="37">
        <v>5228</v>
      </c>
      <c r="AB5248" s="37">
        <v>1.7606733988816035</v>
      </c>
      <c r="AC5248" s="37">
        <v>2.8225021806134389</v>
      </c>
      <c r="AD5248" s="37">
        <v>3.2520919689449923</v>
      </c>
    </row>
    <row r="5249" spans="27:30" x14ac:dyDescent="0.3">
      <c r="AA5249" s="37">
        <v>5229</v>
      </c>
      <c r="AB5249" s="37">
        <v>1.7437067189415314</v>
      </c>
      <c r="AC5249" s="37">
        <v>2.9156055065209254</v>
      </c>
      <c r="AD5249" s="37">
        <v>3.1715560483948946</v>
      </c>
    </row>
    <row r="5250" spans="27:30" x14ac:dyDescent="0.3">
      <c r="AA5250" s="37">
        <v>5230</v>
      </c>
      <c r="AB5250" s="37">
        <v>1.770307081019435</v>
      </c>
      <c r="AC5250" s="37">
        <v>2.8022491482520611</v>
      </c>
      <c r="AD5250" s="37">
        <v>3.7920263375865839</v>
      </c>
    </row>
    <row r="5251" spans="27:30" x14ac:dyDescent="0.3">
      <c r="AA5251" s="37">
        <v>5231</v>
      </c>
      <c r="AB5251" s="37">
        <v>1.6990090591660689</v>
      </c>
      <c r="AC5251" s="37">
        <v>2.7825935742527625</v>
      </c>
      <c r="AD5251" s="37">
        <v>3.2058948144444948</v>
      </c>
    </row>
    <row r="5252" spans="27:30" x14ac:dyDescent="0.3">
      <c r="AA5252" s="37">
        <v>5232</v>
      </c>
      <c r="AB5252" s="37">
        <v>1.722017810156329</v>
      </c>
      <c r="AC5252" s="37">
        <v>2.7740761107956495</v>
      </c>
      <c r="AD5252" s="37">
        <v>3.1967907251062746</v>
      </c>
    </row>
    <row r="5253" spans="27:30" x14ac:dyDescent="0.3">
      <c r="AA5253" s="37">
        <v>5233</v>
      </c>
      <c r="AB5253" s="37">
        <v>1.7651144070230749</v>
      </c>
      <c r="AC5253" s="37">
        <v>2.7916384788415622</v>
      </c>
      <c r="AD5253" s="37">
        <v>3.3090461067105501</v>
      </c>
    </row>
    <row r="5254" spans="27:30" x14ac:dyDescent="0.3">
      <c r="AA5254" s="37">
        <v>5234</v>
      </c>
      <c r="AB5254" s="37">
        <v>1.905198069041639</v>
      </c>
      <c r="AC5254" s="37">
        <v>2.7945391123306074</v>
      </c>
      <c r="AD5254" s="37">
        <v>3.3621838831102986</v>
      </c>
    </row>
    <row r="5255" spans="27:30" x14ac:dyDescent="0.3">
      <c r="AA5255" s="37">
        <v>5235</v>
      </c>
      <c r="AB5255" s="37">
        <v>1.8326229131554315</v>
      </c>
      <c r="AC5255" s="37">
        <v>2.7448289921281108</v>
      </c>
      <c r="AD5255" s="37">
        <v>3.5256145563694004</v>
      </c>
    </row>
    <row r="5256" spans="27:30" x14ac:dyDescent="0.3">
      <c r="AA5256" s="37">
        <v>5236</v>
      </c>
      <c r="AB5256" s="37">
        <v>1.7600753800893045</v>
      </c>
      <c r="AC5256" s="37">
        <v>2.6715600112735718</v>
      </c>
      <c r="AD5256" s="37">
        <v>3.4841085688310347</v>
      </c>
    </row>
    <row r="5257" spans="27:30" x14ac:dyDescent="0.3">
      <c r="AA5257" s="37">
        <v>5237</v>
      </c>
      <c r="AB5257" s="37">
        <v>1.8234271769425907</v>
      </c>
      <c r="AC5257" s="37">
        <v>2.7521592193772628</v>
      </c>
      <c r="AD5257" s="37">
        <v>3.0999180347026614</v>
      </c>
    </row>
    <row r="5258" spans="27:30" x14ac:dyDescent="0.3">
      <c r="AA5258" s="37">
        <v>5238</v>
      </c>
      <c r="AB5258" s="37">
        <v>1.720386364544096</v>
      </c>
      <c r="AC5258" s="37">
        <v>2.7886960124206301</v>
      </c>
      <c r="AD5258" s="37">
        <v>3.3956593914167459</v>
      </c>
    </row>
    <row r="5259" spans="27:30" x14ac:dyDescent="0.3">
      <c r="AA5259" s="37">
        <v>5239</v>
      </c>
      <c r="AB5259" s="37">
        <v>1.7180494347467414</v>
      </c>
      <c r="AC5259" s="37">
        <v>2.887806656460683</v>
      </c>
      <c r="AD5259" s="37">
        <v>3.5370912048362668</v>
      </c>
    </row>
    <row r="5260" spans="27:30" x14ac:dyDescent="0.3">
      <c r="AA5260" s="37">
        <v>5240</v>
      </c>
      <c r="AB5260" s="37">
        <v>1.7917911962706625</v>
      </c>
      <c r="AC5260" s="37">
        <v>2.7557964428879287</v>
      </c>
      <c r="AD5260" s="37">
        <v>3.1381814254876277</v>
      </c>
    </row>
    <row r="5261" spans="27:30" x14ac:dyDescent="0.3">
      <c r="AA5261" s="37">
        <v>5241</v>
      </c>
      <c r="AB5261" s="37">
        <v>1.7365796902589716</v>
      </c>
      <c r="AC5261" s="37">
        <v>2.6904690116357086</v>
      </c>
      <c r="AD5261" s="37">
        <v>3.4113266888828786</v>
      </c>
    </row>
    <row r="5262" spans="27:30" x14ac:dyDescent="0.3">
      <c r="AA5262" s="37">
        <v>5242</v>
      </c>
      <c r="AB5262" s="37">
        <v>1.8191560049428706</v>
      </c>
      <c r="AC5262" s="37">
        <v>2.7535319440043917</v>
      </c>
      <c r="AD5262" s="37">
        <v>3.1789162735896745</v>
      </c>
    </row>
    <row r="5263" spans="27:30" x14ac:dyDescent="0.3">
      <c r="AA5263" s="37">
        <v>5243</v>
      </c>
      <c r="AB5263" s="37">
        <v>1.8161228180159226</v>
      </c>
      <c r="AC5263" s="37">
        <v>2.8468902660604174</v>
      </c>
      <c r="AD5263" s="37">
        <v>3.2434344060738884</v>
      </c>
    </row>
    <row r="5264" spans="27:30" x14ac:dyDescent="0.3">
      <c r="AA5264" s="37">
        <v>5244</v>
      </c>
      <c r="AB5264" s="37">
        <v>1.6749935061182413</v>
      </c>
      <c r="AC5264" s="37">
        <v>2.8398590730297957</v>
      </c>
      <c r="AD5264" s="37">
        <v>3.4262232463587323</v>
      </c>
    </row>
    <row r="5265" spans="27:30" x14ac:dyDescent="0.3">
      <c r="AA5265" s="37">
        <v>5245</v>
      </c>
      <c r="AB5265" s="37">
        <v>1.9013181423906278</v>
      </c>
      <c r="AC5265" s="37">
        <v>2.8766039521514197</v>
      </c>
      <c r="AD5265" s="37">
        <v>3.0060092105154474</v>
      </c>
    </row>
    <row r="5266" spans="27:30" x14ac:dyDescent="0.3">
      <c r="AA5266" s="37">
        <v>5246</v>
      </c>
      <c r="AB5266" s="37">
        <v>1.6605320333432931</v>
      </c>
      <c r="AC5266" s="37">
        <v>2.9270747319082857</v>
      </c>
      <c r="AD5266" s="37">
        <v>3.4252903238337096</v>
      </c>
    </row>
    <row r="5267" spans="27:30" x14ac:dyDescent="0.3">
      <c r="AA5267" s="37">
        <v>5247</v>
      </c>
      <c r="AB5267" s="37">
        <v>1.6892752050569724</v>
      </c>
      <c r="AC5267" s="37">
        <v>2.6785865280914076</v>
      </c>
      <c r="AD5267" s="37">
        <v>3.5367446370117173</v>
      </c>
    </row>
    <row r="5268" spans="27:30" x14ac:dyDescent="0.3">
      <c r="AA5268" s="37">
        <v>5248</v>
      </c>
      <c r="AB5268" s="37">
        <v>1.7716064251216157</v>
      </c>
      <c r="AC5268" s="37">
        <v>2.8391595146141198</v>
      </c>
      <c r="AD5268" s="37">
        <v>3.1565456804442604</v>
      </c>
    </row>
    <row r="5269" spans="27:30" x14ac:dyDescent="0.3">
      <c r="AA5269" s="37">
        <v>5249</v>
      </c>
      <c r="AB5269" s="37">
        <v>1.775269437696422</v>
      </c>
      <c r="AC5269" s="37">
        <v>2.7136827359295017</v>
      </c>
      <c r="AD5269" s="37">
        <v>3.1657425347987016</v>
      </c>
    </row>
    <row r="5270" spans="27:30" x14ac:dyDescent="0.3">
      <c r="AA5270" s="37">
        <v>5250</v>
      </c>
      <c r="AB5270" s="37">
        <v>1.729352763215334</v>
      </c>
      <c r="AC5270" s="37">
        <v>2.9318147287093157</v>
      </c>
      <c r="AD5270" s="37">
        <v>3.4693792489563866</v>
      </c>
    </row>
    <row r="5271" spans="27:30" x14ac:dyDescent="0.3">
      <c r="AA5271" s="37">
        <v>5251</v>
      </c>
      <c r="AB5271" s="37">
        <v>1.7774016888103301</v>
      </c>
      <c r="AC5271" s="37">
        <v>2.9779128962409005</v>
      </c>
      <c r="AD5271" s="37">
        <v>3.4610827009711582</v>
      </c>
    </row>
    <row r="5272" spans="27:30" x14ac:dyDescent="0.3">
      <c r="AA5272" s="37">
        <v>5252</v>
      </c>
      <c r="AB5272" s="37">
        <v>1.7679517687318189</v>
      </c>
      <c r="AC5272" s="37">
        <v>2.8416691743389575</v>
      </c>
      <c r="AD5272" s="37">
        <v>3.415525049099235</v>
      </c>
    </row>
    <row r="5273" spans="27:30" x14ac:dyDescent="0.3">
      <c r="AA5273" s="37">
        <v>5253</v>
      </c>
      <c r="AB5273" s="37">
        <v>1.9310428827771409</v>
      </c>
      <c r="AC5273" s="37">
        <v>2.8996277999932589</v>
      </c>
      <c r="AD5273" s="37">
        <v>3.2454375385563989</v>
      </c>
    </row>
    <row r="5274" spans="27:30" x14ac:dyDescent="0.3">
      <c r="AA5274" s="37">
        <v>5254</v>
      </c>
      <c r="AB5274" s="37">
        <v>1.7725895786002062</v>
      </c>
      <c r="AC5274" s="37">
        <v>2.8839819811450047</v>
      </c>
      <c r="AD5274" s="37">
        <v>3.3105498915023084</v>
      </c>
    </row>
    <row r="5275" spans="27:30" x14ac:dyDescent="0.3">
      <c r="AA5275" s="37">
        <v>5255</v>
      </c>
      <c r="AB5275" s="37">
        <v>1.8077399792383693</v>
      </c>
      <c r="AC5275" s="37">
        <v>3.1216990260584265</v>
      </c>
      <c r="AD5275" s="37">
        <v>3.3291741576467073</v>
      </c>
    </row>
    <row r="5276" spans="27:30" x14ac:dyDescent="0.3">
      <c r="AA5276" s="37">
        <v>5256</v>
      </c>
      <c r="AB5276" s="37">
        <v>1.785581367450791</v>
      </c>
      <c r="AC5276" s="37">
        <v>2.8572086873649689</v>
      </c>
      <c r="AD5276" s="37">
        <v>3.7582801435239941</v>
      </c>
    </row>
    <row r="5277" spans="27:30" x14ac:dyDescent="0.3">
      <c r="AA5277" s="37">
        <v>5257</v>
      </c>
      <c r="AB5277" s="37">
        <v>1.8651456055518782</v>
      </c>
      <c r="AC5277" s="37">
        <v>2.8406157193596648</v>
      </c>
      <c r="AD5277" s="37">
        <v>3.1779597678559477</v>
      </c>
    </row>
    <row r="5278" spans="27:30" x14ac:dyDescent="0.3">
      <c r="AA5278" s="37">
        <v>5258</v>
      </c>
      <c r="AB5278" s="37">
        <v>1.8479422415209463</v>
      </c>
      <c r="AC5278" s="37">
        <v>2.7787388366193317</v>
      </c>
      <c r="AD5278" s="37">
        <v>3.2800935382805996</v>
      </c>
    </row>
    <row r="5279" spans="27:30" x14ac:dyDescent="0.3">
      <c r="AA5279" s="37">
        <v>5259</v>
      </c>
      <c r="AB5279" s="37">
        <v>1.8968090094058367</v>
      </c>
      <c r="AC5279" s="37">
        <v>2.8712599467367239</v>
      </c>
      <c r="AD5279" s="37">
        <v>3.5450739682677455</v>
      </c>
    </row>
    <row r="5280" spans="27:30" x14ac:dyDescent="0.3">
      <c r="AA5280" s="37">
        <v>5260</v>
      </c>
      <c r="AB5280" s="37">
        <v>1.7480338961452075</v>
      </c>
      <c r="AC5280" s="37">
        <v>2.782925517508442</v>
      </c>
      <c r="AD5280" s="37">
        <v>3.408307262366379</v>
      </c>
    </row>
    <row r="5281" spans="27:30" x14ac:dyDescent="0.3">
      <c r="AA5281" s="37">
        <v>5261</v>
      </c>
      <c r="AB5281" s="37">
        <v>1.7615135397904702</v>
      </c>
      <c r="AC5281" s="37">
        <v>2.8821051120695116</v>
      </c>
      <c r="AD5281" s="37">
        <v>3.3215605656394782</v>
      </c>
    </row>
    <row r="5282" spans="27:30" x14ac:dyDescent="0.3">
      <c r="AA5282" s="37">
        <v>5262</v>
      </c>
      <c r="AB5282" s="37">
        <v>1.8452685448620834</v>
      </c>
      <c r="AC5282" s="37">
        <v>2.858792247241881</v>
      </c>
      <c r="AD5282" s="37">
        <v>3.106338122277204</v>
      </c>
    </row>
    <row r="5283" spans="27:30" x14ac:dyDescent="0.3">
      <c r="AA5283" s="37">
        <v>5263</v>
      </c>
      <c r="AB5283" s="37">
        <v>1.8602640873167775</v>
      </c>
      <c r="AC5283" s="37">
        <v>2.8943889973597892</v>
      </c>
      <c r="AD5283" s="37">
        <v>3.1676196237558023</v>
      </c>
    </row>
    <row r="5284" spans="27:30" x14ac:dyDescent="0.3">
      <c r="AA5284" s="37">
        <v>5264</v>
      </c>
      <c r="AB5284" s="37">
        <v>1.6813117943312428</v>
      </c>
      <c r="AC5284" s="37">
        <v>2.9140816155959692</v>
      </c>
      <c r="AD5284" s="37">
        <v>3.3311462585398215</v>
      </c>
    </row>
    <row r="5285" spans="27:30" x14ac:dyDescent="0.3">
      <c r="AA5285" s="37">
        <v>5265</v>
      </c>
      <c r="AB5285" s="37">
        <v>1.6414809980492306</v>
      </c>
      <c r="AC5285" s="37">
        <v>2.7937533265300569</v>
      </c>
      <c r="AD5285" s="37">
        <v>3.2731274780746769</v>
      </c>
    </row>
    <row r="5286" spans="27:30" x14ac:dyDescent="0.3">
      <c r="AA5286" s="37">
        <v>5266</v>
      </c>
      <c r="AB5286" s="37">
        <v>1.8092729451391547</v>
      </c>
      <c r="AC5286" s="37">
        <v>2.7429162090107537</v>
      </c>
      <c r="AD5286" s="37">
        <v>3.3016890970322326</v>
      </c>
    </row>
    <row r="5287" spans="27:30" x14ac:dyDescent="0.3">
      <c r="AA5287" s="37">
        <v>5267</v>
      </c>
      <c r="AB5287" s="37">
        <v>1.9109345358687186</v>
      </c>
      <c r="AC5287" s="37">
        <v>2.8532867846511478</v>
      </c>
      <c r="AD5287" s="37">
        <v>3.6650620149956166</v>
      </c>
    </row>
    <row r="5288" spans="27:30" x14ac:dyDescent="0.3">
      <c r="AA5288" s="37">
        <v>5268</v>
      </c>
      <c r="AB5288" s="37">
        <v>1.7415683529941879</v>
      </c>
      <c r="AC5288" s="37">
        <v>2.9681008650990575</v>
      </c>
      <c r="AD5288" s="37">
        <v>3.3354419975318108</v>
      </c>
    </row>
    <row r="5289" spans="27:30" x14ac:dyDescent="0.3">
      <c r="AA5289" s="37">
        <v>5269</v>
      </c>
      <c r="AB5289" s="37">
        <v>1.8117377839882378</v>
      </c>
      <c r="AC5289" s="37">
        <v>2.817273204018262</v>
      </c>
      <c r="AD5289" s="37">
        <v>3.2556167350883656</v>
      </c>
    </row>
    <row r="5290" spans="27:30" x14ac:dyDescent="0.3">
      <c r="AA5290" s="37">
        <v>5270</v>
      </c>
      <c r="AB5290" s="37">
        <v>1.9101645211979457</v>
      </c>
      <c r="AC5290" s="37">
        <v>2.6974141113123773</v>
      </c>
      <c r="AD5290" s="37">
        <v>3.2148902717561505</v>
      </c>
    </row>
    <row r="5291" spans="27:30" x14ac:dyDescent="0.3">
      <c r="AA5291" s="37">
        <v>5271</v>
      </c>
      <c r="AB5291" s="37">
        <v>1.8075642143073152</v>
      </c>
      <c r="AC5291" s="37">
        <v>2.7417910267284831</v>
      </c>
      <c r="AD5291" s="37">
        <v>3.4415883367061078</v>
      </c>
    </row>
    <row r="5292" spans="27:30" x14ac:dyDescent="0.3">
      <c r="AA5292" s="37">
        <v>5272</v>
      </c>
      <c r="AB5292" s="37">
        <v>1.7925063219932893</v>
      </c>
      <c r="AC5292" s="37">
        <v>2.6651752990855679</v>
      </c>
      <c r="AD5292" s="37">
        <v>3.4794350404353875</v>
      </c>
    </row>
    <row r="5293" spans="27:30" x14ac:dyDescent="0.3">
      <c r="AA5293" s="37">
        <v>5273</v>
      </c>
      <c r="AB5293" s="37">
        <v>1.7248321013663335</v>
      </c>
      <c r="AC5293" s="37">
        <v>2.7569960195388967</v>
      </c>
      <c r="AD5293" s="37">
        <v>3.4172775499942949</v>
      </c>
    </row>
    <row r="5294" spans="27:30" x14ac:dyDescent="0.3">
      <c r="AA5294" s="37">
        <v>5274</v>
      </c>
      <c r="AB5294" s="37">
        <v>1.8564384343918015</v>
      </c>
      <c r="AC5294" s="37">
        <v>2.7551105134001546</v>
      </c>
      <c r="AD5294" s="37">
        <v>3.4005574238509961</v>
      </c>
    </row>
    <row r="5295" spans="27:30" x14ac:dyDescent="0.3">
      <c r="AA5295" s="37">
        <v>5275</v>
      </c>
      <c r="AB5295" s="37">
        <v>1.7244857500496105</v>
      </c>
      <c r="AC5295" s="37">
        <v>2.7657512269285607</v>
      </c>
      <c r="AD5295" s="37">
        <v>3.3731303565434869</v>
      </c>
    </row>
    <row r="5296" spans="27:30" x14ac:dyDescent="0.3">
      <c r="AA5296" s="37">
        <v>5276</v>
      </c>
      <c r="AB5296" s="37">
        <v>1.7559145899204929</v>
      </c>
      <c r="AC5296" s="37">
        <v>2.8276718842333062</v>
      </c>
      <c r="AD5296" s="37">
        <v>3.5586210596000205</v>
      </c>
    </row>
    <row r="5297" spans="27:30" x14ac:dyDescent="0.3">
      <c r="AA5297" s="37">
        <v>5277</v>
      </c>
      <c r="AB5297" s="37">
        <v>1.8656060054727559</v>
      </c>
      <c r="AC5297" s="37">
        <v>2.8514753692200441</v>
      </c>
      <c r="AD5297" s="37">
        <v>3.1963536759166797</v>
      </c>
    </row>
    <row r="5298" spans="27:30" x14ac:dyDescent="0.3">
      <c r="AA5298" s="37">
        <v>5278</v>
      </c>
      <c r="AB5298" s="37">
        <v>1.7894017284615364</v>
      </c>
      <c r="AC5298" s="37">
        <v>2.7055493296931954</v>
      </c>
      <c r="AD5298" s="37">
        <v>3.2986869390755298</v>
      </c>
    </row>
    <row r="5299" spans="27:30" x14ac:dyDescent="0.3">
      <c r="AA5299" s="37">
        <v>5279</v>
      </c>
      <c r="AB5299" s="37">
        <v>1.6965659131624284</v>
      </c>
      <c r="AC5299" s="37">
        <v>2.8480162402216513</v>
      </c>
      <c r="AD5299" s="37">
        <v>3.3742469553286005</v>
      </c>
    </row>
    <row r="5300" spans="27:30" x14ac:dyDescent="0.3">
      <c r="AA5300" s="37">
        <v>5280</v>
      </c>
      <c r="AB5300" s="37">
        <v>1.7284318828188436</v>
      </c>
      <c r="AC5300" s="37">
        <v>2.7398606409176929</v>
      </c>
      <c r="AD5300" s="37">
        <v>3.2334851550225188</v>
      </c>
    </row>
    <row r="5301" spans="27:30" x14ac:dyDescent="0.3">
      <c r="AA5301" s="37">
        <v>5281</v>
      </c>
      <c r="AB5301" s="37">
        <v>1.7565217533805522</v>
      </c>
      <c r="AC5301" s="37">
        <v>2.7801107069067168</v>
      </c>
      <c r="AD5301" s="37">
        <v>3.2221689877471489</v>
      </c>
    </row>
    <row r="5302" spans="27:30" x14ac:dyDescent="0.3">
      <c r="AA5302" s="37">
        <v>5282</v>
      </c>
      <c r="AB5302" s="37">
        <v>1.7853616748610508</v>
      </c>
      <c r="AC5302" s="37">
        <v>3.0156712065323101</v>
      </c>
      <c r="AD5302" s="37">
        <v>3.3300514518367166</v>
      </c>
    </row>
    <row r="5303" spans="27:30" x14ac:dyDescent="0.3">
      <c r="AA5303" s="37">
        <v>5283</v>
      </c>
      <c r="AB5303" s="37">
        <v>1.9060615355270918</v>
      </c>
      <c r="AC5303" s="37">
        <v>2.7555153638695797</v>
      </c>
      <c r="AD5303" s="37">
        <v>3.3732286046692259</v>
      </c>
    </row>
    <row r="5304" spans="27:30" x14ac:dyDescent="0.3">
      <c r="AA5304" s="37">
        <v>5284</v>
      </c>
      <c r="AB5304" s="37">
        <v>1.695489654185764</v>
      </c>
      <c r="AC5304" s="37">
        <v>2.9526594493480727</v>
      </c>
      <c r="AD5304" s="37">
        <v>3.3472154326213581</v>
      </c>
    </row>
    <row r="5305" spans="27:30" x14ac:dyDescent="0.3">
      <c r="AA5305" s="37">
        <v>5285</v>
      </c>
      <c r="AB5305" s="37">
        <v>1.7020927201506375</v>
      </c>
      <c r="AC5305" s="37">
        <v>2.8737143646108363</v>
      </c>
      <c r="AD5305" s="37">
        <v>3.1662144290458052</v>
      </c>
    </row>
    <row r="5306" spans="27:30" x14ac:dyDescent="0.3">
      <c r="AA5306" s="37">
        <v>5286</v>
      </c>
      <c r="AB5306" s="37">
        <v>1.8761386304205481</v>
      </c>
      <c r="AC5306" s="37">
        <v>2.7892242192520769</v>
      </c>
      <c r="AD5306" s="37">
        <v>3.2906674992247287</v>
      </c>
    </row>
    <row r="5307" spans="27:30" x14ac:dyDescent="0.3">
      <c r="AA5307" s="37">
        <v>5287</v>
      </c>
      <c r="AB5307" s="37">
        <v>1.8361632925434652</v>
      </c>
      <c r="AC5307" s="37">
        <v>2.8500202104770773</v>
      </c>
      <c r="AD5307" s="37">
        <v>3.373549364665152</v>
      </c>
    </row>
    <row r="5308" spans="27:30" x14ac:dyDescent="0.3">
      <c r="AA5308" s="37">
        <v>5288</v>
      </c>
      <c r="AB5308" s="37">
        <v>1.7270773338630874</v>
      </c>
      <c r="AC5308" s="37">
        <v>2.8611478104980561</v>
      </c>
      <c r="AD5308" s="37">
        <v>3.3485845350729848</v>
      </c>
    </row>
    <row r="5309" spans="27:30" x14ac:dyDescent="0.3">
      <c r="AA5309" s="37">
        <v>5289</v>
      </c>
      <c r="AB5309" s="37">
        <v>1.7740726580418531</v>
      </c>
      <c r="AC5309" s="37">
        <v>2.7618926233243402</v>
      </c>
      <c r="AD5309" s="37">
        <v>3.2602106495707193</v>
      </c>
    </row>
    <row r="5310" spans="27:30" x14ac:dyDescent="0.3">
      <c r="AA5310" s="37">
        <v>5290</v>
      </c>
      <c r="AB5310" s="37">
        <v>1.7578968108832018</v>
      </c>
      <c r="AC5310" s="37">
        <v>2.8317224274437867</v>
      </c>
      <c r="AD5310" s="37">
        <v>3.0650421779452071</v>
      </c>
    </row>
    <row r="5311" spans="27:30" x14ac:dyDescent="0.3">
      <c r="AA5311" s="37">
        <v>5291</v>
      </c>
      <c r="AB5311" s="37">
        <v>1.8311353689410799</v>
      </c>
      <c r="AC5311" s="37">
        <v>2.9182050798993515</v>
      </c>
      <c r="AD5311" s="37">
        <v>3.5320151462506764</v>
      </c>
    </row>
    <row r="5312" spans="27:30" x14ac:dyDescent="0.3">
      <c r="AA5312" s="37">
        <v>5292</v>
      </c>
      <c r="AB5312" s="37">
        <v>1.8534195961584867</v>
      </c>
      <c r="AC5312" s="37">
        <v>2.8023326489208058</v>
      </c>
      <c r="AD5312" s="37">
        <v>3.2192604500925026</v>
      </c>
    </row>
    <row r="5313" spans="27:30" x14ac:dyDescent="0.3">
      <c r="AA5313" s="37">
        <v>5293</v>
      </c>
      <c r="AB5313" s="37">
        <v>1.766517656176102</v>
      </c>
      <c r="AC5313" s="37">
        <v>2.9675143502464549</v>
      </c>
      <c r="AD5313" s="37">
        <v>3.5823170514053304</v>
      </c>
    </row>
    <row r="5314" spans="27:30" x14ac:dyDescent="0.3">
      <c r="AA5314" s="37">
        <v>5294</v>
      </c>
      <c r="AB5314" s="37">
        <v>1.772071221977358</v>
      </c>
      <c r="AC5314" s="37">
        <v>3.0597534793827545</v>
      </c>
      <c r="AD5314" s="37">
        <v>3.4086832608617086</v>
      </c>
    </row>
    <row r="5315" spans="27:30" x14ac:dyDescent="0.3">
      <c r="AA5315" s="37">
        <v>5295</v>
      </c>
      <c r="AB5315" s="37">
        <v>1.7728971357997185</v>
      </c>
      <c r="AC5315" s="37">
        <v>2.9304428667645963</v>
      </c>
      <c r="AD5315" s="37">
        <v>3.3355363643870528</v>
      </c>
    </row>
    <row r="5316" spans="27:30" x14ac:dyDescent="0.3">
      <c r="AA5316" s="37">
        <v>5296</v>
      </c>
      <c r="AB5316" s="37">
        <v>1.7779273355391088</v>
      </c>
      <c r="AC5316" s="37">
        <v>2.8925248812850013</v>
      </c>
      <c r="AD5316" s="37">
        <v>3.1615203392662039</v>
      </c>
    </row>
    <row r="5317" spans="27:30" x14ac:dyDescent="0.3">
      <c r="AA5317" s="37">
        <v>5297</v>
      </c>
      <c r="AB5317" s="37">
        <v>1.8286301361913593</v>
      </c>
      <c r="AC5317" s="37">
        <v>2.7902429154640807</v>
      </c>
      <c r="AD5317" s="37">
        <v>3.6011418831847126</v>
      </c>
    </row>
    <row r="5318" spans="27:30" x14ac:dyDescent="0.3">
      <c r="AA5318" s="37">
        <v>5298</v>
      </c>
      <c r="AB5318" s="37">
        <v>1.7664958005448907</v>
      </c>
      <c r="AC5318" s="37">
        <v>2.7005412610743402</v>
      </c>
      <c r="AD5318" s="37">
        <v>3.5096028171132359</v>
      </c>
    </row>
    <row r="5319" spans="27:30" x14ac:dyDescent="0.3">
      <c r="AA5319" s="37">
        <v>5299</v>
      </c>
      <c r="AB5319" s="37">
        <v>1.9538247245991875</v>
      </c>
      <c r="AC5319" s="37">
        <v>2.7816907709053891</v>
      </c>
      <c r="AD5319" s="37">
        <v>3.5032810708335687</v>
      </c>
    </row>
    <row r="5320" spans="27:30" x14ac:dyDescent="0.3">
      <c r="AA5320" s="37">
        <v>5300</v>
      </c>
      <c r="AB5320" s="37">
        <v>1.8131867469445793</v>
      </c>
      <c r="AC5320" s="37">
        <v>2.7230700452530532</v>
      </c>
      <c r="AD5320" s="37">
        <v>3.4097809319410715</v>
      </c>
    </row>
    <row r="5321" spans="27:30" x14ac:dyDescent="0.3">
      <c r="AA5321" s="37">
        <v>5301</v>
      </c>
      <c r="AB5321" s="37">
        <v>1.7467701976716243</v>
      </c>
      <c r="AC5321" s="37">
        <v>3.0568949123346529</v>
      </c>
      <c r="AD5321" s="37">
        <v>3.2617669981088118</v>
      </c>
    </row>
    <row r="5322" spans="27:30" x14ac:dyDescent="0.3">
      <c r="AA5322" s="37">
        <v>5302</v>
      </c>
      <c r="AB5322" s="37">
        <v>1.7614786003778056</v>
      </c>
      <c r="AC5322" s="37">
        <v>2.7998507236651249</v>
      </c>
      <c r="AD5322" s="37">
        <v>3.2396994231437808</v>
      </c>
    </row>
    <row r="5323" spans="27:30" x14ac:dyDescent="0.3">
      <c r="AA5323" s="37">
        <v>5303</v>
      </c>
      <c r="AB5323" s="37">
        <v>1.7388647142750635</v>
      </c>
      <c r="AC5323" s="37">
        <v>2.8355056678445179</v>
      </c>
      <c r="AD5323" s="37">
        <v>3.6656758797191955</v>
      </c>
    </row>
    <row r="5324" spans="27:30" x14ac:dyDescent="0.3">
      <c r="AA5324" s="37">
        <v>5304</v>
      </c>
      <c r="AB5324" s="37">
        <v>1.8143582408942709</v>
      </c>
      <c r="AC5324" s="37">
        <v>2.7194223106797288</v>
      </c>
      <c r="AD5324" s="37">
        <v>3.3260354148414191</v>
      </c>
    </row>
    <row r="5325" spans="27:30" x14ac:dyDescent="0.3">
      <c r="AA5325" s="37">
        <v>5305</v>
      </c>
      <c r="AB5325" s="37">
        <v>1.8373321240232581</v>
      </c>
      <c r="AC5325" s="37">
        <v>2.7977464084177881</v>
      </c>
      <c r="AD5325" s="37">
        <v>3.299848088220088</v>
      </c>
    </row>
    <row r="5326" spans="27:30" x14ac:dyDescent="0.3">
      <c r="AA5326" s="37">
        <v>5306</v>
      </c>
      <c r="AB5326" s="37">
        <v>1.7733147374391991</v>
      </c>
      <c r="AC5326" s="37">
        <v>2.8042966435523544</v>
      </c>
      <c r="AD5326" s="37">
        <v>3.5633194869362987</v>
      </c>
    </row>
    <row r="5327" spans="27:30" x14ac:dyDescent="0.3">
      <c r="AA5327" s="37">
        <v>5307</v>
      </c>
      <c r="AB5327" s="37">
        <v>1.7871965663371776</v>
      </c>
      <c r="AC5327" s="37">
        <v>2.7114249477006025</v>
      </c>
      <c r="AD5327" s="37">
        <v>3.3600978672111506</v>
      </c>
    </row>
    <row r="5328" spans="27:30" x14ac:dyDescent="0.3">
      <c r="AA5328" s="37">
        <v>5308</v>
      </c>
      <c r="AB5328" s="37">
        <v>1.8008288541982598</v>
      </c>
      <c r="AC5328" s="37">
        <v>2.91702889281459</v>
      </c>
      <c r="AD5328" s="37">
        <v>3.3994128202530169</v>
      </c>
    </row>
    <row r="5329" spans="27:30" x14ac:dyDescent="0.3">
      <c r="AA5329" s="37">
        <v>5309</v>
      </c>
      <c r="AB5329" s="37">
        <v>1.8005052912202129</v>
      </c>
      <c r="AC5329" s="37">
        <v>2.9131393018409599</v>
      </c>
      <c r="AD5329" s="37">
        <v>3.2858295466441065</v>
      </c>
    </row>
    <row r="5330" spans="27:30" x14ac:dyDescent="0.3">
      <c r="AA5330" s="37">
        <v>5310</v>
      </c>
      <c r="AB5330" s="37">
        <v>1.7025518511672111</v>
      </c>
      <c r="AC5330" s="37">
        <v>2.7664338563969251</v>
      </c>
      <c r="AD5330" s="37">
        <v>3.203456355303564</v>
      </c>
    </row>
    <row r="5331" spans="27:30" x14ac:dyDescent="0.3">
      <c r="AA5331" s="37">
        <v>5311</v>
      </c>
      <c r="AB5331" s="37">
        <v>1.8254373414711038</v>
      </c>
      <c r="AC5331" s="37">
        <v>2.9393728297046278</v>
      </c>
      <c r="AD5331" s="37">
        <v>3.3872850393387033</v>
      </c>
    </row>
    <row r="5332" spans="27:30" x14ac:dyDescent="0.3">
      <c r="AA5332" s="37">
        <v>5312</v>
      </c>
      <c r="AB5332" s="37">
        <v>1.7581656691555054</v>
      </c>
      <c r="AC5332" s="37">
        <v>2.8395738710595007</v>
      </c>
      <c r="AD5332" s="37">
        <v>3.4215511312465732</v>
      </c>
    </row>
    <row r="5333" spans="27:30" x14ac:dyDescent="0.3">
      <c r="AA5333" s="37">
        <v>5313</v>
      </c>
      <c r="AB5333" s="37">
        <v>1.8055562574951594</v>
      </c>
      <c r="AC5333" s="37">
        <v>2.7045197200018549</v>
      </c>
      <c r="AD5333" s="37">
        <v>3.5006426257595491</v>
      </c>
    </row>
    <row r="5334" spans="27:30" x14ac:dyDescent="0.3">
      <c r="AA5334" s="37">
        <v>5314</v>
      </c>
      <c r="AB5334" s="37">
        <v>1.7520076381138374</v>
      </c>
      <c r="AC5334" s="37">
        <v>2.7258281917686618</v>
      </c>
      <c r="AD5334" s="37">
        <v>3.1168696537710243</v>
      </c>
    </row>
    <row r="5335" spans="27:30" x14ac:dyDescent="0.3">
      <c r="AA5335" s="37">
        <v>5315</v>
      </c>
      <c r="AB5335" s="37">
        <v>1.8027377676019072</v>
      </c>
      <c r="AC5335" s="37">
        <v>2.8634487373127313</v>
      </c>
      <c r="AD5335" s="37">
        <v>3.3522411850727383</v>
      </c>
    </row>
    <row r="5336" spans="27:30" x14ac:dyDescent="0.3">
      <c r="AA5336" s="37">
        <v>5316</v>
      </c>
      <c r="AB5336" s="37">
        <v>1.7940020588179626</v>
      </c>
      <c r="AC5336" s="37">
        <v>2.6904336633474735</v>
      </c>
      <c r="AD5336" s="37">
        <v>3.3342116341516941</v>
      </c>
    </row>
    <row r="5337" spans="27:30" x14ac:dyDescent="0.3">
      <c r="AA5337" s="37">
        <v>5317</v>
      </c>
      <c r="AB5337" s="37">
        <v>1.900028330057248</v>
      </c>
      <c r="AC5337" s="37">
        <v>2.7302911153878751</v>
      </c>
      <c r="AD5337" s="37">
        <v>3.2600689274314463</v>
      </c>
    </row>
    <row r="5338" spans="27:30" x14ac:dyDescent="0.3">
      <c r="AA5338" s="37">
        <v>5318</v>
      </c>
      <c r="AB5338" s="37">
        <v>1.8679731011456602</v>
      </c>
      <c r="AC5338" s="37">
        <v>2.6962632146505521</v>
      </c>
      <c r="AD5338" s="37">
        <v>3.2575443215728468</v>
      </c>
    </row>
    <row r="5339" spans="27:30" x14ac:dyDescent="0.3">
      <c r="AA5339" s="37">
        <v>5319</v>
      </c>
      <c r="AB5339" s="37">
        <v>1.6413205409089524</v>
      </c>
      <c r="AC5339" s="37">
        <v>2.6985105747567357</v>
      </c>
      <c r="AD5339" s="37">
        <v>3.2580323793311652</v>
      </c>
    </row>
    <row r="5340" spans="27:30" x14ac:dyDescent="0.3">
      <c r="AA5340" s="37">
        <v>5320</v>
      </c>
      <c r="AB5340" s="37">
        <v>1.6921311388454465</v>
      </c>
      <c r="AC5340" s="37">
        <v>2.94786669173167</v>
      </c>
      <c r="AD5340" s="37">
        <v>3.5363024312212543</v>
      </c>
    </row>
    <row r="5341" spans="27:30" x14ac:dyDescent="0.3">
      <c r="AA5341" s="37">
        <v>5321</v>
      </c>
      <c r="AB5341" s="37">
        <v>1.8174053009204938</v>
      </c>
      <c r="AC5341" s="37">
        <v>2.8714345589048658</v>
      </c>
      <c r="AD5341" s="37">
        <v>3.3025153585802891</v>
      </c>
    </row>
    <row r="5342" spans="27:30" x14ac:dyDescent="0.3">
      <c r="AA5342" s="37">
        <v>5322</v>
      </c>
      <c r="AB5342" s="37">
        <v>1.8115036136211342</v>
      </c>
      <c r="AC5342" s="37">
        <v>2.8008578997647513</v>
      </c>
      <c r="AD5342" s="37">
        <v>3.4016416047680895</v>
      </c>
    </row>
    <row r="5343" spans="27:30" x14ac:dyDescent="0.3">
      <c r="AA5343" s="37">
        <v>5323</v>
      </c>
      <c r="AB5343" s="37">
        <v>1.8396973272095487</v>
      </c>
      <c r="AC5343" s="37">
        <v>2.7501741997537761</v>
      </c>
      <c r="AD5343" s="37">
        <v>3.3622061763405857</v>
      </c>
    </row>
    <row r="5344" spans="27:30" x14ac:dyDescent="0.3">
      <c r="AA5344" s="37">
        <v>5324</v>
      </c>
      <c r="AB5344" s="37">
        <v>1.7368846628378134</v>
      </c>
      <c r="AC5344" s="37">
        <v>3.0010222061503531</v>
      </c>
      <c r="AD5344" s="37">
        <v>3.3693013828729441</v>
      </c>
    </row>
    <row r="5345" spans="27:30" x14ac:dyDescent="0.3">
      <c r="AA5345" s="37">
        <v>5325</v>
      </c>
      <c r="AB5345" s="37">
        <v>1.8819648397198547</v>
      </c>
      <c r="AC5345" s="37">
        <v>2.941276625390397</v>
      </c>
      <c r="AD5345" s="37">
        <v>3.136513597195004</v>
      </c>
    </row>
    <row r="5346" spans="27:30" x14ac:dyDescent="0.3">
      <c r="AA5346" s="37">
        <v>5326</v>
      </c>
      <c r="AB5346" s="37">
        <v>1.7223107881103294</v>
      </c>
      <c r="AC5346" s="37">
        <v>2.9336939728651146</v>
      </c>
      <c r="AD5346" s="37">
        <v>3.5127050327966436</v>
      </c>
    </row>
    <row r="5347" spans="27:30" x14ac:dyDescent="0.3">
      <c r="AA5347" s="37">
        <v>5327</v>
      </c>
      <c r="AB5347" s="37">
        <v>1.815908312941102</v>
      </c>
      <c r="AC5347" s="37">
        <v>2.970033626050252</v>
      </c>
      <c r="AD5347" s="37">
        <v>3.5112236215676922</v>
      </c>
    </row>
    <row r="5348" spans="27:30" x14ac:dyDescent="0.3">
      <c r="AA5348" s="37">
        <v>5328</v>
      </c>
      <c r="AB5348" s="37">
        <v>1.8484516603761811</v>
      </c>
      <c r="AC5348" s="37">
        <v>2.9352730081419289</v>
      </c>
      <c r="AD5348" s="37">
        <v>3.3651835039149476</v>
      </c>
    </row>
    <row r="5349" spans="27:30" x14ac:dyDescent="0.3">
      <c r="AA5349" s="37">
        <v>5329</v>
      </c>
      <c r="AB5349" s="37">
        <v>1.8246347869911996</v>
      </c>
      <c r="AC5349" s="37">
        <v>2.7790482646226646</v>
      </c>
      <c r="AD5349" s="37">
        <v>3.5398900135306044</v>
      </c>
    </row>
    <row r="5350" spans="27:30" x14ac:dyDescent="0.3">
      <c r="AA5350" s="37">
        <v>5330</v>
      </c>
      <c r="AB5350" s="37">
        <v>1.8163450318334688</v>
      </c>
      <c r="AC5350" s="37">
        <v>2.806613952675785</v>
      </c>
      <c r="AD5350" s="37">
        <v>3.1661274129994492</v>
      </c>
    </row>
    <row r="5351" spans="27:30" x14ac:dyDescent="0.3">
      <c r="AA5351" s="37">
        <v>5331</v>
      </c>
      <c r="AB5351" s="37">
        <v>1.7852727358795977</v>
      </c>
      <c r="AC5351" s="37">
        <v>2.7372227186858922</v>
      </c>
      <c r="AD5351" s="37">
        <v>3.4354525801807068</v>
      </c>
    </row>
    <row r="5352" spans="27:30" x14ac:dyDescent="0.3">
      <c r="AA5352" s="37">
        <v>5332</v>
      </c>
      <c r="AB5352" s="37">
        <v>1.7799133610194917</v>
      </c>
      <c r="AC5352" s="37">
        <v>2.7130694156079849</v>
      </c>
      <c r="AD5352" s="37">
        <v>3.4354937699960857</v>
      </c>
    </row>
    <row r="5353" spans="27:30" x14ac:dyDescent="0.3">
      <c r="AA5353" s="37">
        <v>5333</v>
      </c>
      <c r="AB5353" s="37">
        <v>1.8068192535662457</v>
      </c>
      <c r="AC5353" s="37">
        <v>2.9195162305400642</v>
      </c>
      <c r="AD5353" s="37">
        <v>3.2370472106900308</v>
      </c>
    </row>
    <row r="5354" spans="27:30" x14ac:dyDescent="0.3">
      <c r="AA5354" s="37">
        <v>5334</v>
      </c>
      <c r="AB5354" s="37">
        <v>1.7936406903304707</v>
      </c>
      <c r="AC5354" s="37">
        <v>2.7881704763930877</v>
      </c>
      <c r="AD5354" s="37">
        <v>3.3123197273967602</v>
      </c>
    </row>
    <row r="5355" spans="27:30" x14ac:dyDescent="0.3">
      <c r="AA5355" s="37">
        <v>5335</v>
      </c>
      <c r="AB5355" s="37">
        <v>1.7974024217950009</v>
      </c>
      <c r="AC5355" s="37">
        <v>2.9857320799325326</v>
      </c>
      <c r="AD5355" s="37">
        <v>3.500382061180189</v>
      </c>
    </row>
    <row r="5356" spans="27:30" x14ac:dyDescent="0.3">
      <c r="AA5356" s="37">
        <v>5336</v>
      </c>
      <c r="AB5356" s="37">
        <v>1.7791061821982694</v>
      </c>
      <c r="AC5356" s="37">
        <v>2.785925352157018</v>
      </c>
      <c r="AD5356" s="37">
        <v>3.2074304908981492</v>
      </c>
    </row>
    <row r="5357" spans="27:30" x14ac:dyDescent="0.3">
      <c r="AA5357" s="37">
        <v>5337</v>
      </c>
      <c r="AB5357" s="37">
        <v>1.7656883952342921</v>
      </c>
      <c r="AC5357" s="37">
        <v>2.9954959491763842</v>
      </c>
      <c r="AD5357" s="37">
        <v>3.2402663594291736</v>
      </c>
    </row>
    <row r="5358" spans="27:30" x14ac:dyDescent="0.3">
      <c r="AA5358" s="37">
        <v>5338</v>
      </c>
      <c r="AB5358" s="37">
        <v>1.7107970652520932</v>
      </c>
      <c r="AC5358" s="37">
        <v>2.8604375749787221</v>
      </c>
      <c r="AD5358" s="37">
        <v>3.2077108155340555</v>
      </c>
    </row>
    <row r="5359" spans="27:30" x14ac:dyDescent="0.3">
      <c r="AA5359" s="37">
        <v>5339</v>
      </c>
      <c r="AB5359" s="37">
        <v>1.8626396854344858</v>
      </c>
      <c r="AC5359" s="37">
        <v>2.6839299584349261</v>
      </c>
      <c r="AD5359" s="37">
        <v>3.122749237385853</v>
      </c>
    </row>
    <row r="5360" spans="27:30" x14ac:dyDescent="0.3">
      <c r="AA5360" s="37">
        <v>5340</v>
      </c>
      <c r="AB5360" s="37">
        <v>1.7878715581428706</v>
      </c>
      <c r="AC5360" s="37">
        <v>2.9467836859464072</v>
      </c>
      <c r="AD5360" s="37">
        <v>3.1419714503712113</v>
      </c>
    </row>
    <row r="5361" spans="27:30" x14ac:dyDescent="0.3">
      <c r="AA5361" s="37">
        <v>5341</v>
      </c>
      <c r="AB5361" s="37">
        <v>1.6376238104570204</v>
      </c>
      <c r="AC5361" s="37">
        <v>2.7285133881590498</v>
      </c>
      <c r="AD5361" s="37">
        <v>3.4029160132327974</v>
      </c>
    </row>
    <row r="5362" spans="27:30" x14ac:dyDescent="0.3">
      <c r="AA5362" s="37">
        <v>5342</v>
      </c>
      <c r="AB5362" s="37">
        <v>1.6897649244679012</v>
      </c>
      <c r="AC5362" s="37">
        <v>2.7868413334812212</v>
      </c>
      <c r="AD5362" s="37">
        <v>3.2315372991034068</v>
      </c>
    </row>
    <row r="5363" spans="27:30" x14ac:dyDescent="0.3">
      <c r="AA5363" s="37">
        <v>5343</v>
      </c>
      <c r="AB5363" s="37">
        <v>1.795865791241583</v>
      </c>
      <c r="AC5363" s="37">
        <v>3.0773733207367511</v>
      </c>
      <c r="AD5363" s="37">
        <v>3.5659081893194742</v>
      </c>
    </row>
    <row r="5364" spans="27:30" x14ac:dyDescent="0.3">
      <c r="AA5364" s="37">
        <v>5344</v>
      </c>
      <c r="AB5364" s="37">
        <v>1.8490488351347294</v>
      </c>
      <c r="AC5364" s="37">
        <v>2.8036553722901911</v>
      </c>
      <c r="AD5364" s="37">
        <v>3.4714315496180417</v>
      </c>
    </row>
    <row r="5365" spans="27:30" x14ac:dyDescent="0.3">
      <c r="AA5365" s="37">
        <v>5345</v>
      </c>
      <c r="AB5365" s="37">
        <v>1.7665627579021801</v>
      </c>
      <c r="AC5365" s="37">
        <v>2.5978119162105768</v>
      </c>
      <c r="AD5365" s="37">
        <v>3.4749470083092766</v>
      </c>
    </row>
    <row r="5366" spans="27:30" x14ac:dyDescent="0.3">
      <c r="AA5366" s="37">
        <v>5346</v>
      </c>
      <c r="AB5366" s="37">
        <v>1.7880946515978506</v>
      </c>
      <c r="AC5366" s="37">
        <v>2.9603834132256805</v>
      </c>
      <c r="AD5366" s="37">
        <v>3.3166346296461295</v>
      </c>
    </row>
    <row r="5367" spans="27:30" x14ac:dyDescent="0.3">
      <c r="AA5367" s="37">
        <v>5347</v>
      </c>
      <c r="AB5367" s="37">
        <v>1.781786364789071</v>
      </c>
      <c r="AC5367" s="37">
        <v>2.8116453042840357</v>
      </c>
      <c r="AD5367" s="37">
        <v>3.2777953835734652</v>
      </c>
    </row>
    <row r="5368" spans="27:30" x14ac:dyDescent="0.3">
      <c r="AA5368" s="37">
        <v>5348</v>
      </c>
      <c r="AB5368" s="37">
        <v>1.8098525277445572</v>
      </c>
      <c r="AC5368" s="37">
        <v>2.9138797440191051</v>
      </c>
      <c r="AD5368" s="37">
        <v>3.3777040580581787</v>
      </c>
    </row>
    <row r="5369" spans="27:30" x14ac:dyDescent="0.3">
      <c r="AA5369" s="37">
        <v>5349</v>
      </c>
      <c r="AB5369" s="37">
        <v>1.7550025977945103</v>
      </c>
      <c r="AC5369" s="37">
        <v>3.0001495905383972</v>
      </c>
      <c r="AD5369" s="37">
        <v>3.3400998162749906</v>
      </c>
    </row>
    <row r="5370" spans="27:30" x14ac:dyDescent="0.3">
      <c r="AA5370" s="37">
        <v>5350</v>
      </c>
      <c r="AB5370" s="37">
        <v>1.8450798339383552</v>
      </c>
      <c r="AC5370" s="37">
        <v>2.8478270489609963</v>
      </c>
      <c r="AD5370" s="37">
        <v>3.1854081704828006</v>
      </c>
    </row>
    <row r="5371" spans="27:30" x14ac:dyDescent="0.3">
      <c r="AA5371" s="37">
        <v>5351</v>
      </c>
      <c r="AB5371" s="37">
        <v>1.8210044362081297</v>
      </c>
      <c r="AC5371" s="37">
        <v>2.7495951936928473</v>
      </c>
      <c r="AD5371" s="37">
        <v>3.3789697069805027</v>
      </c>
    </row>
    <row r="5372" spans="27:30" x14ac:dyDescent="0.3">
      <c r="AA5372" s="37">
        <v>5352</v>
      </c>
      <c r="AB5372" s="37">
        <v>1.9154215477863776</v>
      </c>
      <c r="AC5372" s="37">
        <v>2.9342609167704468</v>
      </c>
      <c r="AD5372" s="37">
        <v>3.4222895400479039</v>
      </c>
    </row>
    <row r="5373" spans="27:30" x14ac:dyDescent="0.3">
      <c r="AA5373" s="37">
        <v>5353</v>
      </c>
      <c r="AB5373" s="37">
        <v>1.7672774175430406</v>
      </c>
      <c r="AC5373" s="37">
        <v>2.8451209418060435</v>
      </c>
      <c r="AD5373" s="37">
        <v>3.3965726872514397</v>
      </c>
    </row>
    <row r="5374" spans="27:30" x14ac:dyDescent="0.3">
      <c r="AA5374" s="37">
        <v>5354</v>
      </c>
      <c r="AB5374" s="37">
        <v>1.7912961765988455</v>
      </c>
      <c r="AC5374" s="37">
        <v>2.8967324105581906</v>
      </c>
      <c r="AD5374" s="37">
        <v>3.5730518623429957</v>
      </c>
    </row>
    <row r="5375" spans="27:30" x14ac:dyDescent="0.3">
      <c r="AA5375" s="37">
        <v>5355</v>
      </c>
      <c r="AB5375" s="37">
        <v>1.7404141988073532</v>
      </c>
      <c r="AC5375" s="37">
        <v>2.6696442376892868</v>
      </c>
      <c r="AD5375" s="37">
        <v>3.419405799622373</v>
      </c>
    </row>
    <row r="5376" spans="27:30" x14ac:dyDescent="0.3">
      <c r="AA5376" s="37">
        <v>5356</v>
      </c>
      <c r="AB5376" s="37">
        <v>1.7163714535868553</v>
      </c>
      <c r="AC5376" s="37">
        <v>2.7786934485256105</v>
      </c>
      <c r="AD5376" s="37">
        <v>3.3160912657824526</v>
      </c>
    </row>
    <row r="5377" spans="27:30" x14ac:dyDescent="0.3">
      <c r="AA5377" s="37">
        <v>5357</v>
      </c>
      <c r="AB5377" s="37">
        <v>1.7395666173954405</v>
      </c>
      <c r="AC5377" s="37">
        <v>2.7877986327059383</v>
      </c>
      <c r="AD5377" s="37">
        <v>3.4484809250506583</v>
      </c>
    </row>
    <row r="5378" spans="27:30" x14ac:dyDescent="0.3">
      <c r="AA5378" s="37">
        <v>5358</v>
      </c>
      <c r="AB5378" s="37">
        <v>1.8386295806056772</v>
      </c>
      <c r="AC5378" s="37">
        <v>2.7643458171147635</v>
      </c>
      <c r="AD5378" s="37">
        <v>3.3130647407874307</v>
      </c>
    </row>
    <row r="5379" spans="27:30" x14ac:dyDescent="0.3">
      <c r="AA5379" s="37">
        <v>5359</v>
      </c>
      <c r="AB5379" s="37">
        <v>1.8927300209701519</v>
      </c>
      <c r="AC5379" s="37">
        <v>2.8705276404583384</v>
      </c>
      <c r="AD5379" s="37">
        <v>3.490799571139044</v>
      </c>
    </row>
    <row r="5380" spans="27:30" x14ac:dyDescent="0.3">
      <c r="AA5380" s="37">
        <v>5360</v>
      </c>
      <c r="AB5380" s="37">
        <v>1.7736729230952006</v>
      </c>
      <c r="AC5380" s="37">
        <v>3.0236273069489781</v>
      </c>
      <c r="AD5380" s="37">
        <v>3.3948809754146234</v>
      </c>
    </row>
    <row r="5381" spans="27:30" x14ac:dyDescent="0.3">
      <c r="AA5381" s="37">
        <v>5361</v>
      </c>
      <c r="AB5381" s="37">
        <v>1.7913722507325229</v>
      </c>
      <c r="AC5381" s="37">
        <v>2.7926054404845049</v>
      </c>
      <c r="AD5381" s="37">
        <v>3.384515451715846</v>
      </c>
    </row>
    <row r="5382" spans="27:30" x14ac:dyDescent="0.3">
      <c r="AA5382" s="37">
        <v>5362</v>
      </c>
      <c r="AB5382" s="37">
        <v>1.9300180317269648</v>
      </c>
      <c r="AC5382" s="37">
        <v>2.8467356072950487</v>
      </c>
      <c r="AD5382" s="37">
        <v>3.1272839484707076</v>
      </c>
    </row>
    <row r="5383" spans="27:30" x14ac:dyDescent="0.3">
      <c r="AA5383" s="37">
        <v>5363</v>
      </c>
      <c r="AB5383" s="37">
        <v>1.7444327822763099</v>
      </c>
      <c r="AC5383" s="37">
        <v>2.8958843477634475</v>
      </c>
      <c r="AD5383" s="37">
        <v>3.4865488601473986</v>
      </c>
    </row>
    <row r="5384" spans="27:30" x14ac:dyDescent="0.3">
      <c r="AA5384" s="37">
        <v>5364</v>
      </c>
      <c r="AB5384" s="37">
        <v>1.6754288721362065</v>
      </c>
      <c r="AC5384" s="37">
        <v>2.9385607271903935</v>
      </c>
      <c r="AD5384" s="37">
        <v>3.2760061357147157</v>
      </c>
    </row>
    <row r="5385" spans="27:30" x14ac:dyDescent="0.3">
      <c r="AA5385" s="37">
        <v>5365</v>
      </c>
      <c r="AB5385" s="37">
        <v>1.8509636642263783</v>
      </c>
      <c r="AC5385" s="37">
        <v>2.7741551987636308</v>
      </c>
      <c r="AD5385" s="37">
        <v>3.3240519558133546</v>
      </c>
    </row>
    <row r="5386" spans="27:30" x14ac:dyDescent="0.3">
      <c r="AA5386" s="37">
        <v>5366</v>
      </c>
      <c r="AB5386" s="37">
        <v>1.8447863641304652</v>
      </c>
      <c r="AC5386" s="37">
        <v>2.778250957508154</v>
      </c>
      <c r="AD5386" s="37">
        <v>3.3193151786431234</v>
      </c>
    </row>
    <row r="5387" spans="27:30" x14ac:dyDescent="0.3">
      <c r="AA5387" s="37">
        <v>5367</v>
      </c>
      <c r="AB5387" s="37">
        <v>1.849670878414688</v>
      </c>
      <c r="AC5387" s="37">
        <v>3.0242207606587113</v>
      </c>
      <c r="AD5387" s="37">
        <v>3.5662078404135875</v>
      </c>
    </row>
    <row r="5388" spans="27:30" x14ac:dyDescent="0.3">
      <c r="AA5388" s="37">
        <v>5368</v>
      </c>
      <c r="AB5388" s="37">
        <v>1.7307492248985064</v>
      </c>
      <c r="AC5388" s="37">
        <v>2.7974627812415545</v>
      </c>
      <c r="AD5388" s="37">
        <v>3.3284283461249724</v>
      </c>
    </row>
    <row r="5389" spans="27:30" x14ac:dyDescent="0.3">
      <c r="AA5389" s="37">
        <v>5369</v>
      </c>
      <c r="AB5389" s="37">
        <v>1.7869371709391573</v>
      </c>
      <c r="AC5389" s="37">
        <v>2.8717424282240813</v>
      </c>
      <c r="AD5389" s="37">
        <v>3.3505257409273668</v>
      </c>
    </row>
    <row r="5390" spans="27:30" x14ac:dyDescent="0.3">
      <c r="AA5390" s="37">
        <v>5370</v>
      </c>
      <c r="AB5390" s="37">
        <v>1.8176908619175645</v>
      </c>
      <c r="AC5390" s="37">
        <v>2.9791488635326</v>
      </c>
      <c r="AD5390" s="37">
        <v>3.3933656707514555</v>
      </c>
    </row>
    <row r="5391" spans="27:30" x14ac:dyDescent="0.3">
      <c r="AA5391" s="37">
        <v>5371</v>
      </c>
      <c r="AB5391" s="37">
        <v>1.8174212941247396</v>
      </c>
      <c r="AC5391" s="37">
        <v>2.8660298957932011</v>
      </c>
      <c r="AD5391" s="37">
        <v>3.4161525301061615</v>
      </c>
    </row>
    <row r="5392" spans="27:30" x14ac:dyDescent="0.3">
      <c r="AA5392" s="37">
        <v>5372</v>
      </c>
      <c r="AB5392" s="37">
        <v>1.7632924675566306</v>
      </c>
      <c r="AC5392" s="37">
        <v>2.7847107568421818</v>
      </c>
      <c r="AD5392" s="37">
        <v>3.3087831344553158</v>
      </c>
    </row>
    <row r="5393" spans="27:30" x14ac:dyDescent="0.3">
      <c r="AA5393" s="37">
        <v>5373</v>
      </c>
      <c r="AB5393" s="37">
        <v>1.8620784517762703</v>
      </c>
      <c r="AC5393" s="37">
        <v>2.8039441741997484</v>
      </c>
      <c r="AD5393" s="37">
        <v>3.1962596494045701</v>
      </c>
    </row>
    <row r="5394" spans="27:30" x14ac:dyDescent="0.3">
      <c r="AA5394" s="37">
        <v>5374</v>
      </c>
      <c r="AB5394" s="37">
        <v>1.7691642640449152</v>
      </c>
      <c r="AC5394" s="37">
        <v>2.8642547176762863</v>
      </c>
      <c r="AD5394" s="37">
        <v>3.4942220012457872</v>
      </c>
    </row>
    <row r="5395" spans="27:30" x14ac:dyDescent="0.3">
      <c r="AA5395" s="37">
        <v>5375</v>
      </c>
      <c r="AB5395" s="37">
        <v>1.78036315599382</v>
      </c>
      <c r="AC5395" s="37">
        <v>2.7035232568392624</v>
      </c>
      <c r="AD5395" s="37">
        <v>3.2639858698682351</v>
      </c>
    </row>
    <row r="5396" spans="27:30" x14ac:dyDescent="0.3">
      <c r="AA5396" s="37">
        <v>5376</v>
      </c>
      <c r="AB5396" s="37">
        <v>1.7111452956436854</v>
      </c>
      <c r="AC5396" s="37">
        <v>2.8543296320952414</v>
      </c>
      <c r="AD5396" s="37">
        <v>3.2365446489111056</v>
      </c>
    </row>
    <row r="5397" spans="27:30" x14ac:dyDescent="0.3">
      <c r="AA5397" s="37">
        <v>5377</v>
      </c>
      <c r="AB5397" s="37">
        <v>1.8629625854228788</v>
      </c>
      <c r="AC5397" s="37">
        <v>2.8970189559379653</v>
      </c>
      <c r="AD5397" s="37">
        <v>3.5812345337695333</v>
      </c>
    </row>
    <row r="5398" spans="27:30" x14ac:dyDescent="0.3">
      <c r="AA5398" s="37">
        <v>5378</v>
      </c>
      <c r="AB5398" s="37">
        <v>1.7912389999492528</v>
      </c>
      <c r="AC5398" s="37">
        <v>2.840650926314491</v>
      </c>
      <c r="AD5398" s="37">
        <v>3.3713409881496221</v>
      </c>
    </row>
    <row r="5399" spans="27:30" x14ac:dyDescent="0.3">
      <c r="AA5399" s="37">
        <v>5379</v>
      </c>
      <c r="AB5399" s="37">
        <v>1.7833254159914038</v>
      </c>
      <c r="AC5399" s="37">
        <v>2.7443867159389765</v>
      </c>
      <c r="AD5399" s="37">
        <v>3.3378500418301504</v>
      </c>
    </row>
    <row r="5400" spans="27:30" x14ac:dyDescent="0.3">
      <c r="AA5400" s="37">
        <v>5380</v>
      </c>
      <c r="AB5400" s="37">
        <v>1.7143820385553681</v>
      </c>
      <c r="AC5400" s="37">
        <v>2.7143738991280753</v>
      </c>
      <c r="AD5400" s="37">
        <v>3.2313208415385564</v>
      </c>
    </row>
    <row r="5401" spans="27:30" x14ac:dyDescent="0.3">
      <c r="AA5401" s="37">
        <v>5381</v>
      </c>
      <c r="AB5401" s="37">
        <v>1.8262287689951646</v>
      </c>
      <c r="AC5401" s="37">
        <v>2.628114184073219</v>
      </c>
      <c r="AD5401" s="37">
        <v>3.1791278175363691</v>
      </c>
    </row>
    <row r="5402" spans="27:30" x14ac:dyDescent="0.3">
      <c r="AA5402" s="37">
        <v>5382</v>
      </c>
      <c r="AB5402" s="37">
        <v>1.7703691374902009</v>
      </c>
      <c r="AC5402" s="37">
        <v>3.0154947784452379</v>
      </c>
      <c r="AD5402" s="37">
        <v>3.3633917674766498</v>
      </c>
    </row>
    <row r="5403" spans="27:30" x14ac:dyDescent="0.3">
      <c r="AA5403" s="37">
        <v>5383</v>
      </c>
      <c r="AB5403" s="37">
        <v>1.8342530544436322</v>
      </c>
      <c r="AC5403" s="37">
        <v>2.9505709962169075</v>
      </c>
      <c r="AD5403" s="37">
        <v>3.4666736763869479</v>
      </c>
    </row>
    <row r="5404" spans="27:30" x14ac:dyDescent="0.3">
      <c r="AA5404" s="37">
        <v>5384</v>
      </c>
      <c r="AB5404" s="37">
        <v>1.7121794186077282</v>
      </c>
      <c r="AC5404" s="37">
        <v>2.7101844793519496</v>
      </c>
      <c r="AD5404" s="37">
        <v>3.6509043980608982</v>
      </c>
    </row>
    <row r="5405" spans="27:30" x14ac:dyDescent="0.3">
      <c r="AA5405" s="37">
        <v>5385</v>
      </c>
      <c r="AB5405" s="37">
        <v>1.8008874137833712</v>
      </c>
      <c r="AC5405" s="37">
        <v>2.7159664402981831</v>
      </c>
      <c r="AD5405" s="37">
        <v>3.422360142383547</v>
      </c>
    </row>
    <row r="5406" spans="27:30" x14ac:dyDescent="0.3">
      <c r="AA5406" s="37">
        <v>5386</v>
      </c>
      <c r="AB5406" s="37">
        <v>1.7995928734607445</v>
      </c>
      <c r="AC5406" s="37">
        <v>2.9349996168471142</v>
      </c>
      <c r="AD5406" s="37">
        <v>3.3502798925350774</v>
      </c>
    </row>
    <row r="5407" spans="27:30" x14ac:dyDescent="0.3">
      <c r="AA5407" s="37">
        <v>5387</v>
      </c>
      <c r="AB5407" s="37">
        <v>1.8141436758141956</v>
      </c>
      <c r="AC5407" s="37">
        <v>2.6528423198766085</v>
      </c>
      <c r="AD5407" s="37">
        <v>3.6545498525943461</v>
      </c>
    </row>
    <row r="5408" spans="27:30" x14ac:dyDescent="0.3">
      <c r="AA5408" s="37">
        <v>5388</v>
      </c>
      <c r="AB5408" s="37">
        <v>1.8531432549030695</v>
      </c>
      <c r="AC5408" s="37">
        <v>2.8583721468228815</v>
      </c>
      <c r="AD5408" s="37">
        <v>3.1654788256734019</v>
      </c>
    </row>
    <row r="5409" spans="27:30" x14ac:dyDescent="0.3">
      <c r="AA5409" s="37">
        <v>5389</v>
      </c>
      <c r="AB5409" s="37">
        <v>1.730215056459802</v>
      </c>
      <c r="AC5409" s="37">
        <v>2.8719232021705023</v>
      </c>
      <c r="AD5409" s="37">
        <v>3.2074518388267799</v>
      </c>
    </row>
    <row r="5410" spans="27:30" x14ac:dyDescent="0.3">
      <c r="AA5410" s="37">
        <v>5390</v>
      </c>
      <c r="AB5410" s="37">
        <v>1.779239412134012</v>
      </c>
      <c r="AC5410" s="37">
        <v>2.7756797126266775</v>
      </c>
      <c r="AD5410" s="37">
        <v>3.3095691701593348</v>
      </c>
    </row>
    <row r="5411" spans="27:30" x14ac:dyDescent="0.3">
      <c r="AA5411" s="37">
        <v>5391</v>
      </c>
      <c r="AB5411" s="37">
        <v>1.7709602021379676</v>
      </c>
      <c r="AC5411" s="37">
        <v>2.7732990441826058</v>
      </c>
      <c r="AD5411" s="37">
        <v>3.3537192952750221</v>
      </c>
    </row>
    <row r="5412" spans="27:30" x14ac:dyDescent="0.3">
      <c r="AA5412" s="37">
        <v>5392</v>
      </c>
      <c r="AB5412" s="37">
        <v>1.8533035362258286</v>
      </c>
      <c r="AC5412" s="37">
        <v>2.9212351329941657</v>
      </c>
      <c r="AD5412" s="37">
        <v>3.3427601473177946</v>
      </c>
    </row>
    <row r="5413" spans="27:30" x14ac:dyDescent="0.3">
      <c r="AA5413" s="37">
        <v>5393</v>
      </c>
      <c r="AB5413" s="37">
        <v>1.9247433513880876</v>
      </c>
      <c r="AC5413" s="37">
        <v>2.8569272269736281</v>
      </c>
      <c r="AD5413" s="37">
        <v>3.4627392021096006</v>
      </c>
    </row>
    <row r="5414" spans="27:30" x14ac:dyDescent="0.3">
      <c r="AA5414" s="37">
        <v>5394</v>
      </c>
      <c r="AB5414" s="37">
        <v>1.7454515475265038</v>
      </c>
      <c r="AC5414" s="37">
        <v>2.9349327685203703</v>
      </c>
      <c r="AD5414" s="37">
        <v>3.3577977728044424</v>
      </c>
    </row>
    <row r="5415" spans="27:30" x14ac:dyDescent="0.3">
      <c r="AA5415" s="37">
        <v>5395</v>
      </c>
      <c r="AB5415" s="37">
        <v>1.7692139105104685</v>
      </c>
      <c r="AC5415" s="37">
        <v>2.7936011656031638</v>
      </c>
      <c r="AD5415" s="37">
        <v>3.3165499512820134</v>
      </c>
    </row>
    <row r="5416" spans="27:30" x14ac:dyDescent="0.3">
      <c r="AA5416" s="37">
        <v>5396</v>
      </c>
      <c r="AB5416" s="37">
        <v>1.7476375205310228</v>
      </c>
      <c r="AC5416" s="37">
        <v>2.8579766200722725</v>
      </c>
      <c r="AD5416" s="37">
        <v>3.1652690141952196</v>
      </c>
    </row>
    <row r="5417" spans="27:30" x14ac:dyDescent="0.3">
      <c r="AA5417" s="37">
        <v>5397</v>
      </c>
      <c r="AB5417" s="37">
        <v>1.7674505845443824</v>
      </c>
      <c r="AC5417" s="37">
        <v>2.9132835931603758</v>
      </c>
      <c r="AD5417" s="37">
        <v>3.1676885273388828</v>
      </c>
    </row>
    <row r="5418" spans="27:30" x14ac:dyDescent="0.3">
      <c r="AA5418" s="37">
        <v>5398</v>
      </c>
      <c r="AB5418" s="37">
        <v>1.7502548678616072</v>
      </c>
      <c r="AC5418" s="37">
        <v>2.9050612566114706</v>
      </c>
      <c r="AD5418" s="37">
        <v>3.3999503629160421</v>
      </c>
    </row>
    <row r="5419" spans="27:30" x14ac:dyDescent="0.3">
      <c r="AA5419" s="37">
        <v>5399</v>
      </c>
      <c r="AB5419" s="37">
        <v>1.7717610605527652</v>
      </c>
      <c r="AC5419" s="37">
        <v>2.8050642504191199</v>
      </c>
      <c r="AD5419" s="37">
        <v>3.3571276593963106</v>
      </c>
    </row>
    <row r="5420" spans="27:30" x14ac:dyDescent="0.3">
      <c r="AA5420" s="37">
        <v>5400</v>
      </c>
      <c r="AB5420" s="37">
        <v>1.7713560059510656</v>
      </c>
      <c r="AC5420" s="37">
        <v>2.8223040645053277</v>
      </c>
      <c r="AD5420" s="37">
        <v>3.1671608547613581</v>
      </c>
    </row>
    <row r="5421" spans="27:30" x14ac:dyDescent="0.3">
      <c r="AA5421" s="37">
        <v>5401</v>
      </c>
      <c r="AB5421" s="37">
        <v>1.7437391261339272</v>
      </c>
      <c r="AC5421" s="37">
        <v>2.8720649096809319</v>
      </c>
      <c r="AD5421" s="37">
        <v>3.3607114645912661</v>
      </c>
    </row>
    <row r="5422" spans="27:30" x14ac:dyDescent="0.3">
      <c r="AA5422" s="37">
        <v>5402</v>
      </c>
      <c r="AB5422" s="37">
        <v>1.7908737076103156</v>
      </c>
      <c r="AC5422" s="37">
        <v>2.711239503117775</v>
      </c>
      <c r="AD5422" s="37">
        <v>3.5186213039709422</v>
      </c>
    </row>
    <row r="5423" spans="27:30" x14ac:dyDescent="0.3">
      <c r="AA5423" s="37">
        <v>5403</v>
      </c>
      <c r="AB5423" s="37">
        <v>1.922385723052892</v>
      </c>
      <c r="AC5423" s="37">
        <v>2.7489370266227402</v>
      </c>
      <c r="AD5423" s="37">
        <v>3.3851742275135353</v>
      </c>
    </row>
    <row r="5424" spans="27:30" x14ac:dyDescent="0.3">
      <c r="AA5424" s="37">
        <v>5404</v>
      </c>
      <c r="AB5424" s="37">
        <v>1.7260249995951344</v>
      </c>
      <c r="AC5424" s="37">
        <v>2.9961945688193294</v>
      </c>
      <c r="AD5424" s="37">
        <v>3.302766156454739</v>
      </c>
    </row>
    <row r="5425" spans="27:30" x14ac:dyDescent="0.3">
      <c r="AA5425" s="37">
        <v>5405</v>
      </c>
      <c r="AB5425" s="37">
        <v>1.716195759194574</v>
      </c>
      <c r="AC5425" s="37">
        <v>2.6809957321511986</v>
      </c>
      <c r="AD5425" s="37">
        <v>3.2104607090017279</v>
      </c>
    </row>
    <row r="5426" spans="27:30" x14ac:dyDescent="0.3">
      <c r="AA5426" s="37">
        <v>5406</v>
      </c>
      <c r="AB5426" s="37">
        <v>1.7080680252303713</v>
      </c>
      <c r="AC5426" s="37">
        <v>2.9234375692835139</v>
      </c>
      <c r="AD5426" s="37">
        <v>3.3629580942009687</v>
      </c>
    </row>
    <row r="5427" spans="27:30" x14ac:dyDescent="0.3">
      <c r="AA5427" s="37">
        <v>5407</v>
      </c>
      <c r="AB5427" s="37">
        <v>1.7870756606896046</v>
      </c>
      <c r="AC5427" s="37">
        <v>2.9531559133451069</v>
      </c>
      <c r="AD5427" s="37">
        <v>3.3541797919836229</v>
      </c>
    </row>
    <row r="5428" spans="27:30" x14ac:dyDescent="0.3">
      <c r="AA5428" s="37">
        <v>5408</v>
      </c>
      <c r="AB5428" s="37">
        <v>1.7021132896367468</v>
      </c>
      <c r="AC5428" s="37">
        <v>2.689632110366373</v>
      </c>
      <c r="AD5428" s="37">
        <v>3.4052165952178943</v>
      </c>
    </row>
    <row r="5429" spans="27:30" x14ac:dyDescent="0.3">
      <c r="AA5429" s="37">
        <v>5409</v>
      </c>
      <c r="AB5429" s="37">
        <v>1.8393369292799502</v>
      </c>
      <c r="AC5429" s="37">
        <v>3.012011281147883</v>
      </c>
      <c r="AD5429" s="37">
        <v>3.4162600995667107</v>
      </c>
    </row>
    <row r="5430" spans="27:30" x14ac:dyDescent="0.3">
      <c r="AA5430" s="37">
        <v>5410</v>
      </c>
      <c r="AB5430" s="37">
        <v>1.8832315728961204</v>
      </c>
      <c r="AC5430" s="37">
        <v>2.8287070534010024</v>
      </c>
      <c r="AD5430" s="37">
        <v>3.2596140119844148</v>
      </c>
    </row>
    <row r="5431" spans="27:30" x14ac:dyDescent="0.3">
      <c r="AA5431" s="37">
        <v>5411</v>
      </c>
      <c r="AB5431" s="37">
        <v>1.7619895677252468</v>
      </c>
      <c r="AC5431" s="37">
        <v>2.8031080626528913</v>
      </c>
      <c r="AD5431" s="37">
        <v>3.3975267412120331</v>
      </c>
    </row>
    <row r="5432" spans="27:30" x14ac:dyDescent="0.3">
      <c r="AA5432" s="37">
        <v>5412</v>
      </c>
      <c r="AB5432" s="37">
        <v>1.7427513570772308</v>
      </c>
      <c r="AC5432" s="37">
        <v>2.7760563721097191</v>
      </c>
      <c r="AD5432" s="37">
        <v>3.1764875041360856</v>
      </c>
    </row>
    <row r="5433" spans="27:30" x14ac:dyDescent="0.3">
      <c r="AA5433" s="37">
        <v>5413</v>
      </c>
      <c r="AB5433" s="37">
        <v>1.8854471983399952</v>
      </c>
      <c r="AC5433" s="37">
        <v>2.7755381215360155</v>
      </c>
      <c r="AD5433" s="37">
        <v>3.1988777083428386</v>
      </c>
    </row>
    <row r="5434" spans="27:30" x14ac:dyDescent="0.3">
      <c r="AA5434" s="37">
        <v>5414</v>
      </c>
      <c r="AB5434" s="37">
        <v>1.784355186800596</v>
      </c>
      <c r="AC5434" s="37">
        <v>2.753433531170046</v>
      </c>
      <c r="AD5434" s="37">
        <v>3.1714730671033946</v>
      </c>
    </row>
    <row r="5435" spans="27:30" x14ac:dyDescent="0.3">
      <c r="AA5435" s="37">
        <v>5415</v>
      </c>
      <c r="AB5435" s="37">
        <v>1.7971845927588146</v>
      </c>
      <c r="AC5435" s="37">
        <v>2.892324660982954</v>
      </c>
      <c r="AD5435" s="37">
        <v>3.7145730293442041</v>
      </c>
    </row>
    <row r="5436" spans="27:30" x14ac:dyDescent="0.3">
      <c r="AA5436" s="37">
        <v>5416</v>
      </c>
      <c r="AB5436" s="37">
        <v>1.8475013610755551</v>
      </c>
      <c r="AC5436" s="37">
        <v>2.7963917013264687</v>
      </c>
      <c r="AD5436" s="37">
        <v>3.2521638533382742</v>
      </c>
    </row>
    <row r="5437" spans="27:30" x14ac:dyDescent="0.3">
      <c r="AA5437" s="37">
        <v>5417</v>
      </c>
      <c r="AB5437" s="37">
        <v>1.7827568033194394</v>
      </c>
      <c r="AC5437" s="37">
        <v>2.8932868985901181</v>
      </c>
      <c r="AD5437" s="37">
        <v>3.3905870498953274</v>
      </c>
    </row>
    <row r="5438" spans="27:30" x14ac:dyDescent="0.3">
      <c r="AA5438" s="37">
        <v>5418</v>
      </c>
      <c r="AB5438" s="37">
        <v>1.8471724336512259</v>
      </c>
      <c r="AC5438" s="37">
        <v>3.0147293682034739</v>
      </c>
      <c r="AD5438" s="37">
        <v>3.16668822929645</v>
      </c>
    </row>
    <row r="5439" spans="27:30" x14ac:dyDescent="0.3">
      <c r="AA5439" s="37">
        <v>5419</v>
      </c>
      <c r="AB5439" s="37">
        <v>1.7594960699996418</v>
      </c>
      <c r="AC5439" s="37">
        <v>2.8503714059315453</v>
      </c>
      <c r="AD5439" s="37">
        <v>3.4214378566962576</v>
      </c>
    </row>
    <row r="5440" spans="27:30" x14ac:dyDescent="0.3">
      <c r="AA5440" s="37">
        <v>5420</v>
      </c>
      <c r="AB5440" s="37">
        <v>1.823319397224737</v>
      </c>
      <c r="AC5440" s="37">
        <v>2.8574100756925724</v>
      </c>
      <c r="AD5440" s="37">
        <v>3.2803165711556495</v>
      </c>
    </row>
    <row r="5441" spans="27:30" x14ac:dyDescent="0.3">
      <c r="AA5441" s="37">
        <v>5421</v>
      </c>
      <c r="AB5441" s="37">
        <v>1.7850256339008708</v>
      </c>
      <c r="AC5441" s="37">
        <v>2.6860911416976982</v>
      </c>
      <c r="AD5441" s="37">
        <v>3.5773302784456917</v>
      </c>
    </row>
    <row r="5442" spans="27:30" x14ac:dyDescent="0.3">
      <c r="AA5442" s="37">
        <v>5422</v>
      </c>
      <c r="AB5442" s="37">
        <v>1.7183582257748538</v>
      </c>
      <c r="AC5442" s="37">
        <v>2.9057681713749792</v>
      </c>
      <c r="AD5442" s="37">
        <v>3.3032442262237001</v>
      </c>
    </row>
    <row r="5443" spans="27:30" x14ac:dyDescent="0.3">
      <c r="AA5443" s="37">
        <v>5423</v>
      </c>
      <c r="AB5443" s="37">
        <v>1.7582969621962736</v>
      </c>
      <c r="AC5443" s="37">
        <v>2.7671735034073484</v>
      </c>
      <c r="AD5443" s="37">
        <v>3.347560754389356</v>
      </c>
    </row>
    <row r="5444" spans="27:30" x14ac:dyDescent="0.3">
      <c r="AA5444" s="37">
        <v>5424</v>
      </c>
      <c r="AB5444" s="37">
        <v>1.8439626634179866</v>
      </c>
      <c r="AC5444" s="37">
        <v>2.6684088949860896</v>
      </c>
      <c r="AD5444" s="37">
        <v>3.1959858151573934</v>
      </c>
    </row>
    <row r="5445" spans="27:30" x14ac:dyDescent="0.3">
      <c r="AA5445" s="37">
        <v>5425</v>
      </c>
      <c r="AB5445" s="37">
        <v>1.7185511112188443</v>
      </c>
      <c r="AC5445" s="37">
        <v>2.885589921644415</v>
      </c>
      <c r="AD5445" s="37">
        <v>3.4430770824428087</v>
      </c>
    </row>
    <row r="5446" spans="27:30" x14ac:dyDescent="0.3">
      <c r="AA5446" s="37">
        <v>5426</v>
      </c>
      <c r="AB5446" s="37">
        <v>1.79994539745048</v>
      </c>
      <c r="AC5446" s="37">
        <v>2.8747672111032569</v>
      </c>
      <c r="AD5446" s="37">
        <v>3.4561917286139887</v>
      </c>
    </row>
    <row r="5447" spans="27:30" x14ac:dyDescent="0.3">
      <c r="AA5447" s="37">
        <v>5427</v>
      </c>
      <c r="AB5447" s="37">
        <v>1.7473829565209893</v>
      </c>
      <c r="AC5447" s="37">
        <v>2.883098470635483</v>
      </c>
      <c r="AD5447" s="37">
        <v>3.1301349952880226</v>
      </c>
    </row>
    <row r="5448" spans="27:30" x14ac:dyDescent="0.3">
      <c r="AA5448" s="37">
        <v>5428</v>
      </c>
      <c r="AB5448" s="37">
        <v>1.8135233237867334</v>
      </c>
      <c r="AC5448" s="37">
        <v>2.8940105402817471</v>
      </c>
      <c r="AD5448" s="37">
        <v>3.3371738867400089</v>
      </c>
    </row>
    <row r="5449" spans="27:30" x14ac:dyDescent="0.3">
      <c r="AA5449" s="37">
        <v>5429</v>
      </c>
      <c r="AB5449" s="37">
        <v>1.7621889537853888</v>
      </c>
      <c r="AC5449" s="37">
        <v>2.8387592204824466</v>
      </c>
      <c r="AD5449" s="37">
        <v>3.2660026824936033</v>
      </c>
    </row>
    <row r="5450" spans="27:30" x14ac:dyDescent="0.3">
      <c r="AA5450" s="37">
        <v>5430</v>
      </c>
      <c r="AB5450" s="37">
        <v>1.8218830224339899</v>
      </c>
      <c r="AC5450" s="37">
        <v>3.0259778060963631</v>
      </c>
      <c r="AD5450" s="37">
        <v>3.5009726017118772</v>
      </c>
    </row>
    <row r="5451" spans="27:30" x14ac:dyDescent="0.3">
      <c r="AA5451" s="37">
        <v>5431</v>
      </c>
      <c r="AB5451" s="37">
        <v>1.8041086940649262</v>
      </c>
      <c r="AC5451" s="37">
        <v>2.9869661507167318</v>
      </c>
      <c r="AD5451" s="37">
        <v>3.2819438035052806</v>
      </c>
    </row>
    <row r="5452" spans="27:30" x14ac:dyDescent="0.3">
      <c r="AA5452" s="37">
        <v>5432</v>
      </c>
      <c r="AB5452" s="37">
        <v>1.8263668732599951</v>
      </c>
      <c r="AC5452" s="37">
        <v>2.8454911724574727</v>
      </c>
      <c r="AD5452" s="37">
        <v>3.2928283545991643</v>
      </c>
    </row>
    <row r="5453" spans="27:30" x14ac:dyDescent="0.3">
      <c r="AA5453" s="37">
        <v>5433</v>
      </c>
      <c r="AB5453" s="37">
        <v>1.817618089281928</v>
      </c>
      <c r="AC5453" s="37">
        <v>2.9349619881349405</v>
      </c>
      <c r="AD5453" s="37">
        <v>3.554931092321723</v>
      </c>
    </row>
    <row r="5454" spans="27:30" x14ac:dyDescent="0.3">
      <c r="AA5454" s="37">
        <v>5434</v>
      </c>
      <c r="AB5454" s="37">
        <v>1.6861861875657813</v>
      </c>
      <c r="AC5454" s="37">
        <v>2.8069765160964635</v>
      </c>
      <c r="AD5454" s="37">
        <v>3.2302845865462895</v>
      </c>
    </row>
    <row r="5455" spans="27:30" x14ac:dyDescent="0.3">
      <c r="AA5455" s="37">
        <v>5435</v>
      </c>
      <c r="AB5455" s="37">
        <v>1.8247068049426292</v>
      </c>
      <c r="AC5455" s="37">
        <v>3.0477740973685505</v>
      </c>
      <c r="AD5455" s="37">
        <v>3.2639393705281883</v>
      </c>
    </row>
    <row r="5456" spans="27:30" x14ac:dyDescent="0.3">
      <c r="AA5456" s="37">
        <v>5436</v>
      </c>
      <c r="AB5456" s="37">
        <v>1.7273901080855181</v>
      </c>
      <c r="AC5456" s="37">
        <v>3.0829254068928416</v>
      </c>
      <c r="AD5456" s="37">
        <v>3.2926480350052292</v>
      </c>
    </row>
    <row r="5457" spans="27:30" x14ac:dyDescent="0.3">
      <c r="AA5457" s="37">
        <v>5437</v>
      </c>
      <c r="AB5457" s="37">
        <v>1.917419194668232</v>
      </c>
      <c r="AC5457" s="37">
        <v>2.7332804270698809</v>
      </c>
      <c r="AD5457" s="37">
        <v>3.301323307048452</v>
      </c>
    </row>
    <row r="5458" spans="27:30" x14ac:dyDescent="0.3">
      <c r="AA5458" s="37">
        <v>5438</v>
      </c>
      <c r="AB5458" s="37">
        <v>1.7969559043902523</v>
      </c>
      <c r="AC5458" s="37">
        <v>3.0005992842044846</v>
      </c>
      <c r="AD5458" s="37">
        <v>3.3362198644279988</v>
      </c>
    </row>
    <row r="5459" spans="27:30" x14ac:dyDescent="0.3">
      <c r="AA5459" s="37">
        <v>5439</v>
      </c>
      <c r="AB5459" s="37">
        <v>1.8452668318620518</v>
      </c>
      <c r="AC5459" s="37">
        <v>2.8341634748661324</v>
      </c>
      <c r="AD5459" s="37">
        <v>3.4101511462697403</v>
      </c>
    </row>
    <row r="5460" spans="27:30" x14ac:dyDescent="0.3">
      <c r="AA5460" s="37">
        <v>5440</v>
      </c>
      <c r="AB5460" s="37">
        <v>1.7815461994534725</v>
      </c>
      <c r="AC5460" s="37">
        <v>2.7678457495139663</v>
      </c>
      <c r="AD5460" s="37">
        <v>3.1571076240898557</v>
      </c>
    </row>
    <row r="5461" spans="27:30" x14ac:dyDescent="0.3">
      <c r="AA5461" s="37">
        <v>5441</v>
      </c>
      <c r="AB5461" s="37">
        <v>1.7445562550685267</v>
      </c>
      <c r="AC5461" s="37">
        <v>2.9256123269712542</v>
      </c>
      <c r="AD5461" s="37">
        <v>3.2462174678489655</v>
      </c>
    </row>
    <row r="5462" spans="27:30" x14ac:dyDescent="0.3">
      <c r="AA5462" s="37">
        <v>5442</v>
      </c>
      <c r="AB5462" s="37">
        <v>1.6767834290396157</v>
      </c>
      <c r="AC5462" s="37">
        <v>2.9332298304385898</v>
      </c>
      <c r="AD5462" s="37">
        <v>3.3454454354270085</v>
      </c>
    </row>
    <row r="5463" spans="27:30" x14ac:dyDescent="0.3">
      <c r="AA5463" s="37">
        <v>5443</v>
      </c>
      <c r="AB5463" s="37">
        <v>1.8268146342420559</v>
      </c>
      <c r="AC5463" s="37">
        <v>2.7873256176945542</v>
      </c>
      <c r="AD5463" s="37">
        <v>3.2759595182461609</v>
      </c>
    </row>
    <row r="5464" spans="27:30" x14ac:dyDescent="0.3">
      <c r="AA5464" s="37">
        <v>5444</v>
      </c>
      <c r="AB5464" s="37">
        <v>1.9225034363928877</v>
      </c>
      <c r="AC5464" s="37">
        <v>3.0708779544317348</v>
      </c>
      <c r="AD5464" s="37">
        <v>3.2588150528804007</v>
      </c>
    </row>
    <row r="5465" spans="27:30" x14ac:dyDescent="0.3">
      <c r="AA5465" s="37">
        <v>5445</v>
      </c>
      <c r="AB5465" s="37">
        <v>1.7944305648143328</v>
      </c>
      <c r="AC5465" s="37">
        <v>2.9421305450315582</v>
      </c>
      <c r="AD5465" s="37">
        <v>3.1753498500409489</v>
      </c>
    </row>
    <row r="5466" spans="27:30" x14ac:dyDescent="0.3">
      <c r="AA5466" s="37">
        <v>5446</v>
      </c>
      <c r="AB5466" s="37">
        <v>1.892684488985358</v>
      </c>
      <c r="AC5466" s="37">
        <v>2.9759202460701184</v>
      </c>
      <c r="AD5466" s="37">
        <v>3.3692543411980074</v>
      </c>
    </row>
    <row r="5467" spans="27:30" x14ac:dyDescent="0.3">
      <c r="AA5467" s="37">
        <v>5447</v>
      </c>
      <c r="AB5467" s="37">
        <v>1.7738590412241015</v>
      </c>
      <c r="AC5467" s="37">
        <v>2.6839613974463279</v>
      </c>
      <c r="AD5467" s="37">
        <v>3.2484185049799299</v>
      </c>
    </row>
    <row r="5468" spans="27:30" x14ac:dyDescent="0.3">
      <c r="AA5468" s="37">
        <v>5448</v>
      </c>
      <c r="AB5468" s="37">
        <v>1.7514332094926934</v>
      </c>
      <c r="AC5468" s="37">
        <v>2.8274269999916593</v>
      </c>
      <c r="AD5468" s="37">
        <v>3.3897314670958378</v>
      </c>
    </row>
    <row r="5469" spans="27:30" x14ac:dyDescent="0.3">
      <c r="AA5469" s="37">
        <v>5449</v>
      </c>
      <c r="AB5469" s="37">
        <v>1.6956332502934379</v>
      </c>
      <c r="AC5469" s="37">
        <v>2.7710916198025948</v>
      </c>
      <c r="AD5469" s="37">
        <v>3.2837036532548232</v>
      </c>
    </row>
    <row r="5470" spans="27:30" x14ac:dyDescent="0.3">
      <c r="AA5470" s="37">
        <v>5450</v>
      </c>
      <c r="AB5470" s="37">
        <v>1.6851757657814161</v>
      </c>
      <c r="AC5470" s="37">
        <v>2.6370651901403863</v>
      </c>
      <c r="AD5470" s="37">
        <v>3.4691331328861903</v>
      </c>
    </row>
    <row r="5471" spans="27:30" x14ac:dyDescent="0.3">
      <c r="AA5471" s="37">
        <v>5451</v>
      </c>
      <c r="AB5471" s="37">
        <v>1.7496563246701895</v>
      </c>
      <c r="AC5471" s="37">
        <v>2.7718686899848421</v>
      </c>
      <c r="AD5471" s="37">
        <v>3.2634191787567719</v>
      </c>
    </row>
    <row r="5472" spans="27:30" x14ac:dyDescent="0.3">
      <c r="AA5472" s="37">
        <v>5452</v>
      </c>
      <c r="AB5472" s="37">
        <v>1.8165411340204949</v>
      </c>
      <c r="AC5472" s="37">
        <v>2.8123969226187731</v>
      </c>
      <c r="AD5472" s="37">
        <v>3.4394559728915937</v>
      </c>
    </row>
    <row r="5473" spans="27:30" x14ac:dyDescent="0.3">
      <c r="AA5473" s="37">
        <v>5453</v>
      </c>
      <c r="AB5473" s="37">
        <v>1.7976485920971763</v>
      </c>
      <c r="AC5473" s="37">
        <v>2.7776418789885402</v>
      </c>
      <c r="AD5473" s="37">
        <v>3.3910292990109481</v>
      </c>
    </row>
    <row r="5474" spans="27:30" x14ac:dyDescent="0.3">
      <c r="AA5474" s="37">
        <v>5454</v>
      </c>
      <c r="AB5474" s="37">
        <v>1.8057625362085128</v>
      </c>
      <c r="AC5474" s="37">
        <v>2.8208094510283441</v>
      </c>
      <c r="AD5474" s="37">
        <v>3.3620707355184227</v>
      </c>
    </row>
    <row r="5475" spans="27:30" x14ac:dyDescent="0.3">
      <c r="AA5475" s="37">
        <v>5455</v>
      </c>
      <c r="AB5475" s="37">
        <v>1.7636977358073154</v>
      </c>
      <c r="AC5475" s="37">
        <v>2.815290711064395</v>
      </c>
      <c r="AD5475" s="37">
        <v>3.4057023768669783</v>
      </c>
    </row>
    <row r="5476" spans="27:30" x14ac:dyDescent="0.3">
      <c r="AA5476" s="37">
        <v>5456</v>
      </c>
      <c r="AB5476" s="37">
        <v>1.8570259625407857</v>
      </c>
      <c r="AC5476" s="37">
        <v>2.8624772496975739</v>
      </c>
      <c r="AD5476" s="37">
        <v>3.2389767325987031</v>
      </c>
    </row>
    <row r="5477" spans="27:30" x14ac:dyDescent="0.3">
      <c r="AA5477" s="37">
        <v>5457</v>
      </c>
      <c r="AB5477" s="37">
        <v>1.6978238578853255</v>
      </c>
      <c r="AC5477" s="37">
        <v>2.7293098291216094</v>
      </c>
      <c r="AD5477" s="37">
        <v>3.4117456895330056</v>
      </c>
    </row>
    <row r="5478" spans="27:30" x14ac:dyDescent="0.3">
      <c r="AA5478" s="37">
        <v>5458</v>
      </c>
      <c r="AB5478" s="37">
        <v>1.8209702826693035</v>
      </c>
      <c r="AC5478" s="37">
        <v>2.8778252835941678</v>
      </c>
      <c r="AD5478" s="37">
        <v>3.3092753924518732</v>
      </c>
    </row>
    <row r="5479" spans="27:30" x14ac:dyDescent="0.3">
      <c r="AA5479" s="37">
        <v>5459</v>
      </c>
      <c r="AB5479" s="37">
        <v>1.8248593580957602</v>
      </c>
      <c r="AC5479" s="37">
        <v>2.7033098642468358</v>
      </c>
      <c r="AD5479" s="37">
        <v>3.2913711998485251</v>
      </c>
    </row>
    <row r="5480" spans="27:30" x14ac:dyDescent="0.3">
      <c r="AA5480" s="37">
        <v>5460</v>
      </c>
      <c r="AB5480" s="37">
        <v>1.8006011188562361</v>
      </c>
      <c r="AC5480" s="37">
        <v>3.1083285401018963</v>
      </c>
      <c r="AD5480" s="37">
        <v>3.4101015337913441</v>
      </c>
    </row>
    <row r="5481" spans="27:30" x14ac:dyDescent="0.3">
      <c r="AA5481" s="37">
        <v>5461</v>
      </c>
      <c r="AB5481" s="37">
        <v>1.8013015709931082</v>
      </c>
      <c r="AC5481" s="37">
        <v>2.9837961046069053</v>
      </c>
      <c r="AD5481" s="37">
        <v>3.4060788513887839</v>
      </c>
    </row>
    <row r="5482" spans="27:30" x14ac:dyDescent="0.3">
      <c r="AA5482" s="37">
        <v>5462</v>
      </c>
      <c r="AB5482" s="37">
        <v>1.7529302752234435</v>
      </c>
      <c r="AC5482" s="37">
        <v>2.8246445082481269</v>
      </c>
      <c r="AD5482" s="37">
        <v>3.2642921547770407</v>
      </c>
    </row>
    <row r="5483" spans="27:30" x14ac:dyDescent="0.3">
      <c r="AA5483" s="37">
        <v>5463</v>
      </c>
      <c r="AB5483" s="37">
        <v>1.7258548453143472</v>
      </c>
      <c r="AC5483" s="37">
        <v>2.9972215093433445</v>
      </c>
      <c r="AD5483" s="37">
        <v>3.4081988692950738</v>
      </c>
    </row>
    <row r="5484" spans="27:30" x14ac:dyDescent="0.3">
      <c r="AA5484" s="37">
        <v>5464</v>
      </c>
      <c r="AB5484" s="37">
        <v>1.8162302909778536</v>
      </c>
      <c r="AC5484" s="37">
        <v>2.7284230742139526</v>
      </c>
      <c r="AD5484" s="37">
        <v>3.2659573091632206</v>
      </c>
    </row>
    <row r="5485" spans="27:30" x14ac:dyDescent="0.3">
      <c r="AA5485" s="37">
        <v>5465</v>
      </c>
      <c r="AB5485" s="37">
        <v>1.7678051791031377</v>
      </c>
      <c r="AC5485" s="37">
        <v>2.8309268833402057</v>
      </c>
      <c r="AD5485" s="37">
        <v>3.4219690707696717</v>
      </c>
    </row>
    <row r="5486" spans="27:30" x14ac:dyDescent="0.3">
      <c r="AA5486" s="37">
        <v>5466</v>
      </c>
      <c r="AB5486" s="37">
        <v>1.7749997505737423</v>
      </c>
      <c r="AC5486" s="37">
        <v>2.8765155019940902</v>
      </c>
      <c r="AD5486" s="37">
        <v>3.3805406282881099</v>
      </c>
    </row>
    <row r="5487" spans="27:30" x14ac:dyDescent="0.3">
      <c r="AA5487" s="37">
        <v>5467</v>
      </c>
      <c r="AB5487" s="37">
        <v>1.7780270952601458</v>
      </c>
      <c r="AC5487" s="37">
        <v>2.8646006755262712</v>
      </c>
      <c r="AD5487" s="37">
        <v>3.4619477370831713</v>
      </c>
    </row>
    <row r="5488" spans="27:30" x14ac:dyDescent="0.3">
      <c r="AA5488" s="37">
        <v>5468</v>
      </c>
      <c r="AB5488" s="37">
        <v>1.8154636293255539</v>
      </c>
      <c r="AC5488" s="37">
        <v>2.9972841726346005</v>
      </c>
      <c r="AD5488" s="37">
        <v>3.0207997000307873</v>
      </c>
    </row>
    <row r="5489" spans="27:30" x14ac:dyDescent="0.3">
      <c r="AA5489" s="37">
        <v>5469</v>
      </c>
      <c r="AB5489" s="37">
        <v>1.7588221472377199</v>
      </c>
      <c r="AC5489" s="37">
        <v>2.6639016497081971</v>
      </c>
      <c r="AD5489" s="37">
        <v>3.387342669813874</v>
      </c>
    </row>
    <row r="5490" spans="27:30" x14ac:dyDescent="0.3">
      <c r="AA5490" s="37">
        <v>5470</v>
      </c>
      <c r="AB5490" s="37">
        <v>1.773179401295033</v>
      </c>
      <c r="AC5490" s="37">
        <v>2.8111703600018094</v>
      </c>
      <c r="AD5490" s="37">
        <v>3.3935719988324067</v>
      </c>
    </row>
    <row r="5491" spans="27:30" x14ac:dyDescent="0.3">
      <c r="AA5491" s="37">
        <v>5471</v>
      </c>
      <c r="AB5491" s="37">
        <v>1.8020411084364041</v>
      </c>
      <c r="AC5491" s="37">
        <v>2.8217799814749207</v>
      </c>
      <c r="AD5491" s="37">
        <v>3.3661354519819495</v>
      </c>
    </row>
    <row r="5492" spans="27:30" x14ac:dyDescent="0.3">
      <c r="AA5492" s="37">
        <v>5472</v>
      </c>
      <c r="AB5492" s="37">
        <v>1.9790527568571969</v>
      </c>
      <c r="AC5492" s="37">
        <v>2.877718600205502</v>
      </c>
      <c r="AD5492" s="37">
        <v>3.2910219407093475</v>
      </c>
    </row>
    <row r="5493" spans="27:30" x14ac:dyDescent="0.3">
      <c r="AA5493" s="37">
        <v>5473</v>
      </c>
      <c r="AB5493" s="37">
        <v>1.8649730317399509</v>
      </c>
      <c r="AC5493" s="37">
        <v>2.9770472809526249</v>
      </c>
      <c r="AD5493" s="37">
        <v>3.4924258870770974</v>
      </c>
    </row>
    <row r="5494" spans="27:30" x14ac:dyDescent="0.3">
      <c r="AA5494" s="37">
        <v>5474</v>
      </c>
      <c r="AB5494" s="37">
        <v>1.8151510789346372</v>
      </c>
      <c r="AC5494" s="37">
        <v>2.7133195112395461</v>
      </c>
      <c r="AD5494" s="37">
        <v>3.2560377941538574</v>
      </c>
    </row>
    <row r="5495" spans="27:30" x14ac:dyDescent="0.3">
      <c r="AA5495" s="37">
        <v>5475</v>
      </c>
      <c r="AB5495" s="37">
        <v>1.8503065008401973</v>
      </c>
      <c r="AC5495" s="37">
        <v>2.9059963528101656</v>
      </c>
      <c r="AD5495" s="37">
        <v>3.4110931887104368</v>
      </c>
    </row>
    <row r="5496" spans="27:30" x14ac:dyDescent="0.3">
      <c r="AA5496" s="37">
        <v>5476</v>
      </c>
      <c r="AB5496" s="37">
        <v>1.7333322058381027</v>
      </c>
      <c r="AC5496" s="37">
        <v>2.786775036349685</v>
      </c>
      <c r="AD5496" s="37">
        <v>3.4405767815119654</v>
      </c>
    </row>
    <row r="5497" spans="27:30" x14ac:dyDescent="0.3">
      <c r="AA5497" s="37">
        <v>5477</v>
      </c>
      <c r="AB5497" s="37">
        <v>1.8726101566727205</v>
      </c>
      <c r="AC5497" s="37">
        <v>2.7440691536956243</v>
      </c>
      <c r="AD5497" s="37">
        <v>3.3138935110210888</v>
      </c>
    </row>
    <row r="5498" spans="27:30" x14ac:dyDescent="0.3">
      <c r="AA5498" s="37">
        <v>5478</v>
      </c>
      <c r="AB5498" s="37">
        <v>1.8949552570020889</v>
      </c>
      <c r="AC5498" s="37">
        <v>2.7191050123994169</v>
      </c>
      <c r="AD5498" s="37">
        <v>3.3266584323914832</v>
      </c>
    </row>
    <row r="5499" spans="27:30" x14ac:dyDescent="0.3">
      <c r="AA5499" s="37">
        <v>5479</v>
      </c>
      <c r="AB5499" s="37">
        <v>1.8726214386445958</v>
      </c>
      <c r="AC5499" s="37">
        <v>2.8265954111518541</v>
      </c>
      <c r="AD5499" s="37">
        <v>3.5209070661555955</v>
      </c>
    </row>
    <row r="5500" spans="27:30" x14ac:dyDescent="0.3">
      <c r="AA5500" s="37">
        <v>5480</v>
      </c>
      <c r="AB5500" s="37">
        <v>1.8347794786852865</v>
      </c>
      <c r="AC5500" s="37">
        <v>2.8651646590707771</v>
      </c>
      <c r="AD5500" s="37">
        <v>3.3710228973514371</v>
      </c>
    </row>
    <row r="5501" spans="27:30" x14ac:dyDescent="0.3">
      <c r="AA5501" s="37">
        <v>5481</v>
      </c>
      <c r="AB5501" s="37">
        <v>1.8438059142901779</v>
      </c>
      <c r="AC5501" s="37">
        <v>2.9322629117963146</v>
      </c>
      <c r="AD5501" s="37">
        <v>3.3557974055521069</v>
      </c>
    </row>
    <row r="5502" spans="27:30" x14ac:dyDescent="0.3">
      <c r="AA5502" s="37">
        <v>5482</v>
      </c>
      <c r="AB5502" s="37">
        <v>1.8373550264520047</v>
      </c>
      <c r="AC5502" s="37">
        <v>3.0834094848715852</v>
      </c>
      <c r="AD5502" s="37">
        <v>3.209631365615909</v>
      </c>
    </row>
    <row r="5503" spans="27:30" x14ac:dyDescent="0.3">
      <c r="AA5503" s="37">
        <v>5483</v>
      </c>
      <c r="AB5503" s="37">
        <v>1.7401204737573606</v>
      </c>
      <c r="AC5503" s="37">
        <v>2.7573921983876266</v>
      </c>
      <c r="AD5503" s="37">
        <v>3.3379612525271991</v>
      </c>
    </row>
    <row r="5504" spans="27:30" x14ac:dyDescent="0.3">
      <c r="AA5504" s="37">
        <v>5484</v>
      </c>
      <c r="AB5504" s="37">
        <v>1.7819590793563631</v>
      </c>
      <c r="AC5504" s="37">
        <v>2.6819213471510568</v>
      </c>
      <c r="AD5504" s="37">
        <v>3.4363693936642066</v>
      </c>
    </row>
    <row r="5505" spans="27:30" x14ac:dyDescent="0.3">
      <c r="AA5505" s="37">
        <v>5485</v>
      </c>
      <c r="AB5505" s="37">
        <v>1.8003377874087887</v>
      </c>
      <c r="AC5505" s="37">
        <v>2.8561781399597201</v>
      </c>
      <c r="AD5505" s="37">
        <v>3.3490190899907297</v>
      </c>
    </row>
    <row r="5506" spans="27:30" x14ac:dyDescent="0.3">
      <c r="AA5506" s="37">
        <v>5486</v>
      </c>
      <c r="AB5506" s="37">
        <v>1.8358309702332511</v>
      </c>
      <c r="AC5506" s="37">
        <v>2.8192956377800127</v>
      </c>
      <c r="AD5506" s="37">
        <v>3.3090814760249705</v>
      </c>
    </row>
    <row r="5507" spans="27:30" x14ac:dyDescent="0.3">
      <c r="AA5507" s="37">
        <v>5487</v>
      </c>
      <c r="AB5507" s="37">
        <v>1.7796368769599646</v>
      </c>
      <c r="AC5507" s="37">
        <v>2.7944904097508951</v>
      </c>
      <c r="AD5507" s="37">
        <v>3.1778488079205349</v>
      </c>
    </row>
    <row r="5508" spans="27:30" x14ac:dyDescent="0.3">
      <c r="AA5508" s="37">
        <v>5488</v>
      </c>
      <c r="AB5508" s="37">
        <v>1.6007050605228232</v>
      </c>
      <c r="AC5508" s="37">
        <v>2.7269264329485323</v>
      </c>
      <c r="AD5508" s="37">
        <v>3.5113082562681153</v>
      </c>
    </row>
    <row r="5509" spans="27:30" x14ac:dyDescent="0.3">
      <c r="AA5509" s="37">
        <v>5489</v>
      </c>
      <c r="AB5509" s="37">
        <v>1.7941920790051926</v>
      </c>
      <c r="AC5509" s="37">
        <v>2.7314163833839786</v>
      </c>
      <c r="AD5509" s="37">
        <v>3.4377611458997777</v>
      </c>
    </row>
    <row r="5510" spans="27:30" x14ac:dyDescent="0.3">
      <c r="AA5510" s="37">
        <v>5490</v>
      </c>
      <c r="AB5510" s="37">
        <v>1.6958124118218598</v>
      </c>
      <c r="AC5510" s="37">
        <v>2.9413974474030988</v>
      </c>
      <c r="AD5510" s="37">
        <v>3.4078341692955658</v>
      </c>
    </row>
    <row r="5511" spans="27:30" x14ac:dyDescent="0.3">
      <c r="AA5511" s="37">
        <v>5491</v>
      </c>
      <c r="AB5511" s="37">
        <v>1.8848790221979204</v>
      </c>
      <c r="AC5511" s="37">
        <v>2.9005137133948771</v>
      </c>
      <c r="AD5511" s="37">
        <v>3.2992936157785557</v>
      </c>
    </row>
    <row r="5512" spans="27:30" x14ac:dyDescent="0.3">
      <c r="AA5512" s="37">
        <v>5492</v>
      </c>
      <c r="AB5512" s="37">
        <v>1.8352416885655132</v>
      </c>
      <c r="AC5512" s="37">
        <v>2.7240018052512411</v>
      </c>
      <c r="AD5512" s="37">
        <v>3.4373080165194723</v>
      </c>
    </row>
    <row r="5513" spans="27:30" x14ac:dyDescent="0.3">
      <c r="AA5513" s="37">
        <v>5493</v>
      </c>
      <c r="AB5513" s="37">
        <v>1.7982984227420407</v>
      </c>
      <c r="AC5513" s="37">
        <v>2.7027564043358816</v>
      </c>
      <c r="AD5513" s="37">
        <v>3.3592302717394307</v>
      </c>
    </row>
    <row r="5514" spans="27:30" x14ac:dyDescent="0.3">
      <c r="AA5514" s="37">
        <v>5494</v>
      </c>
      <c r="AB5514" s="37">
        <v>1.9270020882540055</v>
      </c>
      <c r="AC5514" s="37">
        <v>2.6504945153924178</v>
      </c>
      <c r="AD5514" s="37">
        <v>3.3134201355034074</v>
      </c>
    </row>
    <row r="5515" spans="27:30" x14ac:dyDescent="0.3">
      <c r="AA5515" s="37">
        <v>5495</v>
      </c>
      <c r="AB5515" s="37">
        <v>1.755520329166993</v>
      </c>
      <c r="AC5515" s="37">
        <v>2.8087736440239097</v>
      </c>
      <c r="AD5515" s="37">
        <v>3.1621422287618262</v>
      </c>
    </row>
    <row r="5516" spans="27:30" x14ac:dyDescent="0.3">
      <c r="AA5516" s="37">
        <v>5496</v>
      </c>
      <c r="AB5516" s="37">
        <v>1.8830646840782161</v>
      </c>
      <c r="AC5516" s="37">
        <v>2.8175691301824792</v>
      </c>
      <c r="AD5516" s="37">
        <v>3.5077365026564031</v>
      </c>
    </row>
    <row r="5517" spans="27:30" x14ac:dyDescent="0.3">
      <c r="AA5517" s="37">
        <v>5497</v>
      </c>
      <c r="AB5517" s="37">
        <v>1.745271597995032</v>
      </c>
      <c r="AC5517" s="37">
        <v>2.9629874067290416</v>
      </c>
      <c r="AD5517" s="37">
        <v>3.3557771198696669</v>
      </c>
    </row>
    <row r="5518" spans="27:30" x14ac:dyDescent="0.3">
      <c r="AA5518" s="37">
        <v>5498</v>
      </c>
      <c r="AB5518" s="37">
        <v>1.7920636680043716</v>
      </c>
      <c r="AC5518" s="37">
        <v>2.9614418504219722</v>
      </c>
      <c r="AD5518" s="37">
        <v>3.4117909019175143</v>
      </c>
    </row>
    <row r="5519" spans="27:30" x14ac:dyDescent="0.3">
      <c r="AA5519" s="37">
        <v>5499</v>
      </c>
      <c r="AB5519" s="37">
        <v>1.8132407297699318</v>
      </c>
      <c r="AC5519" s="37">
        <v>2.9343174024334528</v>
      </c>
      <c r="AD5519" s="37">
        <v>3.3426521319588898</v>
      </c>
    </row>
    <row r="5520" spans="27:30" x14ac:dyDescent="0.3">
      <c r="AA5520" s="37">
        <v>5500</v>
      </c>
      <c r="AB5520" s="37">
        <v>1.6350119800378542</v>
      </c>
      <c r="AC5520" s="37">
        <v>2.7840375863173539</v>
      </c>
      <c r="AD5520" s="37">
        <v>3.3675022196935491</v>
      </c>
    </row>
    <row r="5521" spans="27:30" x14ac:dyDescent="0.3">
      <c r="AA5521" s="37">
        <v>5501</v>
      </c>
      <c r="AB5521" s="37">
        <v>1.8850049237903763</v>
      </c>
      <c r="AC5521" s="37">
        <v>2.7539391376074165</v>
      </c>
      <c r="AD5521" s="37">
        <v>3.4135592343926895</v>
      </c>
    </row>
    <row r="5522" spans="27:30" x14ac:dyDescent="0.3">
      <c r="AA5522" s="37">
        <v>5502</v>
      </c>
      <c r="AB5522" s="37">
        <v>1.6697755191759127</v>
      </c>
      <c r="AC5522" s="37">
        <v>2.8084399027487419</v>
      </c>
      <c r="AD5522" s="37">
        <v>3.4231393096499012</v>
      </c>
    </row>
    <row r="5523" spans="27:30" x14ac:dyDescent="0.3">
      <c r="AA5523" s="37">
        <v>5503</v>
      </c>
      <c r="AB5523" s="37">
        <v>1.7208205714215912</v>
      </c>
      <c r="AC5523" s="37">
        <v>2.9885588029622894</v>
      </c>
      <c r="AD5523" s="37">
        <v>3.3912634128322603</v>
      </c>
    </row>
    <row r="5524" spans="27:30" x14ac:dyDescent="0.3">
      <c r="AA5524" s="37">
        <v>5504</v>
      </c>
      <c r="AB5524" s="37">
        <v>1.7671253014766786</v>
      </c>
      <c r="AC5524" s="37">
        <v>2.7140682480229681</v>
      </c>
      <c r="AD5524" s="37">
        <v>3.3431425502993428</v>
      </c>
    </row>
    <row r="5525" spans="27:30" x14ac:dyDescent="0.3">
      <c r="AA5525" s="37">
        <v>5505</v>
      </c>
      <c r="AB5525" s="37">
        <v>1.7199859011713825</v>
      </c>
      <c r="AC5525" s="37">
        <v>3.0376215873125325</v>
      </c>
      <c r="AD5525" s="37">
        <v>3.6202232629977562</v>
      </c>
    </row>
    <row r="5526" spans="27:30" x14ac:dyDescent="0.3">
      <c r="AA5526" s="37">
        <v>5506</v>
      </c>
      <c r="AB5526" s="37">
        <v>1.7413322864582779</v>
      </c>
      <c r="AC5526" s="37">
        <v>2.7737890392292637</v>
      </c>
      <c r="AD5526" s="37">
        <v>3.0766185438865508</v>
      </c>
    </row>
    <row r="5527" spans="27:30" x14ac:dyDescent="0.3">
      <c r="AA5527" s="37">
        <v>5507</v>
      </c>
      <c r="AB5527" s="37">
        <v>1.8004164608941664</v>
      </c>
      <c r="AC5527" s="37">
        <v>2.6552907339655145</v>
      </c>
      <c r="AD5527" s="37">
        <v>3.4543763386329278</v>
      </c>
    </row>
    <row r="5528" spans="27:30" x14ac:dyDescent="0.3">
      <c r="AA5528" s="37">
        <v>5508</v>
      </c>
      <c r="AB5528" s="37">
        <v>1.8205594056750383</v>
      </c>
      <c r="AC5528" s="37">
        <v>2.6016431186270377</v>
      </c>
      <c r="AD5528" s="37">
        <v>3.4645495315026911</v>
      </c>
    </row>
    <row r="5529" spans="27:30" x14ac:dyDescent="0.3">
      <c r="AA5529" s="37">
        <v>5509</v>
      </c>
      <c r="AB5529" s="37">
        <v>1.9117013449284204</v>
      </c>
      <c r="AC5529" s="37">
        <v>2.944655677361709</v>
      </c>
      <c r="AD5529" s="37">
        <v>3.3626394401994322</v>
      </c>
    </row>
    <row r="5530" spans="27:30" x14ac:dyDescent="0.3">
      <c r="AA5530" s="37">
        <v>5510</v>
      </c>
      <c r="AB5530" s="37">
        <v>1.8075361166573174</v>
      </c>
      <c r="AC5530" s="37">
        <v>2.8474268240278868</v>
      </c>
      <c r="AD5530" s="37">
        <v>3.2897262013713755</v>
      </c>
    </row>
    <row r="5531" spans="27:30" x14ac:dyDescent="0.3">
      <c r="AA5531" s="37">
        <v>5511</v>
      </c>
      <c r="AB5531" s="37">
        <v>1.7933892593977823</v>
      </c>
      <c r="AC5531" s="37">
        <v>2.987230704772406</v>
      </c>
      <c r="AD5531" s="37">
        <v>3.3624350157132485</v>
      </c>
    </row>
    <row r="5532" spans="27:30" x14ac:dyDescent="0.3">
      <c r="AA5532" s="37">
        <v>5512</v>
      </c>
      <c r="AB5532" s="37">
        <v>1.8619970704162565</v>
      </c>
      <c r="AC5532" s="37">
        <v>2.9119212314754841</v>
      </c>
      <c r="AD5532" s="37">
        <v>3.4261338283451717</v>
      </c>
    </row>
    <row r="5533" spans="27:30" x14ac:dyDescent="0.3">
      <c r="AA5533" s="37">
        <v>5513</v>
      </c>
      <c r="AB5533" s="37">
        <v>1.7528659241964684</v>
      </c>
      <c r="AC5533" s="37">
        <v>2.8159655357165656</v>
      </c>
      <c r="AD5533" s="37">
        <v>3.4083504717639155</v>
      </c>
    </row>
    <row r="5534" spans="27:30" x14ac:dyDescent="0.3">
      <c r="AA5534" s="37">
        <v>5514</v>
      </c>
      <c r="AB5534" s="37">
        <v>1.8780727777023092</v>
      </c>
      <c r="AC5534" s="37">
        <v>2.9005695255823989</v>
      </c>
      <c r="AD5534" s="37">
        <v>3.3229762193667356</v>
      </c>
    </row>
    <row r="5535" spans="27:30" x14ac:dyDescent="0.3">
      <c r="AA5535" s="37">
        <v>5515</v>
      </c>
      <c r="AB5535" s="37">
        <v>1.8798689200377974</v>
      </c>
      <c r="AC5535" s="37">
        <v>2.9318330740287362</v>
      </c>
      <c r="AD5535" s="37">
        <v>3.358251349253369</v>
      </c>
    </row>
    <row r="5536" spans="27:30" x14ac:dyDescent="0.3">
      <c r="AA5536" s="37">
        <v>5516</v>
      </c>
      <c r="AB5536" s="37">
        <v>1.7677439492912461</v>
      </c>
      <c r="AC5536" s="37">
        <v>3.0768467178688534</v>
      </c>
      <c r="AD5536" s="37">
        <v>3.357620191960704</v>
      </c>
    </row>
    <row r="5537" spans="27:30" x14ac:dyDescent="0.3">
      <c r="AA5537" s="37">
        <v>5517</v>
      </c>
      <c r="AB5537" s="37">
        <v>1.6465544763159001</v>
      </c>
      <c r="AC5537" s="37">
        <v>2.9926328063835368</v>
      </c>
      <c r="AD5537" s="37">
        <v>3.2040942112900135</v>
      </c>
    </row>
    <row r="5538" spans="27:30" x14ac:dyDescent="0.3">
      <c r="AA5538" s="37">
        <v>5518</v>
      </c>
      <c r="AB5538" s="37">
        <v>1.8807084313403881</v>
      </c>
      <c r="AC5538" s="37">
        <v>2.8263663795887521</v>
      </c>
      <c r="AD5538" s="37">
        <v>3.4140830351507665</v>
      </c>
    </row>
    <row r="5539" spans="27:30" x14ac:dyDescent="0.3">
      <c r="AA5539" s="37">
        <v>5519</v>
      </c>
      <c r="AB5539" s="37">
        <v>1.7559742381830843</v>
      </c>
      <c r="AC5539" s="37">
        <v>3.0338721991559781</v>
      </c>
      <c r="AD5539" s="37">
        <v>3.2420533311417805</v>
      </c>
    </row>
    <row r="5540" spans="27:30" x14ac:dyDescent="0.3">
      <c r="AA5540" s="37">
        <v>5520</v>
      </c>
      <c r="AB5540" s="37">
        <v>1.7106790991894101</v>
      </c>
      <c r="AC5540" s="37">
        <v>2.7794284875616251</v>
      </c>
      <c r="AD5540" s="37">
        <v>3.3997770197978729</v>
      </c>
    </row>
    <row r="5541" spans="27:30" x14ac:dyDescent="0.3">
      <c r="AA5541" s="37">
        <v>5521</v>
      </c>
      <c r="AB5541" s="37">
        <v>1.8599034285683635</v>
      </c>
      <c r="AC5541" s="37">
        <v>2.7929934488809618</v>
      </c>
      <c r="AD5541" s="37">
        <v>3.346004586214741</v>
      </c>
    </row>
    <row r="5542" spans="27:30" x14ac:dyDescent="0.3">
      <c r="AA5542" s="37">
        <v>5522</v>
      </c>
      <c r="AB5542" s="37">
        <v>1.7320884090643351</v>
      </c>
      <c r="AC5542" s="37">
        <v>3.0144905913542619</v>
      </c>
      <c r="AD5542" s="37">
        <v>3.1652561562138888</v>
      </c>
    </row>
    <row r="5543" spans="27:30" x14ac:dyDescent="0.3">
      <c r="AA5543" s="37">
        <v>5523</v>
      </c>
      <c r="AB5543" s="37">
        <v>1.7333173671821767</v>
      </c>
      <c r="AC5543" s="37">
        <v>3.0526251345589799</v>
      </c>
      <c r="AD5543" s="37">
        <v>3.2349604505934564</v>
      </c>
    </row>
    <row r="5544" spans="27:30" x14ac:dyDescent="0.3">
      <c r="AA5544" s="37">
        <v>5524</v>
      </c>
      <c r="AB5544" s="37">
        <v>1.7924068536636417</v>
      </c>
      <c r="AC5544" s="37">
        <v>2.7714922198804719</v>
      </c>
      <c r="AD5544" s="37">
        <v>3.4060120752481664</v>
      </c>
    </row>
    <row r="5545" spans="27:30" x14ac:dyDescent="0.3">
      <c r="AA5545" s="37">
        <v>5525</v>
      </c>
      <c r="AB5545" s="37">
        <v>1.7508852867948552</v>
      </c>
      <c r="AC5545" s="37">
        <v>2.9381101852174294</v>
      </c>
      <c r="AD5545" s="37">
        <v>2.9940487653644929</v>
      </c>
    </row>
    <row r="5546" spans="27:30" x14ac:dyDescent="0.3">
      <c r="AA5546" s="37">
        <v>5526</v>
      </c>
      <c r="AB5546" s="37">
        <v>1.8988736945870486</v>
      </c>
      <c r="AC5546" s="37">
        <v>2.9057932616974305</v>
      </c>
      <c r="AD5546" s="37">
        <v>3.2495341743532551</v>
      </c>
    </row>
    <row r="5547" spans="27:30" x14ac:dyDescent="0.3">
      <c r="AA5547" s="37">
        <v>5527</v>
      </c>
      <c r="AB5547" s="37">
        <v>1.7629015793572127</v>
      </c>
      <c r="AC5547" s="37">
        <v>2.6732712142004273</v>
      </c>
      <c r="AD5547" s="37">
        <v>3.1195727695528577</v>
      </c>
    </row>
    <row r="5548" spans="27:30" x14ac:dyDescent="0.3">
      <c r="AA5548" s="37">
        <v>5528</v>
      </c>
      <c r="AB5548" s="37">
        <v>1.7561084388301267</v>
      </c>
      <c r="AC5548" s="37">
        <v>3.0021000381463492</v>
      </c>
      <c r="AD5548" s="37">
        <v>3.4283144259114096</v>
      </c>
    </row>
    <row r="5549" spans="27:30" x14ac:dyDescent="0.3">
      <c r="AA5549" s="37">
        <v>5529</v>
      </c>
      <c r="AB5549" s="37">
        <v>1.7580471894934395</v>
      </c>
      <c r="AC5549" s="37">
        <v>2.9335838973848851</v>
      </c>
      <c r="AD5549" s="37">
        <v>3.5734396184538584</v>
      </c>
    </row>
    <row r="5550" spans="27:30" x14ac:dyDescent="0.3">
      <c r="AA5550" s="37">
        <v>5530</v>
      </c>
      <c r="AB5550" s="37">
        <v>1.8142872475829108</v>
      </c>
      <c r="AC5550" s="37">
        <v>2.7732123019200396</v>
      </c>
      <c r="AD5550" s="37">
        <v>3.1490971812480644</v>
      </c>
    </row>
    <row r="5551" spans="27:30" x14ac:dyDescent="0.3">
      <c r="AA5551" s="37">
        <v>5531</v>
      </c>
      <c r="AB5551" s="37">
        <v>1.7827965729418143</v>
      </c>
      <c r="AC5551" s="37">
        <v>2.8660572835445133</v>
      </c>
      <c r="AD5551" s="37">
        <v>3.2284745140611584</v>
      </c>
    </row>
    <row r="5552" spans="27:30" x14ac:dyDescent="0.3">
      <c r="AA5552" s="37">
        <v>5532</v>
      </c>
      <c r="AB5552" s="37">
        <v>1.8102614650682014</v>
      </c>
      <c r="AC5552" s="37">
        <v>2.8044564765563917</v>
      </c>
      <c r="AD5552" s="37">
        <v>3.2240525990558599</v>
      </c>
    </row>
    <row r="5553" spans="27:30" x14ac:dyDescent="0.3">
      <c r="AA5553" s="37">
        <v>5533</v>
      </c>
      <c r="AB5553" s="37">
        <v>1.8578635499091318</v>
      </c>
      <c r="AC5553" s="37">
        <v>2.7127256255419163</v>
      </c>
      <c r="AD5553" s="37">
        <v>3.3004477372518215</v>
      </c>
    </row>
    <row r="5554" spans="27:30" x14ac:dyDescent="0.3">
      <c r="AA5554" s="37">
        <v>5534</v>
      </c>
      <c r="AB5554" s="37">
        <v>1.802795691666887</v>
      </c>
      <c r="AC5554" s="37">
        <v>2.8567638202359626</v>
      </c>
      <c r="AD5554" s="37">
        <v>3.2270893418172673</v>
      </c>
    </row>
    <row r="5555" spans="27:30" x14ac:dyDescent="0.3">
      <c r="AA5555" s="37">
        <v>5535</v>
      </c>
      <c r="AB5555" s="37">
        <v>1.7041577989550019</v>
      </c>
      <c r="AC5555" s="37">
        <v>2.9361692901575243</v>
      </c>
      <c r="AD5555" s="37">
        <v>3.3382987744058115</v>
      </c>
    </row>
    <row r="5556" spans="27:30" x14ac:dyDescent="0.3">
      <c r="AA5556" s="37">
        <v>5536</v>
      </c>
      <c r="AB5556" s="37">
        <v>1.8285624292270573</v>
      </c>
      <c r="AC5556" s="37">
        <v>2.938505679950044</v>
      </c>
      <c r="AD5556" s="37">
        <v>3.7775108377296958</v>
      </c>
    </row>
    <row r="5557" spans="27:30" x14ac:dyDescent="0.3">
      <c r="AA5557" s="37">
        <v>5537</v>
      </c>
      <c r="AB5557" s="37">
        <v>1.7770844177218652</v>
      </c>
      <c r="AC5557" s="37">
        <v>2.7371284852317159</v>
      </c>
      <c r="AD5557" s="37">
        <v>3.2816345536438547</v>
      </c>
    </row>
    <row r="5558" spans="27:30" x14ac:dyDescent="0.3">
      <c r="AA5558" s="37">
        <v>5538</v>
      </c>
      <c r="AB5558" s="37">
        <v>1.8532634255254181</v>
      </c>
      <c r="AC5558" s="37">
        <v>2.8371852234863129</v>
      </c>
      <c r="AD5558" s="37">
        <v>3.3132543127459413</v>
      </c>
    </row>
    <row r="5559" spans="27:30" x14ac:dyDescent="0.3">
      <c r="AA5559" s="37">
        <v>5539</v>
      </c>
      <c r="AB5559" s="37">
        <v>1.9076084955805956</v>
      </c>
      <c r="AC5559" s="37">
        <v>2.9420883193581808</v>
      </c>
      <c r="AD5559" s="37">
        <v>3.1481754792938932</v>
      </c>
    </row>
    <row r="5560" spans="27:30" x14ac:dyDescent="0.3">
      <c r="AA5560" s="37">
        <v>5540</v>
      </c>
      <c r="AB5560" s="37">
        <v>1.7503039427250457</v>
      </c>
      <c r="AC5560" s="37">
        <v>2.8150875869787901</v>
      </c>
      <c r="AD5560" s="37">
        <v>3.4748214616012909</v>
      </c>
    </row>
    <row r="5561" spans="27:30" x14ac:dyDescent="0.3">
      <c r="AA5561" s="37">
        <v>5541</v>
      </c>
      <c r="AB5561" s="37">
        <v>1.9760014136531372</v>
      </c>
      <c r="AC5561" s="37">
        <v>2.8793865113733061</v>
      </c>
      <c r="AD5561" s="37">
        <v>3.5323872558878584</v>
      </c>
    </row>
    <row r="5562" spans="27:30" x14ac:dyDescent="0.3">
      <c r="AA5562" s="37">
        <v>5542</v>
      </c>
      <c r="AB5562" s="37">
        <v>1.8669466312517098</v>
      </c>
      <c r="AC5562" s="37">
        <v>2.8381631722515421</v>
      </c>
      <c r="AD5562" s="37">
        <v>3.3856609572644358</v>
      </c>
    </row>
    <row r="5563" spans="27:30" x14ac:dyDescent="0.3">
      <c r="AA5563" s="37">
        <v>5543</v>
      </c>
      <c r="AB5563" s="37">
        <v>1.6747915555164068</v>
      </c>
      <c r="AC5563" s="37">
        <v>2.639700987768558</v>
      </c>
      <c r="AD5563" s="37">
        <v>3.4613784215282069</v>
      </c>
    </row>
    <row r="5564" spans="27:30" x14ac:dyDescent="0.3">
      <c r="AA5564" s="37">
        <v>5544</v>
      </c>
      <c r="AB5564" s="37">
        <v>1.780961780736646</v>
      </c>
      <c r="AC5564" s="37">
        <v>2.7164589486938326</v>
      </c>
      <c r="AD5564" s="37">
        <v>3.4594495616071632</v>
      </c>
    </row>
    <row r="5565" spans="27:30" x14ac:dyDescent="0.3">
      <c r="AA5565" s="37">
        <v>5545</v>
      </c>
      <c r="AB5565" s="37">
        <v>1.7282970716583819</v>
      </c>
      <c r="AC5565" s="37">
        <v>2.8776331266036697</v>
      </c>
      <c r="AD5565" s="37">
        <v>3.5277705388143112</v>
      </c>
    </row>
    <row r="5566" spans="27:30" x14ac:dyDescent="0.3">
      <c r="AA5566" s="37">
        <v>5546</v>
      </c>
      <c r="AB5566" s="37">
        <v>1.7627086555496352</v>
      </c>
      <c r="AC5566" s="37">
        <v>2.9371738047424931</v>
      </c>
      <c r="AD5566" s="37">
        <v>3.2120793366944929</v>
      </c>
    </row>
    <row r="5567" spans="27:30" x14ac:dyDescent="0.3">
      <c r="AA5567" s="37">
        <v>5547</v>
      </c>
      <c r="AB5567" s="37">
        <v>1.7529208642174425</v>
      </c>
      <c r="AC5567" s="37">
        <v>2.9203246578904394</v>
      </c>
      <c r="AD5567" s="37">
        <v>3.2685952183923352</v>
      </c>
    </row>
    <row r="5568" spans="27:30" x14ac:dyDescent="0.3">
      <c r="AA5568" s="37">
        <v>5548</v>
      </c>
      <c r="AB5568" s="37">
        <v>1.8386306552301233</v>
      </c>
      <c r="AC5568" s="37">
        <v>2.8417407020933685</v>
      </c>
      <c r="AD5568" s="37">
        <v>3.3492038369117916</v>
      </c>
    </row>
    <row r="5569" spans="27:30" x14ac:dyDescent="0.3">
      <c r="AA5569" s="37">
        <v>5549</v>
      </c>
      <c r="AB5569" s="37">
        <v>1.7513461472212093</v>
      </c>
      <c r="AC5569" s="37">
        <v>3.0149387990437591</v>
      </c>
      <c r="AD5569" s="37">
        <v>3.421170590670239</v>
      </c>
    </row>
    <row r="5570" spans="27:30" x14ac:dyDescent="0.3">
      <c r="AA5570" s="37">
        <v>5550</v>
      </c>
      <c r="AB5570" s="37">
        <v>1.7427533249635838</v>
      </c>
      <c r="AC5570" s="37">
        <v>2.7520680198042298</v>
      </c>
      <c r="AD5570" s="37">
        <v>3.7495680065555446</v>
      </c>
    </row>
    <row r="5571" spans="27:30" x14ac:dyDescent="0.3">
      <c r="AA5571" s="37">
        <v>5551</v>
      </c>
      <c r="AB5571" s="37">
        <v>1.8083640282924047</v>
      </c>
      <c r="AC5571" s="37">
        <v>2.9315534055447485</v>
      </c>
      <c r="AD5571" s="37">
        <v>3.3709785508398404</v>
      </c>
    </row>
    <row r="5572" spans="27:30" x14ac:dyDescent="0.3">
      <c r="AA5572" s="37">
        <v>5552</v>
      </c>
      <c r="AB5572" s="37">
        <v>1.7471707004952768</v>
      </c>
      <c r="AC5572" s="37">
        <v>2.9474919708160856</v>
      </c>
      <c r="AD5572" s="37">
        <v>3.3224793392034262</v>
      </c>
    </row>
    <row r="5573" spans="27:30" x14ac:dyDescent="0.3">
      <c r="AA5573" s="37">
        <v>5553</v>
      </c>
      <c r="AB5573" s="37">
        <v>1.8407271829860632</v>
      </c>
      <c r="AC5573" s="37">
        <v>3.0501467957693831</v>
      </c>
      <c r="AD5573" s="37">
        <v>3.3029648063840091</v>
      </c>
    </row>
    <row r="5574" spans="27:30" x14ac:dyDescent="0.3">
      <c r="AA5574" s="37">
        <v>5554</v>
      </c>
      <c r="AB5574" s="37">
        <v>1.8114171453674881</v>
      </c>
      <c r="AC5574" s="37">
        <v>2.8816358499775454</v>
      </c>
      <c r="AD5574" s="37">
        <v>3.3979258250230395</v>
      </c>
    </row>
    <row r="5575" spans="27:30" x14ac:dyDescent="0.3">
      <c r="AA5575" s="37">
        <v>5555</v>
      </c>
      <c r="AB5575" s="37">
        <v>1.8040713303234344</v>
      </c>
      <c r="AC5575" s="37">
        <v>2.9560182989575305</v>
      </c>
      <c r="AD5575" s="37">
        <v>3.3684399462435497</v>
      </c>
    </row>
    <row r="5576" spans="27:30" x14ac:dyDescent="0.3">
      <c r="AA5576" s="37">
        <v>5556</v>
      </c>
      <c r="AB5576" s="37">
        <v>1.8430864183602049</v>
      </c>
      <c r="AC5576" s="37">
        <v>2.7426962718194923</v>
      </c>
      <c r="AD5576" s="37">
        <v>3.2800001658339917</v>
      </c>
    </row>
    <row r="5577" spans="27:30" x14ac:dyDescent="0.3">
      <c r="AA5577" s="37">
        <v>5557</v>
      </c>
      <c r="AB5577" s="37">
        <v>1.8133413349402729</v>
      </c>
      <c r="AC5577" s="37">
        <v>2.9269507407416739</v>
      </c>
      <c r="AD5577" s="37">
        <v>3.4381276742574962</v>
      </c>
    </row>
    <row r="5578" spans="27:30" x14ac:dyDescent="0.3">
      <c r="AA5578" s="37">
        <v>5558</v>
      </c>
      <c r="AB5578" s="37">
        <v>1.7529845147247534</v>
      </c>
      <c r="AC5578" s="37">
        <v>2.8229346191682567</v>
      </c>
      <c r="AD5578" s="37">
        <v>3.3004575352141856</v>
      </c>
    </row>
    <row r="5579" spans="27:30" x14ac:dyDescent="0.3">
      <c r="AA5579" s="37">
        <v>5559</v>
      </c>
      <c r="AB5579" s="37">
        <v>1.8732078505321319</v>
      </c>
      <c r="AC5579" s="37">
        <v>2.8378833923194486</v>
      </c>
      <c r="AD5579" s="37">
        <v>3.5324111857593223</v>
      </c>
    </row>
    <row r="5580" spans="27:30" x14ac:dyDescent="0.3">
      <c r="AA5580" s="37">
        <v>5560</v>
      </c>
      <c r="AB5580" s="37">
        <v>1.8768275278561277</v>
      </c>
      <c r="AC5580" s="37">
        <v>2.8004566433683094</v>
      </c>
      <c r="AD5580" s="37">
        <v>3.4632765397031831</v>
      </c>
    </row>
    <row r="5581" spans="27:30" x14ac:dyDescent="0.3">
      <c r="AA5581" s="37">
        <v>5561</v>
      </c>
      <c r="AB5581" s="37">
        <v>1.7794123166205709</v>
      </c>
      <c r="AC5581" s="37">
        <v>2.7028611443199289</v>
      </c>
      <c r="AD5581" s="37">
        <v>3.3862241415535306</v>
      </c>
    </row>
    <row r="5582" spans="27:30" x14ac:dyDescent="0.3">
      <c r="AA5582" s="37">
        <v>5562</v>
      </c>
      <c r="AB5582" s="37">
        <v>1.7734062716629537</v>
      </c>
      <c r="AC5582" s="37">
        <v>2.9520553595985346</v>
      </c>
      <c r="AD5582" s="37">
        <v>3.3608960622591906</v>
      </c>
    </row>
    <row r="5583" spans="27:30" x14ac:dyDescent="0.3">
      <c r="AA5583" s="37">
        <v>5563</v>
      </c>
      <c r="AB5583" s="37">
        <v>1.7902668430695603</v>
      </c>
      <c r="AC5583" s="37">
        <v>2.91535016893849</v>
      </c>
      <c r="AD5583" s="37">
        <v>3.5089356267776322</v>
      </c>
    </row>
    <row r="5584" spans="27:30" x14ac:dyDescent="0.3">
      <c r="AA5584" s="37">
        <v>5564</v>
      </c>
      <c r="AB5584" s="37">
        <v>1.7952780028823649</v>
      </c>
      <c r="AC5584" s="37">
        <v>2.9581087284491803</v>
      </c>
      <c r="AD5584" s="37">
        <v>3.0884115868424344</v>
      </c>
    </row>
    <row r="5585" spans="27:30" x14ac:dyDescent="0.3">
      <c r="AA5585" s="37">
        <v>5565</v>
      </c>
      <c r="AB5585" s="37">
        <v>1.776109779254891</v>
      </c>
      <c r="AC5585" s="37">
        <v>2.8818336871573926</v>
      </c>
      <c r="AD5585" s="37">
        <v>3.3358348990388311</v>
      </c>
    </row>
    <row r="5586" spans="27:30" x14ac:dyDescent="0.3">
      <c r="AA5586" s="37">
        <v>5566</v>
      </c>
      <c r="AB5586" s="37">
        <v>1.8239795015870026</v>
      </c>
      <c r="AC5586" s="37">
        <v>2.8037500091837257</v>
      </c>
      <c r="AD5586" s="37">
        <v>3.5722717908982742</v>
      </c>
    </row>
    <row r="5587" spans="27:30" x14ac:dyDescent="0.3">
      <c r="AA5587" s="37">
        <v>5567</v>
      </c>
      <c r="AB5587" s="37">
        <v>1.7070490714080073</v>
      </c>
      <c r="AC5587" s="37">
        <v>2.8171007975493225</v>
      </c>
      <c r="AD5587" s="37">
        <v>3.2540604927757171</v>
      </c>
    </row>
    <row r="5588" spans="27:30" x14ac:dyDescent="0.3">
      <c r="AA5588" s="37">
        <v>5568</v>
      </c>
      <c r="AB5588" s="37">
        <v>1.8598275720753101</v>
      </c>
      <c r="AC5588" s="37">
        <v>2.7582924380860048</v>
      </c>
      <c r="AD5588" s="37">
        <v>3.3746778474859589</v>
      </c>
    </row>
    <row r="5589" spans="27:30" x14ac:dyDescent="0.3">
      <c r="AA5589" s="37">
        <v>5569</v>
      </c>
      <c r="AB5589" s="37">
        <v>1.7539255474633941</v>
      </c>
      <c r="AC5589" s="37">
        <v>2.7918581539112934</v>
      </c>
      <c r="AD5589" s="37">
        <v>3.289482318202571</v>
      </c>
    </row>
    <row r="5590" spans="27:30" x14ac:dyDescent="0.3">
      <c r="AA5590" s="37">
        <v>5570</v>
      </c>
      <c r="AB5590" s="37">
        <v>1.825212567348391</v>
      </c>
      <c r="AC5590" s="37">
        <v>2.607038300216129</v>
      </c>
      <c r="AD5590" s="37">
        <v>3.3521468539871422</v>
      </c>
    </row>
    <row r="5591" spans="27:30" x14ac:dyDescent="0.3">
      <c r="AA5591" s="37">
        <v>5571</v>
      </c>
      <c r="AB5591" s="37">
        <v>1.742276843315951</v>
      </c>
      <c r="AC5591" s="37">
        <v>2.736230337261683</v>
      </c>
      <c r="AD5591" s="37">
        <v>3.5894095433659361</v>
      </c>
    </row>
    <row r="5592" spans="27:30" x14ac:dyDescent="0.3">
      <c r="AA5592" s="37">
        <v>5572</v>
      </c>
      <c r="AB5592" s="37">
        <v>1.8820564784659133</v>
      </c>
      <c r="AC5592" s="37">
        <v>2.5372099535199162</v>
      </c>
      <c r="AD5592" s="37">
        <v>3.3926160050495895</v>
      </c>
    </row>
    <row r="5593" spans="27:30" x14ac:dyDescent="0.3">
      <c r="AA5593" s="37">
        <v>5573</v>
      </c>
      <c r="AB5593" s="37">
        <v>1.6845725082411098</v>
      </c>
      <c r="AC5593" s="37">
        <v>2.7810649910628333</v>
      </c>
      <c r="AD5593" s="37">
        <v>3.2935636662054208</v>
      </c>
    </row>
    <row r="5594" spans="27:30" x14ac:dyDescent="0.3">
      <c r="AA5594" s="37">
        <v>5574</v>
      </c>
      <c r="AB5594" s="37">
        <v>1.652649962910254</v>
      </c>
      <c r="AC5594" s="37">
        <v>3.0373077435931366</v>
      </c>
      <c r="AD5594" s="37">
        <v>3.3689299664018235</v>
      </c>
    </row>
    <row r="5595" spans="27:30" x14ac:dyDescent="0.3">
      <c r="AA5595" s="37">
        <v>5575</v>
      </c>
      <c r="AB5595" s="37">
        <v>1.7720974152525983</v>
      </c>
      <c r="AC5595" s="37">
        <v>2.8539399377934354</v>
      </c>
      <c r="AD5595" s="37">
        <v>3.143385425297224</v>
      </c>
    </row>
    <row r="5596" spans="27:30" x14ac:dyDescent="0.3">
      <c r="AA5596" s="37">
        <v>5576</v>
      </c>
      <c r="AB5596" s="37">
        <v>1.7533862429948852</v>
      </c>
      <c r="AC5596" s="37">
        <v>2.9247374942351909</v>
      </c>
      <c r="AD5596" s="37">
        <v>3.4964824846612319</v>
      </c>
    </row>
    <row r="5597" spans="27:30" x14ac:dyDescent="0.3">
      <c r="AA5597" s="37">
        <v>5577</v>
      </c>
      <c r="AB5597" s="37">
        <v>1.7175728687294263</v>
      </c>
      <c r="AC5597" s="37">
        <v>2.8193729184700356</v>
      </c>
      <c r="AD5597" s="37">
        <v>3.3472574244652682</v>
      </c>
    </row>
    <row r="5598" spans="27:30" x14ac:dyDescent="0.3">
      <c r="AA5598" s="37">
        <v>5578</v>
      </c>
      <c r="AB5598" s="37">
        <v>1.8029881057686055</v>
      </c>
      <c r="AC5598" s="37">
        <v>2.9469728668621684</v>
      </c>
      <c r="AD5598" s="37">
        <v>3.2978549492020903</v>
      </c>
    </row>
    <row r="5599" spans="27:30" x14ac:dyDescent="0.3">
      <c r="AA5599" s="37">
        <v>5579</v>
      </c>
      <c r="AB5599" s="37">
        <v>1.7205308740455165</v>
      </c>
      <c r="AC5599" s="37">
        <v>2.8226159713925294</v>
      </c>
      <c r="AD5599" s="37">
        <v>3.4332572315455754</v>
      </c>
    </row>
    <row r="5600" spans="27:30" x14ac:dyDescent="0.3">
      <c r="AA5600" s="37">
        <v>5580</v>
      </c>
      <c r="AB5600" s="37">
        <v>1.7631190176319032</v>
      </c>
      <c r="AC5600" s="37">
        <v>2.7508831664275739</v>
      </c>
      <c r="AD5600" s="37">
        <v>3.4759006738215135</v>
      </c>
    </row>
    <row r="5601" spans="27:30" x14ac:dyDescent="0.3">
      <c r="AA5601" s="37">
        <v>5581</v>
      </c>
      <c r="AB5601" s="37">
        <v>1.7958042620451666</v>
      </c>
      <c r="AC5601" s="37">
        <v>2.8582895479263324</v>
      </c>
      <c r="AD5601" s="37">
        <v>3.4250151138744824</v>
      </c>
    </row>
    <row r="5602" spans="27:30" x14ac:dyDescent="0.3">
      <c r="AA5602" s="37">
        <v>5582</v>
      </c>
      <c r="AB5602" s="37">
        <v>1.7075064503567046</v>
      </c>
      <c r="AC5602" s="37">
        <v>2.8528324767338886</v>
      </c>
      <c r="AD5602" s="37">
        <v>3.1556630180190819</v>
      </c>
    </row>
    <row r="5603" spans="27:30" x14ac:dyDescent="0.3">
      <c r="AA5603" s="37">
        <v>5583</v>
      </c>
      <c r="AB5603" s="37">
        <v>1.7884552707660515</v>
      </c>
      <c r="AC5603" s="37">
        <v>2.7254818304601924</v>
      </c>
      <c r="AD5603" s="37">
        <v>3.172846788379768</v>
      </c>
    </row>
    <row r="5604" spans="27:30" x14ac:dyDescent="0.3">
      <c r="AA5604" s="37">
        <v>5584</v>
      </c>
      <c r="AB5604" s="37">
        <v>1.6715812089754838</v>
      </c>
      <c r="AC5604" s="37">
        <v>2.6952863066530766</v>
      </c>
      <c r="AD5604" s="37">
        <v>3.2319667802254952</v>
      </c>
    </row>
    <row r="5605" spans="27:30" x14ac:dyDescent="0.3">
      <c r="AA5605" s="37">
        <v>5585</v>
      </c>
      <c r="AB5605" s="37">
        <v>1.8504486262981574</v>
      </c>
      <c r="AC5605" s="37">
        <v>2.7553247766291715</v>
      </c>
      <c r="AD5605" s="37">
        <v>3.2557411763216182</v>
      </c>
    </row>
    <row r="5606" spans="27:30" x14ac:dyDescent="0.3">
      <c r="AA5606" s="37">
        <v>5586</v>
      </c>
      <c r="AB5606" s="37">
        <v>1.8213190974970201</v>
      </c>
      <c r="AC5606" s="37">
        <v>2.7806051717349303</v>
      </c>
      <c r="AD5606" s="37">
        <v>3.5049378516921137</v>
      </c>
    </row>
    <row r="5607" spans="27:30" x14ac:dyDescent="0.3">
      <c r="AA5607" s="37">
        <v>5587</v>
      </c>
      <c r="AB5607" s="37">
        <v>1.8068408491529055</v>
      </c>
      <c r="AC5607" s="37">
        <v>2.9457420998553294</v>
      </c>
      <c r="AD5607" s="37">
        <v>3.2839223473229922</v>
      </c>
    </row>
    <row r="5608" spans="27:30" x14ac:dyDescent="0.3">
      <c r="AA5608" s="37">
        <v>5588</v>
      </c>
      <c r="AB5608" s="37">
        <v>1.7863737742590684</v>
      </c>
      <c r="AC5608" s="37">
        <v>2.7526103498718784</v>
      </c>
      <c r="AD5608" s="37">
        <v>3.3340183018039338</v>
      </c>
    </row>
    <row r="5609" spans="27:30" x14ac:dyDescent="0.3">
      <c r="AA5609" s="37">
        <v>5589</v>
      </c>
      <c r="AB5609" s="37">
        <v>1.7407155571417268</v>
      </c>
      <c r="AC5609" s="37">
        <v>2.9279996905594481</v>
      </c>
      <c r="AD5609" s="37">
        <v>3.5522922804584613</v>
      </c>
    </row>
    <row r="5610" spans="27:30" x14ac:dyDescent="0.3">
      <c r="AA5610" s="37">
        <v>5590</v>
      </c>
      <c r="AB5610" s="37">
        <v>1.7096130704052199</v>
      </c>
      <c r="AC5610" s="37">
        <v>2.9096214812221635</v>
      </c>
      <c r="AD5610" s="37">
        <v>3.4032840608162633</v>
      </c>
    </row>
    <row r="5611" spans="27:30" x14ac:dyDescent="0.3">
      <c r="AA5611" s="37">
        <v>5591</v>
      </c>
      <c r="AB5611" s="37">
        <v>1.7265450010379166</v>
      </c>
      <c r="AC5611" s="37">
        <v>2.8979644609542059</v>
      </c>
      <c r="AD5611" s="37">
        <v>3.5038966887266909</v>
      </c>
    </row>
    <row r="5612" spans="27:30" x14ac:dyDescent="0.3">
      <c r="AA5612" s="37">
        <v>5592</v>
      </c>
      <c r="AB5612" s="37">
        <v>1.803190306070573</v>
      </c>
      <c r="AC5612" s="37">
        <v>2.8169353006115285</v>
      </c>
      <c r="AD5612" s="37">
        <v>3.5742803928989173</v>
      </c>
    </row>
    <row r="5613" spans="27:30" x14ac:dyDescent="0.3">
      <c r="AA5613" s="37">
        <v>5593</v>
      </c>
      <c r="AB5613" s="37">
        <v>1.6974274208905427</v>
      </c>
      <c r="AC5613" s="37">
        <v>2.896470841679986</v>
      </c>
      <c r="AD5613" s="37">
        <v>3.1522016051741351</v>
      </c>
    </row>
    <row r="5614" spans="27:30" x14ac:dyDescent="0.3">
      <c r="AA5614" s="37">
        <v>5594</v>
      </c>
      <c r="AB5614" s="37">
        <v>1.7978436217667368</v>
      </c>
      <c r="AC5614" s="37">
        <v>2.9207866004845457</v>
      </c>
      <c r="AD5614" s="37">
        <v>3.1859108182692824</v>
      </c>
    </row>
    <row r="5615" spans="27:30" x14ac:dyDescent="0.3">
      <c r="AA5615" s="37">
        <v>5595</v>
      </c>
      <c r="AB5615" s="37">
        <v>1.8438231551285063</v>
      </c>
      <c r="AC5615" s="37">
        <v>2.840064838450238</v>
      </c>
      <c r="AD5615" s="37">
        <v>3.3647798499851467</v>
      </c>
    </row>
    <row r="5616" spans="27:30" x14ac:dyDescent="0.3">
      <c r="AA5616" s="37">
        <v>5596</v>
      </c>
      <c r="AB5616" s="37">
        <v>1.7503195086002838</v>
      </c>
      <c r="AC5616" s="37">
        <v>2.7864429467563689</v>
      </c>
      <c r="AD5616" s="37">
        <v>3.3316829759500268</v>
      </c>
    </row>
    <row r="5617" spans="27:30" x14ac:dyDescent="0.3">
      <c r="AA5617" s="37">
        <v>5597</v>
      </c>
      <c r="AB5617" s="37">
        <v>1.8404233040679612</v>
      </c>
      <c r="AC5617" s="37">
        <v>2.8771979188312398</v>
      </c>
      <c r="AD5617" s="37">
        <v>3.1642580146720345</v>
      </c>
    </row>
    <row r="5618" spans="27:30" x14ac:dyDescent="0.3">
      <c r="AA5618" s="37">
        <v>5598</v>
      </c>
      <c r="AB5618" s="37">
        <v>1.8414284362653368</v>
      </c>
      <c r="AC5618" s="37">
        <v>2.8971151699557702</v>
      </c>
      <c r="AD5618" s="37">
        <v>3.4913020012230618</v>
      </c>
    </row>
    <row r="5619" spans="27:30" x14ac:dyDescent="0.3">
      <c r="AA5619" s="37">
        <v>5599</v>
      </c>
      <c r="AB5619" s="37">
        <v>1.8101001278682494</v>
      </c>
      <c r="AC5619" s="37">
        <v>2.8394771027747887</v>
      </c>
      <c r="AD5619" s="37">
        <v>3.2826077771664126</v>
      </c>
    </row>
    <row r="5620" spans="27:30" x14ac:dyDescent="0.3">
      <c r="AA5620" s="37">
        <v>5600</v>
      </c>
      <c r="AB5620" s="37">
        <v>1.8016804922362926</v>
      </c>
      <c r="AC5620" s="37">
        <v>2.6920138201548607</v>
      </c>
      <c r="AD5620" s="37">
        <v>3.4108849519818585</v>
      </c>
    </row>
    <row r="5621" spans="27:30" x14ac:dyDescent="0.3">
      <c r="AA5621" s="37">
        <v>5601</v>
      </c>
      <c r="AB5621" s="37">
        <v>1.893291378817227</v>
      </c>
      <c r="AC5621" s="37">
        <v>2.8325090128465824</v>
      </c>
      <c r="AD5621" s="37">
        <v>3.4423952594108331</v>
      </c>
    </row>
    <row r="5622" spans="27:30" x14ac:dyDescent="0.3">
      <c r="AA5622" s="37">
        <v>5602</v>
      </c>
      <c r="AB5622" s="37">
        <v>1.8280287612960726</v>
      </c>
      <c r="AC5622" s="37">
        <v>2.8493783890756443</v>
      </c>
      <c r="AD5622" s="37">
        <v>3.3868998807385053</v>
      </c>
    </row>
    <row r="5623" spans="27:30" x14ac:dyDescent="0.3">
      <c r="AA5623" s="37">
        <v>5603</v>
      </c>
      <c r="AB5623" s="37">
        <v>1.7575246169515595</v>
      </c>
      <c r="AC5623" s="37">
        <v>2.8847822627520454</v>
      </c>
      <c r="AD5623" s="37">
        <v>3.5075334627152204</v>
      </c>
    </row>
    <row r="5624" spans="27:30" x14ac:dyDescent="0.3">
      <c r="AA5624" s="37">
        <v>5604</v>
      </c>
      <c r="AB5624" s="37">
        <v>1.8052347105558082</v>
      </c>
      <c r="AC5624" s="37">
        <v>2.6876378511455243</v>
      </c>
      <c r="AD5624" s="37">
        <v>3.4582430019167547</v>
      </c>
    </row>
    <row r="5625" spans="27:30" x14ac:dyDescent="0.3">
      <c r="AA5625" s="37">
        <v>5605</v>
      </c>
      <c r="AB5625" s="37">
        <v>1.6893950380995242</v>
      </c>
      <c r="AC5625" s="37">
        <v>2.8864434021543048</v>
      </c>
      <c r="AD5625" s="37">
        <v>3.478151030227957</v>
      </c>
    </row>
    <row r="5626" spans="27:30" x14ac:dyDescent="0.3">
      <c r="AA5626" s="37">
        <v>5606</v>
      </c>
      <c r="AB5626" s="37">
        <v>1.7823390369997791</v>
      </c>
      <c r="AC5626" s="37">
        <v>2.849344377144913</v>
      </c>
      <c r="AD5626" s="37">
        <v>3.2972535172301023</v>
      </c>
    </row>
    <row r="5627" spans="27:30" x14ac:dyDescent="0.3">
      <c r="AA5627" s="37">
        <v>5607</v>
      </c>
      <c r="AB5627" s="37">
        <v>1.8426122470575428</v>
      </c>
      <c r="AC5627" s="37">
        <v>2.9020348330264754</v>
      </c>
      <c r="AD5627" s="37">
        <v>3.191578055692232</v>
      </c>
    </row>
    <row r="5628" spans="27:30" x14ac:dyDescent="0.3">
      <c r="AA5628" s="37">
        <v>5608</v>
      </c>
      <c r="AB5628" s="37">
        <v>1.6744595144630998</v>
      </c>
      <c r="AC5628" s="37">
        <v>2.7115554579406518</v>
      </c>
      <c r="AD5628" s="37">
        <v>3.2860007848157209</v>
      </c>
    </row>
    <row r="5629" spans="27:30" x14ac:dyDescent="0.3">
      <c r="AA5629" s="37">
        <v>5609</v>
      </c>
      <c r="AB5629" s="37">
        <v>1.7703199952107191</v>
      </c>
      <c r="AC5629" s="37">
        <v>2.8539273879919542</v>
      </c>
      <c r="AD5629" s="37">
        <v>3.1920831470656692</v>
      </c>
    </row>
    <row r="5630" spans="27:30" x14ac:dyDescent="0.3">
      <c r="AA5630" s="37">
        <v>5610</v>
      </c>
      <c r="AB5630" s="37">
        <v>1.7981807814448576</v>
      </c>
      <c r="AC5630" s="37">
        <v>2.9506350906673715</v>
      </c>
      <c r="AD5630" s="37">
        <v>3.2940843025221063</v>
      </c>
    </row>
    <row r="5631" spans="27:30" x14ac:dyDescent="0.3">
      <c r="AA5631" s="37">
        <v>5611</v>
      </c>
      <c r="AB5631" s="37">
        <v>1.7947810600709813</v>
      </c>
      <c r="AC5631" s="37">
        <v>2.7398871931060138</v>
      </c>
      <c r="AD5631" s="37">
        <v>3.3494513919086089</v>
      </c>
    </row>
    <row r="5632" spans="27:30" x14ac:dyDescent="0.3">
      <c r="AA5632" s="37">
        <v>5612</v>
      </c>
      <c r="AB5632" s="37">
        <v>1.9267965613105829</v>
      </c>
      <c r="AC5632" s="37">
        <v>2.8691997316269275</v>
      </c>
      <c r="AD5632" s="37">
        <v>3.1630360870202785</v>
      </c>
    </row>
    <row r="5633" spans="27:30" x14ac:dyDescent="0.3">
      <c r="AA5633" s="37">
        <v>5613</v>
      </c>
      <c r="AB5633" s="37">
        <v>1.9832516614996181</v>
      </c>
      <c r="AC5633" s="37">
        <v>2.8124008102049567</v>
      </c>
      <c r="AD5633" s="37">
        <v>3.3031973826354624</v>
      </c>
    </row>
    <row r="5634" spans="27:30" x14ac:dyDescent="0.3">
      <c r="AA5634" s="37">
        <v>5614</v>
      </c>
      <c r="AB5634" s="37">
        <v>1.8041844470010779</v>
      </c>
      <c r="AC5634" s="37">
        <v>2.9157118278266445</v>
      </c>
      <c r="AD5634" s="37">
        <v>3.412070449389748</v>
      </c>
    </row>
    <row r="5635" spans="27:30" x14ac:dyDescent="0.3">
      <c r="AA5635" s="37">
        <v>5615</v>
      </c>
      <c r="AB5635" s="37">
        <v>1.7028559420076899</v>
      </c>
      <c r="AC5635" s="37">
        <v>2.923302874302049</v>
      </c>
      <c r="AD5635" s="37">
        <v>3.2776065259192895</v>
      </c>
    </row>
    <row r="5636" spans="27:30" x14ac:dyDescent="0.3">
      <c r="AA5636" s="37">
        <v>5616</v>
      </c>
      <c r="AB5636" s="37">
        <v>1.9082414649761927</v>
      </c>
      <c r="AC5636" s="37">
        <v>2.6908958814005386</v>
      </c>
      <c r="AD5636" s="37">
        <v>3.2858414044977886</v>
      </c>
    </row>
    <row r="5637" spans="27:30" x14ac:dyDescent="0.3">
      <c r="AA5637" s="37">
        <v>5617</v>
      </c>
      <c r="AB5637" s="37">
        <v>1.7952003052359835</v>
      </c>
      <c r="AC5637" s="37">
        <v>2.8984218824241665</v>
      </c>
      <c r="AD5637" s="37">
        <v>3.3546027509139069</v>
      </c>
    </row>
    <row r="5638" spans="27:30" x14ac:dyDescent="0.3">
      <c r="AA5638" s="37">
        <v>5618</v>
      </c>
      <c r="AB5638" s="37">
        <v>1.7472051714484746</v>
      </c>
      <c r="AC5638" s="37">
        <v>2.7892991925413977</v>
      </c>
      <c r="AD5638" s="37">
        <v>3.619342543333111</v>
      </c>
    </row>
    <row r="5639" spans="27:30" x14ac:dyDescent="0.3">
      <c r="AA5639" s="37">
        <v>5619</v>
      </c>
      <c r="AB5639" s="37">
        <v>1.8205581069069454</v>
      </c>
      <c r="AC5639" s="37">
        <v>2.9451257939630717</v>
      </c>
      <c r="AD5639" s="37">
        <v>3.1277846117825168</v>
      </c>
    </row>
    <row r="5640" spans="27:30" x14ac:dyDescent="0.3">
      <c r="AA5640" s="37">
        <v>5620</v>
      </c>
      <c r="AB5640" s="37">
        <v>1.7655933338411145</v>
      </c>
      <c r="AC5640" s="37">
        <v>2.7195457988063976</v>
      </c>
      <c r="AD5640" s="37">
        <v>3.4245940792772691</v>
      </c>
    </row>
    <row r="5641" spans="27:30" x14ac:dyDescent="0.3">
      <c r="AA5641" s="37">
        <v>5621</v>
      </c>
      <c r="AB5641" s="37">
        <v>1.7564181992415608</v>
      </c>
      <c r="AC5641" s="37">
        <v>2.7414055425424038</v>
      </c>
      <c r="AD5641" s="37">
        <v>3.3379582477188543</v>
      </c>
    </row>
    <row r="5642" spans="27:30" x14ac:dyDescent="0.3">
      <c r="AA5642" s="37">
        <v>5622</v>
      </c>
      <c r="AB5642" s="37">
        <v>1.7374373556572376</v>
      </c>
      <c r="AC5642" s="37">
        <v>2.7458794113097298</v>
      </c>
      <c r="AD5642" s="37">
        <v>3.3666305144003288</v>
      </c>
    </row>
    <row r="5643" spans="27:30" x14ac:dyDescent="0.3">
      <c r="AA5643" s="37">
        <v>5623</v>
      </c>
      <c r="AB5643" s="37">
        <v>1.7773181071330522</v>
      </c>
      <c r="AC5643" s="37">
        <v>2.8904625004295772</v>
      </c>
      <c r="AD5643" s="37">
        <v>3.4979780079462928</v>
      </c>
    </row>
    <row r="5644" spans="27:30" x14ac:dyDescent="0.3">
      <c r="AA5644" s="37">
        <v>5624</v>
      </c>
      <c r="AB5644" s="37">
        <v>1.7189514133215396</v>
      </c>
      <c r="AC5644" s="37">
        <v>2.7411157127145502</v>
      </c>
      <c r="AD5644" s="37">
        <v>3.4020758374731259</v>
      </c>
    </row>
    <row r="5645" spans="27:30" x14ac:dyDescent="0.3">
      <c r="AA5645" s="37">
        <v>5625</v>
      </c>
      <c r="AB5645" s="37">
        <v>1.7207612513256221</v>
      </c>
      <c r="AC5645" s="37">
        <v>2.8291394340251408</v>
      </c>
      <c r="AD5645" s="37">
        <v>3.2585497959904828</v>
      </c>
    </row>
    <row r="5646" spans="27:30" x14ac:dyDescent="0.3">
      <c r="AA5646" s="37">
        <v>5626</v>
      </c>
      <c r="AB5646" s="37">
        <v>1.8526990669322756</v>
      </c>
      <c r="AC5646" s="37">
        <v>3.0116084434260788</v>
      </c>
      <c r="AD5646" s="37">
        <v>3.1973125552558175</v>
      </c>
    </row>
    <row r="5647" spans="27:30" x14ac:dyDescent="0.3">
      <c r="AA5647" s="37">
        <v>5627</v>
      </c>
      <c r="AB5647" s="37">
        <v>1.8006461041884037</v>
      </c>
      <c r="AC5647" s="37">
        <v>2.8540091107118535</v>
      </c>
      <c r="AD5647" s="37">
        <v>3.1266386131945216</v>
      </c>
    </row>
    <row r="5648" spans="27:30" x14ac:dyDescent="0.3">
      <c r="AA5648" s="37">
        <v>5628</v>
      </c>
      <c r="AB5648" s="37">
        <v>1.7594137001081616</v>
      </c>
      <c r="AC5648" s="37">
        <v>2.8635623988919656</v>
      </c>
      <c r="AD5648" s="37">
        <v>3.4690096625534212</v>
      </c>
    </row>
    <row r="5649" spans="27:30" x14ac:dyDescent="0.3">
      <c r="AA5649" s="37">
        <v>5629</v>
      </c>
      <c r="AB5649" s="37">
        <v>1.795211276648889</v>
      </c>
      <c r="AC5649" s="37">
        <v>2.6822672347571013</v>
      </c>
      <c r="AD5649" s="37">
        <v>3.3327409200845679</v>
      </c>
    </row>
    <row r="5650" spans="27:30" x14ac:dyDescent="0.3">
      <c r="AA5650" s="37">
        <v>5630</v>
      </c>
      <c r="AB5650" s="37">
        <v>1.7707108114697463</v>
      </c>
      <c r="AC5650" s="37">
        <v>2.7973959974702551</v>
      </c>
      <c r="AD5650" s="37">
        <v>3.286036647896911</v>
      </c>
    </row>
    <row r="5651" spans="27:30" x14ac:dyDescent="0.3">
      <c r="AA5651" s="37">
        <v>5631</v>
      </c>
      <c r="AB5651" s="37">
        <v>1.7756826847565432</v>
      </c>
      <c r="AC5651" s="37">
        <v>2.9059668270173269</v>
      </c>
      <c r="AD5651" s="37">
        <v>3.6314118477727355</v>
      </c>
    </row>
    <row r="5652" spans="27:30" x14ac:dyDescent="0.3">
      <c r="AA5652" s="37">
        <v>5632</v>
      </c>
      <c r="AB5652" s="37">
        <v>1.7947525797760284</v>
      </c>
      <c r="AC5652" s="37">
        <v>2.6584131408311373</v>
      </c>
      <c r="AD5652" s="37">
        <v>3.4728833561973991</v>
      </c>
    </row>
    <row r="5653" spans="27:30" x14ac:dyDescent="0.3">
      <c r="AA5653" s="37">
        <v>5633</v>
      </c>
      <c r="AB5653" s="37">
        <v>1.8446367771585215</v>
      </c>
      <c r="AC5653" s="37">
        <v>2.8818306551523016</v>
      </c>
      <c r="AD5653" s="37">
        <v>3.5424018045972101</v>
      </c>
    </row>
    <row r="5654" spans="27:30" x14ac:dyDescent="0.3">
      <c r="AA5654" s="37">
        <v>5634</v>
      </c>
      <c r="AB5654" s="37">
        <v>1.7158842062116348</v>
      </c>
      <c r="AC5654" s="37">
        <v>2.780384185212649</v>
      </c>
      <c r="AD5654" s="37">
        <v>3.4230951031583348</v>
      </c>
    </row>
    <row r="5655" spans="27:30" x14ac:dyDescent="0.3">
      <c r="AA5655" s="37">
        <v>5635</v>
      </c>
      <c r="AB5655" s="37">
        <v>1.9359804230010986</v>
      </c>
      <c r="AC5655" s="37">
        <v>2.614377696842646</v>
      </c>
      <c r="AD5655" s="37">
        <v>3.373488772040885</v>
      </c>
    </row>
    <row r="5656" spans="27:30" x14ac:dyDescent="0.3">
      <c r="AA5656" s="37">
        <v>5636</v>
      </c>
      <c r="AB5656" s="37">
        <v>1.7437399724136389</v>
      </c>
      <c r="AC5656" s="37">
        <v>2.7967383015724545</v>
      </c>
      <c r="AD5656" s="37">
        <v>3.2638172955228781</v>
      </c>
    </row>
    <row r="5657" spans="27:30" x14ac:dyDescent="0.3">
      <c r="AA5657" s="37">
        <v>5637</v>
      </c>
      <c r="AB5657" s="37">
        <v>1.8052668824286942</v>
      </c>
      <c r="AC5657" s="37">
        <v>2.8970987956837053</v>
      </c>
      <c r="AD5657" s="37">
        <v>3.1801214220411143</v>
      </c>
    </row>
    <row r="5658" spans="27:30" x14ac:dyDescent="0.3">
      <c r="AA5658" s="37">
        <v>5638</v>
      </c>
      <c r="AB5658" s="37">
        <v>1.6722070906184157</v>
      </c>
      <c r="AC5658" s="37">
        <v>2.8726364766790478</v>
      </c>
      <c r="AD5658" s="37">
        <v>3.2754480347458261</v>
      </c>
    </row>
    <row r="5659" spans="27:30" x14ac:dyDescent="0.3">
      <c r="AA5659" s="37">
        <v>5639</v>
      </c>
      <c r="AB5659" s="37">
        <v>1.7465186063367351</v>
      </c>
      <c r="AC5659" s="37">
        <v>2.6638370380807492</v>
      </c>
      <c r="AD5659" s="37">
        <v>3.4145330749151364</v>
      </c>
    </row>
    <row r="5660" spans="27:30" x14ac:dyDescent="0.3">
      <c r="AA5660" s="37">
        <v>5640</v>
      </c>
      <c r="AB5660" s="37">
        <v>1.6876549145568029</v>
      </c>
      <c r="AC5660" s="37">
        <v>2.7082699345301533</v>
      </c>
      <c r="AD5660" s="37">
        <v>3.4807960519247509</v>
      </c>
    </row>
    <row r="5661" spans="27:30" x14ac:dyDescent="0.3">
      <c r="AA5661" s="37">
        <v>5641</v>
      </c>
      <c r="AB5661" s="37">
        <v>1.8478089979255394</v>
      </c>
      <c r="AC5661" s="37">
        <v>3.0393342100667051</v>
      </c>
      <c r="AD5661" s="37">
        <v>3.5274718915666612</v>
      </c>
    </row>
    <row r="5662" spans="27:30" x14ac:dyDescent="0.3">
      <c r="AA5662" s="37">
        <v>5642</v>
      </c>
      <c r="AB5662" s="37">
        <v>1.7629962795334833</v>
      </c>
      <c r="AC5662" s="37">
        <v>2.7947991354701327</v>
      </c>
      <c r="AD5662" s="37">
        <v>3.2582326284241074</v>
      </c>
    </row>
    <row r="5663" spans="27:30" x14ac:dyDescent="0.3">
      <c r="AA5663" s="37">
        <v>5643</v>
      </c>
      <c r="AB5663" s="37">
        <v>1.7662267775871856</v>
      </c>
      <c r="AC5663" s="37">
        <v>2.6833422927699955</v>
      </c>
      <c r="AD5663" s="37">
        <v>3.3247265479403803</v>
      </c>
    </row>
    <row r="5664" spans="27:30" x14ac:dyDescent="0.3">
      <c r="AA5664" s="37">
        <v>5644</v>
      </c>
      <c r="AB5664" s="37">
        <v>1.7350690686512342</v>
      </c>
      <c r="AC5664" s="37">
        <v>3.0842845635913658</v>
      </c>
      <c r="AD5664" s="37">
        <v>3.2692091580250247</v>
      </c>
    </row>
    <row r="5665" spans="27:30" x14ac:dyDescent="0.3">
      <c r="AA5665" s="37">
        <v>5645</v>
      </c>
      <c r="AB5665" s="37">
        <v>1.792990741809972</v>
      </c>
      <c r="AC5665" s="37">
        <v>2.7334314220126257</v>
      </c>
      <c r="AD5665" s="37">
        <v>3.0694947202897516</v>
      </c>
    </row>
    <row r="5666" spans="27:30" x14ac:dyDescent="0.3">
      <c r="AA5666" s="37">
        <v>5646</v>
      </c>
      <c r="AB5666" s="37">
        <v>1.7441055909773566</v>
      </c>
      <c r="AC5666" s="37">
        <v>2.8150316601726764</v>
      </c>
      <c r="AD5666" s="37">
        <v>3.2263586595642213</v>
      </c>
    </row>
    <row r="5667" spans="27:30" x14ac:dyDescent="0.3">
      <c r="AA5667" s="37">
        <v>5647</v>
      </c>
      <c r="AB5667" s="37">
        <v>1.7806743578426349</v>
      </c>
      <c r="AC5667" s="37">
        <v>2.9251850597778724</v>
      </c>
      <c r="AD5667" s="37">
        <v>3.4467296080625109</v>
      </c>
    </row>
    <row r="5668" spans="27:30" x14ac:dyDescent="0.3">
      <c r="AA5668" s="37">
        <v>5648</v>
      </c>
      <c r="AB5668" s="37">
        <v>1.8173624569269604</v>
      </c>
      <c r="AC5668" s="37">
        <v>2.9203309685605299</v>
      </c>
      <c r="AD5668" s="37">
        <v>3.1588255614241025</v>
      </c>
    </row>
    <row r="5669" spans="27:30" x14ac:dyDescent="0.3">
      <c r="AA5669" s="37">
        <v>5649</v>
      </c>
      <c r="AB5669" s="37">
        <v>1.7611376041334716</v>
      </c>
      <c r="AC5669" s="37">
        <v>2.8630060207414885</v>
      </c>
      <c r="AD5669" s="37">
        <v>3.4287648787310001</v>
      </c>
    </row>
    <row r="5670" spans="27:30" x14ac:dyDescent="0.3">
      <c r="AA5670" s="37">
        <v>5650</v>
      </c>
      <c r="AB5670" s="37">
        <v>1.8144214164842869</v>
      </c>
      <c r="AC5670" s="37">
        <v>2.8336720934046991</v>
      </c>
      <c r="AD5670" s="37">
        <v>3.4797501346232522</v>
      </c>
    </row>
    <row r="5671" spans="27:30" x14ac:dyDescent="0.3">
      <c r="AA5671" s="37">
        <v>5651</v>
      </c>
      <c r="AB5671" s="37">
        <v>1.8296158545821171</v>
      </c>
      <c r="AC5671" s="37">
        <v>2.6642831862405019</v>
      </c>
      <c r="AD5671" s="37">
        <v>3.5120626606232981</v>
      </c>
    </row>
    <row r="5672" spans="27:30" x14ac:dyDescent="0.3">
      <c r="AA5672" s="37">
        <v>5652</v>
      </c>
      <c r="AB5672" s="37">
        <v>1.7477438147131974</v>
      </c>
      <c r="AC5672" s="37">
        <v>2.9525014980035005</v>
      </c>
      <c r="AD5672" s="37">
        <v>3.3942118388922426</v>
      </c>
    </row>
    <row r="5673" spans="27:30" x14ac:dyDescent="0.3">
      <c r="AA5673" s="37">
        <v>5653</v>
      </c>
      <c r="AB5673" s="37">
        <v>1.8764231232700874</v>
      </c>
      <c r="AC5673" s="37">
        <v>2.7667677214963899</v>
      </c>
      <c r="AD5673" s="37">
        <v>3.5346861817874009</v>
      </c>
    </row>
    <row r="5674" spans="27:30" x14ac:dyDescent="0.3">
      <c r="AA5674" s="37">
        <v>5654</v>
      </c>
      <c r="AB5674" s="37">
        <v>1.8164342631046217</v>
      </c>
      <c r="AC5674" s="37">
        <v>2.8675157611286144</v>
      </c>
      <c r="AD5674" s="37">
        <v>3.4462593413536169</v>
      </c>
    </row>
    <row r="5675" spans="27:30" x14ac:dyDescent="0.3">
      <c r="AA5675" s="37">
        <v>5655</v>
      </c>
      <c r="AB5675" s="37">
        <v>1.7759857642502115</v>
      </c>
      <c r="AC5675" s="37">
        <v>2.8152150999576584</v>
      </c>
      <c r="AD5675" s="37">
        <v>3.3378292950164741</v>
      </c>
    </row>
    <row r="5676" spans="27:30" x14ac:dyDescent="0.3">
      <c r="AA5676" s="37">
        <v>5656</v>
      </c>
      <c r="AB5676" s="37">
        <v>1.793720353478427</v>
      </c>
      <c r="AC5676" s="37">
        <v>2.8364816997201427</v>
      </c>
      <c r="AD5676" s="37">
        <v>3.4236107374404585</v>
      </c>
    </row>
    <row r="5677" spans="27:30" x14ac:dyDescent="0.3">
      <c r="AA5677" s="37">
        <v>5657</v>
      </c>
      <c r="AB5677" s="37">
        <v>1.7290563069929752</v>
      </c>
      <c r="AC5677" s="37">
        <v>2.6303960296160835</v>
      </c>
      <c r="AD5677" s="37">
        <v>3.4744714908344854</v>
      </c>
    </row>
    <row r="5678" spans="27:30" x14ac:dyDescent="0.3">
      <c r="AA5678" s="37">
        <v>5658</v>
      </c>
      <c r="AB5678" s="37">
        <v>1.816983902966514</v>
      </c>
      <c r="AC5678" s="37">
        <v>2.8892162784751845</v>
      </c>
      <c r="AD5678" s="37">
        <v>3.3712464723811948</v>
      </c>
    </row>
    <row r="5679" spans="27:30" x14ac:dyDescent="0.3">
      <c r="AA5679" s="37">
        <v>5659</v>
      </c>
      <c r="AB5679" s="37">
        <v>1.8610032839413548</v>
      </c>
      <c r="AC5679" s="37">
        <v>2.9443849565490217</v>
      </c>
      <c r="AD5679" s="37">
        <v>3.5767256065942274</v>
      </c>
    </row>
    <row r="5680" spans="27:30" x14ac:dyDescent="0.3">
      <c r="AA5680" s="37">
        <v>5660</v>
      </c>
      <c r="AB5680" s="37">
        <v>1.8023815666231187</v>
      </c>
      <c r="AC5680" s="37">
        <v>2.7737030554561368</v>
      </c>
      <c r="AD5680" s="37">
        <v>3.4793930141830152</v>
      </c>
    </row>
    <row r="5681" spans="27:30" x14ac:dyDescent="0.3">
      <c r="AA5681" s="37">
        <v>5661</v>
      </c>
      <c r="AB5681" s="37">
        <v>1.7741258700038998</v>
      </c>
      <c r="AC5681" s="37">
        <v>2.8253016155055413</v>
      </c>
      <c r="AD5681" s="37">
        <v>3.4918483762141821</v>
      </c>
    </row>
    <row r="5682" spans="27:30" x14ac:dyDescent="0.3">
      <c r="AA5682" s="37">
        <v>5662</v>
      </c>
      <c r="AB5682" s="37">
        <v>1.7191630712563888</v>
      </c>
      <c r="AC5682" s="37">
        <v>2.9566980045075404</v>
      </c>
      <c r="AD5682" s="37">
        <v>3.2517065832184566</v>
      </c>
    </row>
    <row r="5683" spans="27:30" x14ac:dyDescent="0.3">
      <c r="AA5683" s="37">
        <v>5663</v>
      </c>
      <c r="AB5683" s="37">
        <v>1.8443225442972793</v>
      </c>
      <c r="AC5683" s="37">
        <v>2.8977567988762423</v>
      </c>
      <c r="AD5683" s="37">
        <v>3.3314897621051314</v>
      </c>
    </row>
    <row r="5684" spans="27:30" x14ac:dyDescent="0.3">
      <c r="AA5684" s="37">
        <v>5664</v>
      </c>
      <c r="AB5684" s="37">
        <v>1.8882804659597354</v>
      </c>
      <c r="AC5684" s="37">
        <v>2.8948139200506562</v>
      </c>
      <c r="AD5684" s="37">
        <v>3.398745891360448</v>
      </c>
    </row>
    <row r="5685" spans="27:30" x14ac:dyDescent="0.3">
      <c r="AA5685" s="37">
        <v>5665</v>
      </c>
      <c r="AB5685" s="37">
        <v>1.8412111889548231</v>
      </c>
      <c r="AC5685" s="37">
        <v>2.9910659957145627</v>
      </c>
      <c r="AD5685" s="37">
        <v>3.3244612268288418</v>
      </c>
    </row>
    <row r="5686" spans="27:30" x14ac:dyDescent="0.3">
      <c r="AA5686" s="37">
        <v>5666</v>
      </c>
      <c r="AB5686" s="37">
        <v>1.8225791779853742</v>
      </c>
      <c r="AC5686" s="37">
        <v>3.0105588268321766</v>
      </c>
      <c r="AD5686" s="37">
        <v>3.1850493654356851</v>
      </c>
    </row>
    <row r="5687" spans="27:30" x14ac:dyDescent="0.3">
      <c r="AA5687" s="37">
        <v>5667</v>
      </c>
      <c r="AB5687" s="37">
        <v>1.6941920594879576</v>
      </c>
      <c r="AC5687" s="37">
        <v>2.9159095060353106</v>
      </c>
      <c r="AD5687" s="37">
        <v>3.2160454602149371</v>
      </c>
    </row>
    <row r="5688" spans="27:30" x14ac:dyDescent="0.3">
      <c r="AA5688" s="37">
        <v>5668</v>
      </c>
      <c r="AB5688" s="37">
        <v>1.7819056424468207</v>
      </c>
      <c r="AC5688" s="37">
        <v>2.7976178163931213</v>
      </c>
      <c r="AD5688" s="37">
        <v>3.4268960140099507</v>
      </c>
    </row>
    <row r="5689" spans="27:30" x14ac:dyDescent="0.3">
      <c r="AA5689" s="37">
        <v>5669</v>
      </c>
      <c r="AB5689" s="37">
        <v>1.891508030700602</v>
      </c>
      <c r="AC5689" s="37">
        <v>2.8726711336359649</v>
      </c>
      <c r="AD5689" s="37">
        <v>3.3444511055276052</v>
      </c>
    </row>
    <row r="5690" spans="27:30" x14ac:dyDescent="0.3">
      <c r="AA5690" s="37">
        <v>5670</v>
      </c>
      <c r="AB5690" s="37">
        <v>1.7812664140566323</v>
      </c>
      <c r="AC5690" s="37">
        <v>2.7806704241723375</v>
      </c>
      <c r="AD5690" s="37">
        <v>3.3219426612338765</v>
      </c>
    </row>
    <row r="5691" spans="27:30" x14ac:dyDescent="0.3">
      <c r="AA5691" s="37">
        <v>5671</v>
      </c>
      <c r="AB5691" s="37">
        <v>1.7471337228648938</v>
      </c>
      <c r="AC5691" s="37">
        <v>2.8747809910030737</v>
      </c>
      <c r="AD5691" s="37">
        <v>3.3018715908731724</v>
      </c>
    </row>
    <row r="5692" spans="27:30" x14ac:dyDescent="0.3">
      <c r="AA5692" s="37">
        <v>5672</v>
      </c>
      <c r="AB5692" s="37">
        <v>1.7641578129814375</v>
      </c>
      <c r="AC5692" s="37">
        <v>2.9749762653088507</v>
      </c>
      <c r="AD5692" s="37">
        <v>3.2743396604491388</v>
      </c>
    </row>
    <row r="5693" spans="27:30" x14ac:dyDescent="0.3">
      <c r="AA5693" s="37">
        <v>5673</v>
      </c>
      <c r="AB5693" s="37">
        <v>1.7846624307829433</v>
      </c>
      <c r="AC5693" s="37">
        <v>2.7668536523426974</v>
      </c>
      <c r="AD5693" s="37">
        <v>3.2902905863921523</v>
      </c>
    </row>
    <row r="5694" spans="27:30" x14ac:dyDescent="0.3">
      <c r="AA5694" s="37">
        <v>5674</v>
      </c>
      <c r="AB5694" s="37">
        <v>1.7462572722456604</v>
      </c>
      <c r="AC5694" s="37">
        <v>2.8009408930547646</v>
      </c>
      <c r="AD5694" s="37">
        <v>3.3946747597891149</v>
      </c>
    </row>
    <row r="5695" spans="27:30" x14ac:dyDescent="0.3">
      <c r="AA5695" s="37">
        <v>5675</v>
      </c>
      <c r="AB5695" s="37">
        <v>1.7706719806919464</v>
      </c>
      <c r="AC5695" s="37">
        <v>2.9343013444350659</v>
      </c>
      <c r="AD5695" s="37">
        <v>3.4262314612587375</v>
      </c>
    </row>
    <row r="5696" spans="27:30" x14ac:dyDescent="0.3">
      <c r="AA5696" s="37">
        <v>5676</v>
      </c>
      <c r="AB5696" s="37">
        <v>1.7512437841845658</v>
      </c>
      <c r="AC5696" s="37">
        <v>2.7735152137261352</v>
      </c>
      <c r="AD5696" s="37">
        <v>3.4945994595634713</v>
      </c>
    </row>
    <row r="5697" spans="27:30" x14ac:dyDescent="0.3">
      <c r="AA5697" s="37">
        <v>5677</v>
      </c>
      <c r="AB5697" s="37">
        <v>1.8249670342115227</v>
      </c>
      <c r="AC5697" s="37">
        <v>2.8206574951246743</v>
      </c>
      <c r="AD5697" s="37">
        <v>3.2859591816880851</v>
      </c>
    </row>
    <row r="5698" spans="27:30" x14ac:dyDescent="0.3">
      <c r="AA5698" s="37">
        <v>5678</v>
      </c>
      <c r="AB5698" s="37">
        <v>1.7627639424137898</v>
      </c>
      <c r="AC5698" s="37">
        <v>2.834325024173995</v>
      </c>
      <c r="AD5698" s="37">
        <v>3.3378811723092126</v>
      </c>
    </row>
    <row r="5699" spans="27:30" x14ac:dyDescent="0.3">
      <c r="AA5699" s="37">
        <v>5679</v>
      </c>
      <c r="AB5699" s="37">
        <v>1.7287073490297409</v>
      </c>
      <c r="AC5699" s="37">
        <v>2.8836580596547901</v>
      </c>
      <c r="AD5699" s="37">
        <v>3.2234788843639142</v>
      </c>
    </row>
    <row r="5700" spans="27:30" x14ac:dyDescent="0.3">
      <c r="AA5700" s="37">
        <v>5680</v>
      </c>
      <c r="AB5700" s="37">
        <v>1.8206522506699716</v>
      </c>
      <c r="AC5700" s="37">
        <v>2.8522887275212887</v>
      </c>
      <c r="AD5700" s="37">
        <v>3.4106426773157352</v>
      </c>
    </row>
    <row r="5701" spans="27:30" x14ac:dyDescent="0.3">
      <c r="AA5701" s="37">
        <v>5681</v>
      </c>
      <c r="AB5701" s="37">
        <v>1.8388656224950808</v>
      </c>
      <c r="AC5701" s="37">
        <v>2.7572412490393212</v>
      </c>
      <c r="AD5701" s="37">
        <v>3.3871626238014758</v>
      </c>
    </row>
    <row r="5702" spans="27:30" x14ac:dyDescent="0.3">
      <c r="AA5702" s="37">
        <v>5682</v>
      </c>
      <c r="AB5702" s="37">
        <v>1.716972775010382</v>
      </c>
      <c r="AC5702" s="37">
        <v>2.9519197400146493</v>
      </c>
      <c r="AD5702" s="37">
        <v>3.2068773397842802</v>
      </c>
    </row>
    <row r="5703" spans="27:30" x14ac:dyDescent="0.3">
      <c r="AA5703" s="37">
        <v>5683</v>
      </c>
      <c r="AB5703" s="37">
        <v>1.7026706676356971</v>
      </c>
      <c r="AC5703" s="37">
        <v>2.9017681463068499</v>
      </c>
      <c r="AD5703" s="37">
        <v>3.3269519631279292</v>
      </c>
    </row>
    <row r="5704" spans="27:30" x14ac:dyDescent="0.3">
      <c r="AA5704" s="37">
        <v>5684</v>
      </c>
      <c r="AB5704" s="37">
        <v>1.7828785122764963</v>
      </c>
      <c r="AC5704" s="37">
        <v>2.8274575786973863</v>
      </c>
      <c r="AD5704" s="37">
        <v>3.3438042828872354</v>
      </c>
    </row>
    <row r="5705" spans="27:30" x14ac:dyDescent="0.3">
      <c r="AA5705" s="37">
        <v>5685</v>
      </c>
      <c r="AB5705" s="37">
        <v>1.6703240349898421</v>
      </c>
      <c r="AC5705" s="37">
        <v>2.8687733073663271</v>
      </c>
      <c r="AD5705" s="37">
        <v>3.4445883209298804</v>
      </c>
    </row>
    <row r="5706" spans="27:30" x14ac:dyDescent="0.3">
      <c r="AA5706" s="37">
        <v>5686</v>
      </c>
      <c r="AB5706" s="37">
        <v>1.7162738269860802</v>
      </c>
      <c r="AC5706" s="37">
        <v>2.7434952455322033</v>
      </c>
      <c r="AD5706" s="37">
        <v>3.2807883992983333</v>
      </c>
    </row>
    <row r="5707" spans="27:30" x14ac:dyDescent="0.3">
      <c r="AA5707" s="37">
        <v>5687</v>
      </c>
      <c r="AB5707" s="37">
        <v>1.7770773306083996</v>
      </c>
      <c r="AC5707" s="37">
        <v>2.8153768456540589</v>
      </c>
      <c r="AD5707" s="37">
        <v>3.6439979532516116</v>
      </c>
    </row>
    <row r="5708" spans="27:30" x14ac:dyDescent="0.3">
      <c r="AA5708" s="37">
        <v>5688</v>
      </c>
      <c r="AB5708" s="37">
        <v>1.8011665258547924</v>
      </c>
      <c r="AC5708" s="37">
        <v>2.7476357197964574</v>
      </c>
      <c r="AD5708" s="37">
        <v>3.4197095470417249</v>
      </c>
    </row>
    <row r="5709" spans="27:30" x14ac:dyDescent="0.3">
      <c r="AA5709" s="37">
        <v>5689</v>
      </c>
      <c r="AB5709" s="37">
        <v>1.8615771746607983</v>
      </c>
      <c r="AC5709" s="37">
        <v>2.8182471251607737</v>
      </c>
      <c r="AD5709" s="37">
        <v>3.2746585750666348</v>
      </c>
    </row>
    <row r="5710" spans="27:30" x14ac:dyDescent="0.3">
      <c r="AA5710" s="37">
        <v>5690</v>
      </c>
      <c r="AB5710" s="37">
        <v>1.737141412870848</v>
      </c>
      <c r="AC5710" s="37">
        <v>2.8575863744540095</v>
      </c>
      <c r="AD5710" s="37">
        <v>3.4045436864658929</v>
      </c>
    </row>
    <row r="5711" spans="27:30" x14ac:dyDescent="0.3">
      <c r="AA5711" s="37">
        <v>5691</v>
      </c>
      <c r="AB5711" s="37">
        <v>1.8390496426199645</v>
      </c>
      <c r="AC5711" s="37">
        <v>2.8529033402951081</v>
      </c>
      <c r="AD5711" s="37">
        <v>3.4667318221307264</v>
      </c>
    </row>
    <row r="5712" spans="27:30" x14ac:dyDescent="0.3">
      <c r="AA5712" s="37">
        <v>5692</v>
      </c>
      <c r="AB5712" s="37">
        <v>1.7478229129602538</v>
      </c>
      <c r="AC5712" s="37">
        <v>2.6965680967959411</v>
      </c>
      <c r="AD5712" s="37">
        <v>3.208093073097054</v>
      </c>
    </row>
    <row r="5713" spans="27:30" x14ac:dyDescent="0.3">
      <c r="AA5713" s="37">
        <v>5693</v>
      </c>
      <c r="AB5713" s="37">
        <v>1.8576235619337664</v>
      </c>
      <c r="AC5713" s="37">
        <v>2.831911935862887</v>
      </c>
      <c r="AD5713" s="37">
        <v>3.5752843078701715</v>
      </c>
    </row>
    <row r="5714" spans="27:30" x14ac:dyDescent="0.3">
      <c r="AA5714" s="37">
        <v>5694</v>
      </c>
      <c r="AB5714" s="37">
        <v>1.8397756630046256</v>
      </c>
      <c r="AC5714" s="37">
        <v>2.801688174560236</v>
      </c>
      <c r="AD5714" s="37">
        <v>3.2366426351446775</v>
      </c>
    </row>
    <row r="5715" spans="27:30" x14ac:dyDescent="0.3">
      <c r="AA5715" s="37">
        <v>5695</v>
      </c>
      <c r="AB5715" s="37">
        <v>1.7961748177751224</v>
      </c>
      <c r="AC5715" s="37">
        <v>3.0424881132907258</v>
      </c>
      <c r="AD5715" s="37">
        <v>3.4661676543870663</v>
      </c>
    </row>
    <row r="5716" spans="27:30" x14ac:dyDescent="0.3">
      <c r="AA5716" s="37">
        <v>5696</v>
      </c>
      <c r="AB5716" s="37">
        <v>1.8140211738931065</v>
      </c>
      <c r="AC5716" s="37">
        <v>2.9865221917922411</v>
      </c>
      <c r="AD5716" s="37">
        <v>3.3204650191781298</v>
      </c>
    </row>
    <row r="5717" spans="27:30" x14ac:dyDescent="0.3">
      <c r="AA5717" s="37">
        <v>5697</v>
      </c>
      <c r="AB5717" s="37">
        <v>1.7833809701738754</v>
      </c>
      <c r="AC5717" s="37">
        <v>2.7950159031816448</v>
      </c>
      <c r="AD5717" s="37">
        <v>3.3897444800423249</v>
      </c>
    </row>
    <row r="5718" spans="27:30" x14ac:dyDescent="0.3">
      <c r="AA5718" s="37">
        <v>5698</v>
      </c>
      <c r="AB5718" s="37">
        <v>1.8575960290340574</v>
      </c>
      <c r="AC5718" s="37">
        <v>2.8242471550176043</v>
      </c>
      <c r="AD5718" s="37">
        <v>3.3475254854733696</v>
      </c>
    </row>
    <row r="5719" spans="27:30" x14ac:dyDescent="0.3">
      <c r="AA5719" s="37">
        <v>5699</v>
      </c>
      <c r="AB5719" s="37">
        <v>1.8364894929671409</v>
      </c>
      <c r="AC5719" s="37">
        <v>2.6820570527492493</v>
      </c>
      <c r="AD5719" s="37">
        <v>3.3145974809482333</v>
      </c>
    </row>
    <row r="5720" spans="27:30" x14ac:dyDescent="0.3">
      <c r="AA5720" s="37">
        <v>5700</v>
      </c>
      <c r="AB5720" s="37">
        <v>1.7158105480479127</v>
      </c>
      <c r="AC5720" s="37">
        <v>2.9713419689989595</v>
      </c>
      <c r="AD5720" s="37">
        <v>3.3136146182374366</v>
      </c>
    </row>
    <row r="5721" spans="27:30" x14ac:dyDescent="0.3">
      <c r="AA5721" s="37">
        <v>5701</v>
      </c>
      <c r="AB5721" s="37">
        <v>1.68964829972669</v>
      </c>
      <c r="AC5721" s="37">
        <v>2.779571002420993</v>
      </c>
      <c r="AD5721" s="37">
        <v>3.2443448900170768</v>
      </c>
    </row>
    <row r="5722" spans="27:30" x14ac:dyDescent="0.3">
      <c r="AA5722" s="37">
        <v>5702</v>
      </c>
      <c r="AB5722" s="37">
        <v>1.8303658563406477</v>
      </c>
      <c r="AC5722" s="37">
        <v>2.8576183114927569</v>
      </c>
      <c r="AD5722" s="37">
        <v>3.3968382741651024</v>
      </c>
    </row>
    <row r="5723" spans="27:30" x14ac:dyDescent="0.3">
      <c r="AA5723" s="37">
        <v>5703</v>
      </c>
      <c r="AB5723" s="37">
        <v>1.6923449221226334</v>
      </c>
      <c r="AC5723" s="37">
        <v>2.742370914162255</v>
      </c>
      <c r="AD5723" s="37">
        <v>3.4169584347274395</v>
      </c>
    </row>
    <row r="5724" spans="27:30" x14ac:dyDescent="0.3">
      <c r="AA5724" s="37">
        <v>5704</v>
      </c>
      <c r="AB5724" s="37">
        <v>1.892640743451234</v>
      </c>
      <c r="AC5724" s="37">
        <v>3.0148975746471414</v>
      </c>
      <c r="AD5724" s="37">
        <v>3.4457702959187428</v>
      </c>
    </row>
    <row r="5725" spans="27:30" x14ac:dyDescent="0.3">
      <c r="AA5725" s="37">
        <v>5705</v>
      </c>
      <c r="AB5725" s="37">
        <v>1.7599104853969756</v>
      </c>
      <c r="AC5725" s="37">
        <v>2.7607770607849416</v>
      </c>
      <c r="AD5725" s="37">
        <v>3.2236631948991046</v>
      </c>
    </row>
    <row r="5726" spans="27:30" x14ac:dyDescent="0.3">
      <c r="AA5726" s="37">
        <v>5706</v>
      </c>
      <c r="AB5726" s="37">
        <v>1.7395238696076316</v>
      </c>
      <c r="AC5726" s="37">
        <v>2.9529611656739565</v>
      </c>
      <c r="AD5726" s="37">
        <v>3.4018829542648508</v>
      </c>
    </row>
    <row r="5727" spans="27:30" x14ac:dyDescent="0.3">
      <c r="AA5727" s="37">
        <v>5707</v>
      </c>
      <c r="AB5727" s="37">
        <v>1.7895433233090552</v>
      </c>
      <c r="AC5727" s="37">
        <v>2.8744464529873905</v>
      </c>
      <c r="AD5727" s="37">
        <v>3.3201942821797235</v>
      </c>
    </row>
    <row r="5728" spans="27:30" x14ac:dyDescent="0.3">
      <c r="AA5728" s="37">
        <v>5708</v>
      </c>
      <c r="AB5728" s="37">
        <v>1.8503034017185871</v>
      </c>
      <c r="AC5728" s="37">
        <v>2.7262011230224497</v>
      </c>
      <c r="AD5728" s="37">
        <v>3.4536900439068452</v>
      </c>
    </row>
    <row r="5729" spans="27:30" x14ac:dyDescent="0.3">
      <c r="AA5729" s="37">
        <v>5709</v>
      </c>
      <c r="AB5729" s="37">
        <v>1.8142839684204957</v>
      </c>
      <c r="AC5729" s="37">
        <v>2.8069223548150788</v>
      </c>
      <c r="AD5729" s="37">
        <v>3.3673184914593444</v>
      </c>
    </row>
    <row r="5730" spans="27:30" x14ac:dyDescent="0.3">
      <c r="AA5730" s="37">
        <v>5710</v>
      </c>
      <c r="AB5730" s="37">
        <v>1.7535094100552946</v>
      </c>
      <c r="AC5730" s="37">
        <v>2.7504448478127386</v>
      </c>
      <c r="AD5730" s="37">
        <v>3.196421140718618</v>
      </c>
    </row>
    <row r="5731" spans="27:30" x14ac:dyDescent="0.3">
      <c r="AA5731" s="37">
        <v>5711</v>
      </c>
      <c r="AB5731" s="37">
        <v>1.8695390990271341</v>
      </c>
      <c r="AC5731" s="37">
        <v>2.7976405383619056</v>
      </c>
      <c r="AD5731" s="37">
        <v>3.37358739163738</v>
      </c>
    </row>
    <row r="5732" spans="27:30" x14ac:dyDescent="0.3">
      <c r="AA5732" s="37">
        <v>5712</v>
      </c>
      <c r="AB5732" s="37">
        <v>1.7396880510399999</v>
      </c>
      <c r="AC5732" s="37">
        <v>2.947836364443237</v>
      </c>
      <c r="AD5732" s="37">
        <v>3.291340307720795</v>
      </c>
    </row>
    <row r="5733" spans="27:30" x14ac:dyDescent="0.3">
      <c r="AA5733" s="37">
        <v>5713</v>
      </c>
      <c r="AB5733" s="37">
        <v>1.7884095128550812</v>
      </c>
      <c r="AC5733" s="37">
        <v>2.8089142593280196</v>
      </c>
      <c r="AD5733" s="37">
        <v>3.3166040929968177</v>
      </c>
    </row>
    <row r="5734" spans="27:30" x14ac:dyDescent="0.3">
      <c r="AA5734" s="37">
        <v>5714</v>
      </c>
      <c r="AB5734" s="37">
        <v>1.7381875062107659</v>
      </c>
      <c r="AC5734" s="37">
        <v>2.7182061435421319</v>
      </c>
      <c r="AD5734" s="37">
        <v>3.2335284816048042</v>
      </c>
    </row>
    <row r="5735" spans="27:30" x14ac:dyDescent="0.3">
      <c r="AA5735" s="37">
        <v>5715</v>
      </c>
      <c r="AB5735" s="37">
        <v>1.7216652424195069</v>
      </c>
      <c r="AC5735" s="37">
        <v>2.9510912686799728</v>
      </c>
      <c r="AD5735" s="37">
        <v>3.3546285362221586</v>
      </c>
    </row>
    <row r="5736" spans="27:30" x14ac:dyDescent="0.3">
      <c r="AA5736" s="37">
        <v>5716</v>
      </c>
      <c r="AB5736" s="37">
        <v>1.785901019215385</v>
      </c>
      <c r="AC5736" s="37">
        <v>2.7405015234273269</v>
      </c>
      <c r="AD5736" s="37">
        <v>3.5170333967125464</v>
      </c>
    </row>
    <row r="5737" spans="27:30" x14ac:dyDescent="0.3">
      <c r="AA5737" s="37">
        <v>5717</v>
      </c>
      <c r="AB5737" s="37">
        <v>1.8211328183912434</v>
      </c>
      <c r="AC5737" s="37">
        <v>2.7651513904058196</v>
      </c>
      <c r="AD5737" s="37">
        <v>3.2498533075031379</v>
      </c>
    </row>
    <row r="5738" spans="27:30" x14ac:dyDescent="0.3">
      <c r="AA5738" s="37">
        <v>5718</v>
      </c>
      <c r="AB5738" s="37">
        <v>1.7085603384704573</v>
      </c>
      <c r="AC5738" s="37">
        <v>3.0065973240932791</v>
      </c>
      <c r="AD5738" s="37">
        <v>3.2602053064444747</v>
      </c>
    </row>
    <row r="5739" spans="27:30" x14ac:dyDescent="0.3">
      <c r="AA5739" s="37">
        <v>5719</v>
      </c>
      <c r="AB5739" s="37">
        <v>1.7314350950949766</v>
      </c>
      <c r="AC5739" s="37">
        <v>2.7845366100598041</v>
      </c>
      <c r="AD5739" s="37">
        <v>3.4197983771158897</v>
      </c>
    </row>
    <row r="5740" spans="27:30" x14ac:dyDescent="0.3">
      <c r="AA5740" s="37">
        <v>5720</v>
      </c>
      <c r="AB5740" s="37">
        <v>1.7935977298393657</v>
      </c>
      <c r="AC5740" s="37">
        <v>2.9094855638295072</v>
      </c>
      <c r="AD5740" s="37">
        <v>3.3446699413861443</v>
      </c>
    </row>
    <row r="5741" spans="27:30" x14ac:dyDescent="0.3">
      <c r="AA5741" s="37">
        <v>5721</v>
      </c>
      <c r="AB5741" s="37">
        <v>1.7848434182831723</v>
      </c>
      <c r="AC5741" s="37">
        <v>2.8837213150906651</v>
      </c>
      <c r="AD5741" s="37">
        <v>3.131569625047153</v>
      </c>
    </row>
    <row r="5742" spans="27:30" x14ac:dyDescent="0.3">
      <c r="AA5742" s="37">
        <v>5722</v>
      </c>
      <c r="AB5742" s="37">
        <v>1.8361400555160308</v>
      </c>
      <c r="AC5742" s="37">
        <v>2.6877024289568765</v>
      </c>
      <c r="AD5742" s="37">
        <v>3.2679423890237338</v>
      </c>
    </row>
    <row r="5743" spans="27:30" x14ac:dyDescent="0.3">
      <c r="AA5743" s="37">
        <v>5723</v>
      </c>
      <c r="AB5743" s="37">
        <v>1.7662692835777751</v>
      </c>
      <c r="AC5743" s="37">
        <v>2.9677799731901486</v>
      </c>
      <c r="AD5743" s="37">
        <v>3.4880337255533576</v>
      </c>
    </row>
    <row r="5744" spans="27:30" x14ac:dyDescent="0.3">
      <c r="AA5744" s="37">
        <v>5724</v>
      </c>
      <c r="AB5744" s="37">
        <v>1.8013563948097948</v>
      </c>
      <c r="AC5744" s="37">
        <v>2.6921908976634086</v>
      </c>
      <c r="AD5744" s="37">
        <v>3.3213079952152436</v>
      </c>
    </row>
    <row r="5745" spans="27:30" x14ac:dyDescent="0.3">
      <c r="AA5745" s="37">
        <v>5725</v>
      </c>
      <c r="AB5745" s="37">
        <v>1.7585041786057356</v>
      </c>
      <c r="AC5745" s="37">
        <v>2.8030671659828044</v>
      </c>
      <c r="AD5745" s="37">
        <v>3.165647756893835</v>
      </c>
    </row>
    <row r="5746" spans="27:30" x14ac:dyDescent="0.3">
      <c r="AA5746" s="37">
        <v>5726</v>
      </c>
      <c r="AB5746" s="37">
        <v>1.9186213085255073</v>
      </c>
      <c r="AC5746" s="37">
        <v>2.9567379888597154</v>
      </c>
      <c r="AD5746" s="37">
        <v>3.1972369545946262</v>
      </c>
    </row>
    <row r="5747" spans="27:30" x14ac:dyDescent="0.3">
      <c r="AA5747" s="37">
        <v>5727</v>
      </c>
      <c r="AB5747" s="37">
        <v>1.6613850356979563</v>
      </c>
      <c r="AC5747" s="37">
        <v>2.7854816912791005</v>
      </c>
      <c r="AD5747" s="37">
        <v>3.5873556293772344</v>
      </c>
    </row>
    <row r="5748" spans="27:30" x14ac:dyDescent="0.3">
      <c r="AA5748" s="37">
        <v>5728</v>
      </c>
      <c r="AB5748" s="37">
        <v>1.8085090364074432</v>
      </c>
      <c r="AC5748" s="37">
        <v>2.801648410404213</v>
      </c>
      <c r="AD5748" s="37">
        <v>3.2055206870034629</v>
      </c>
    </row>
    <row r="5749" spans="27:30" x14ac:dyDescent="0.3">
      <c r="AA5749" s="37">
        <v>5729</v>
      </c>
      <c r="AB5749" s="37">
        <v>1.7456441755555683</v>
      </c>
      <c r="AC5749" s="37">
        <v>2.940738686982598</v>
      </c>
      <c r="AD5749" s="37">
        <v>3.4131974200611483</v>
      </c>
    </row>
    <row r="5750" spans="27:30" x14ac:dyDescent="0.3">
      <c r="AA5750" s="37">
        <v>5730</v>
      </c>
      <c r="AB5750" s="37">
        <v>1.6317665279732312</v>
      </c>
      <c r="AC5750" s="37">
        <v>2.7707081156086035</v>
      </c>
      <c r="AD5750" s="37">
        <v>3.2243989774868673</v>
      </c>
    </row>
    <row r="5751" spans="27:30" x14ac:dyDescent="0.3">
      <c r="AA5751" s="37">
        <v>5731</v>
      </c>
      <c r="AB5751" s="37">
        <v>1.733090220302488</v>
      </c>
      <c r="AC5751" s="37">
        <v>2.8461100793346823</v>
      </c>
      <c r="AD5751" s="37">
        <v>3.3914014941361144</v>
      </c>
    </row>
    <row r="5752" spans="27:30" x14ac:dyDescent="0.3">
      <c r="AA5752" s="37">
        <v>5732</v>
      </c>
      <c r="AB5752" s="37">
        <v>1.7453628974260269</v>
      </c>
      <c r="AC5752" s="37">
        <v>2.8882247593540922</v>
      </c>
      <c r="AD5752" s="37">
        <v>3.383840505234244</v>
      </c>
    </row>
    <row r="5753" spans="27:30" x14ac:dyDescent="0.3">
      <c r="AA5753" s="37">
        <v>5733</v>
      </c>
      <c r="AB5753" s="37">
        <v>1.8054824612393603</v>
      </c>
      <c r="AC5753" s="37">
        <v>2.8177506137994373</v>
      </c>
      <c r="AD5753" s="37">
        <v>3.4872925671822008</v>
      </c>
    </row>
    <row r="5754" spans="27:30" x14ac:dyDescent="0.3">
      <c r="AA5754" s="37">
        <v>5734</v>
      </c>
      <c r="AB5754" s="37">
        <v>1.7064668980463666</v>
      </c>
      <c r="AC5754" s="37">
        <v>2.8253893541723869</v>
      </c>
      <c r="AD5754" s="37">
        <v>3.3679205521387394</v>
      </c>
    </row>
    <row r="5755" spans="27:30" x14ac:dyDescent="0.3">
      <c r="AA5755" s="37">
        <v>5735</v>
      </c>
      <c r="AB5755" s="37">
        <v>1.7736449878656249</v>
      </c>
      <c r="AC5755" s="37">
        <v>2.8603862821903783</v>
      </c>
      <c r="AD5755" s="37">
        <v>3.2082233518404348</v>
      </c>
    </row>
    <row r="5756" spans="27:30" x14ac:dyDescent="0.3">
      <c r="AA5756" s="37">
        <v>5736</v>
      </c>
      <c r="AB5756" s="37">
        <v>1.7734600368455993</v>
      </c>
      <c r="AC5756" s="37">
        <v>2.753119066200477</v>
      </c>
      <c r="AD5756" s="37">
        <v>3.2996266624409438</v>
      </c>
    </row>
    <row r="5757" spans="27:30" x14ac:dyDescent="0.3">
      <c r="AA5757" s="37">
        <v>5737</v>
      </c>
      <c r="AB5757" s="37">
        <v>1.8037778290833613</v>
      </c>
      <c r="AC5757" s="37">
        <v>2.7552548600765938</v>
      </c>
      <c r="AD5757" s="37">
        <v>3.3913101052857204</v>
      </c>
    </row>
    <row r="5758" spans="27:30" x14ac:dyDescent="0.3">
      <c r="AA5758" s="37">
        <v>5738</v>
      </c>
      <c r="AB5758" s="37">
        <v>1.7041198193123872</v>
      </c>
      <c r="AC5758" s="37">
        <v>2.8483953667496134</v>
      </c>
      <c r="AD5758" s="37">
        <v>3.3530608216726767</v>
      </c>
    </row>
    <row r="5759" spans="27:30" x14ac:dyDescent="0.3">
      <c r="AA5759" s="37">
        <v>5739</v>
      </c>
      <c r="AB5759" s="37">
        <v>1.9073423690739186</v>
      </c>
      <c r="AC5759" s="37">
        <v>2.8039174206441868</v>
      </c>
      <c r="AD5759" s="37">
        <v>3.4579558106626331</v>
      </c>
    </row>
    <row r="5760" spans="27:30" x14ac:dyDescent="0.3">
      <c r="AA5760" s="37">
        <v>5740</v>
      </c>
      <c r="AB5760" s="37">
        <v>1.8642324398474013</v>
      </c>
      <c r="AC5760" s="37">
        <v>2.6934434929711726</v>
      </c>
      <c r="AD5760" s="37">
        <v>3.4636058410565931</v>
      </c>
    </row>
    <row r="5761" spans="27:30" x14ac:dyDescent="0.3">
      <c r="AA5761" s="37">
        <v>5741</v>
      </c>
      <c r="AB5761" s="37">
        <v>1.8351042557702681</v>
      </c>
      <c r="AC5761" s="37">
        <v>2.8735983952534543</v>
      </c>
      <c r="AD5761" s="37">
        <v>3.4646425666925298</v>
      </c>
    </row>
    <row r="5762" spans="27:30" x14ac:dyDescent="0.3">
      <c r="AA5762" s="37">
        <v>5742</v>
      </c>
      <c r="AB5762" s="37">
        <v>1.7949083090306015</v>
      </c>
      <c r="AC5762" s="37">
        <v>2.6257093037803809</v>
      </c>
      <c r="AD5762" s="37">
        <v>3.4008361028444374</v>
      </c>
    </row>
    <row r="5763" spans="27:30" x14ac:dyDescent="0.3">
      <c r="AA5763" s="37">
        <v>5743</v>
      </c>
      <c r="AB5763" s="37">
        <v>1.7899979754163531</v>
      </c>
      <c r="AC5763" s="37">
        <v>2.7861289123626363</v>
      </c>
      <c r="AD5763" s="37">
        <v>3.4171854937127586</v>
      </c>
    </row>
    <row r="5764" spans="27:30" x14ac:dyDescent="0.3">
      <c r="AA5764" s="37">
        <v>5744</v>
      </c>
      <c r="AB5764" s="37">
        <v>1.7607261653614592</v>
      </c>
      <c r="AC5764" s="37">
        <v>3.0010346787802136</v>
      </c>
      <c r="AD5764" s="37">
        <v>3.3522808633001628</v>
      </c>
    </row>
    <row r="5765" spans="27:30" x14ac:dyDescent="0.3">
      <c r="AA5765" s="37">
        <v>5745</v>
      </c>
      <c r="AB5765" s="37">
        <v>1.8214842714914983</v>
      </c>
      <c r="AC5765" s="37">
        <v>3.0225845631340316</v>
      </c>
      <c r="AD5765" s="37">
        <v>3.2535576594258258</v>
      </c>
    </row>
    <row r="5766" spans="27:30" x14ac:dyDescent="0.3">
      <c r="AA5766" s="37">
        <v>5746</v>
      </c>
      <c r="AB5766" s="37">
        <v>1.7729683016961739</v>
      </c>
      <c r="AC5766" s="37">
        <v>2.6695944567280927</v>
      </c>
      <c r="AD5766" s="37">
        <v>3.367345718404231</v>
      </c>
    </row>
    <row r="5767" spans="27:30" x14ac:dyDescent="0.3">
      <c r="AA5767" s="37">
        <v>5747</v>
      </c>
      <c r="AB5767" s="37">
        <v>1.803714186878921</v>
      </c>
      <c r="AC5767" s="37">
        <v>2.7680528655476406</v>
      </c>
      <c r="AD5767" s="37">
        <v>3.3196809653624832</v>
      </c>
    </row>
    <row r="5768" spans="27:30" x14ac:dyDescent="0.3">
      <c r="AA5768" s="37">
        <v>5748</v>
      </c>
      <c r="AB5768" s="37">
        <v>1.6731261765847001</v>
      </c>
      <c r="AC5768" s="37">
        <v>2.7764682453688438</v>
      </c>
      <c r="AD5768" s="37">
        <v>3.5492391455784174</v>
      </c>
    </row>
    <row r="5769" spans="27:30" x14ac:dyDescent="0.3">
      <c r="AA5769" s="37">
        <v>5749</v>
      </c>
      <c r="AB5769" s="37">
        <v>1.6764377687794207</v>
      </c>
      <c r="AC5769" s="37">
        <v>2.8032713204741668</v>
      </c>
      <c r="AD5769" s="37">
        <v>3.3714366251264023</v>
      </c>
    </row>
    <row r="5770" spans="27:30" x14ac:dyDescent="0.3">
      <c r="AA5770" s="37">
        <v>5750</v>
      </c>
      <c r="AB5770" s="37">
        <v>1.802445481756888</v>
      </c>
      <c r="AC5770" s="37">
        <v>2.8547215559787089</v>
      </c>
      <c r="AD5770" s="37">
        <v>3.3476331026493744</v>
      </c>
    </row>
    <row r="5771" spans="27:30" x14ac:dyDescent="0.3">
      <c r="AA5771" s="37">
        <v>5751</v>
      </c>
      <c r="AB5771" s="37">
        <v>1.9008979018939909</v>
      </c>
      <c r="AC5771" s="37">
        <v>2.8817814943689921</v>
      </c>
      <c r="AD5771" s="37">
        <v>3.4661832918873934</v>
      </c>
    </row>
    <row r="5772" spans="27:30" x14ac:dyDescent="0.3">
      <c r="AA5772" s="37">
        <v>5752</v>
      </c>
      <c r="AB5772" s="37">
        <v>1.8003701365218281</v>
      </c>
      <c r="AC5772" s="37">
        <v>2.8570963470570225</v>
      </c>
      <c r="AD5772" s="37">
        <v>3.4545035702958589</v>
      </c>
    </row>
    <row r="5773" spans="27:30" x14ac:dyDescent="0.3">
      <c r="AA5773" s="37">
        <v>5753</v>
      </c>
      <c r="AB5773" s="37">
        <v>1.7959904714829815</v>
      </c>
      <c r="AC5773" s="37">
        <v>2.95700358239143</v>
      </c>
      <c r="AD5773" s="37">
        <v>3.1575468661117858</v>
      </c>
    </row>
    <row r="5774" spans="27:30" x14ac:dyDescent="0.3">
      <c r="AA5774" s="37">
        <v>5754</v>
      </c>
      <c r="AB5774" s="37">
        <v>1.7897698080741049</v>
      </c>
      <c r="AC5774" s="37">
        <v>2.8467861008232589</v>
      </c>
      <c r="AD5774" s="37">
        <v>3.2371283618069273</v>
      </c>
    </row>
    <row r="5775" spans="27:30" x14ac:dyDescent="0.3">
      <c r="AA5775" s="37">
        <v>5755</v>
      </c>
      <c r="AB5775" s="37">
        <v>1.7490897612709302</v>
      </c>
      <c r="AC5775" s="37">
        <v>2.9297074795786369</v>
      </c>
      <c r="AD5775" s="37">
        <v>3.2782526816299633</v>
      </c>
    </row>
    <row r="5776" spans="27:30" x14ac:dyDescent="0.3">
      <c r="AA5776" s="37">
        <v>5756</v>
      </c>
      <c r="AB5776" s="37">
        <v>1.8530189961328443</v>
      </c>
      <c r="AC5776" s="37">
        <v>2.8646029705031695</v>
      </c>
      <c r="AD5776" s="37">
        <v>3.3194654431038497</v>
      </c>
    </row>
    <row r="5777" spans="27:30" x14ac:dyDescent="0.3">
      <c r="AA5777" s="37">
        <v>5757</v>
      </c>
      <c r="AB5777" s="37">
        <v>1.8448892925240881</v>
      </c>
      <c r="AC5777" s="37">
        <v>2.7909383946674735</v>
      </c>
      <c r="AD5777" s="37">
        <v>3.3861356619549845</v>
      </c>
    </row>
    <row r="5778" spans="27:30" x14ac:dyDescent="0.3">
      <c r="AA5778" s="37">
        <v>5758</v>
      </c>
      <c r="AB5778" s="37">
        <v>1.8367393556744811</v>
      </c>
      <c r="AC5778" s="37">
        <v>2.9210650961701061</v>
      </c>
      <c r="AD5778" s="37">
        <v>3.3686860856184104</v>
      </c>
    </row>
    <row r="5779" spans="27:30" x14ac:dyDescent="0.3">
      <c r="AA5779" s="37">
        <v>5759</v>
      </c>
      <c r="AB5779" s="37">
        <v>1.7951467456856427</v>
      </c>
      <c r="AC5779" s="37">
        <v>2.6801315054988697</v>
      </c>
      <c r="AD5779" s="37">
        <v>3.2869767029495782</v>
      </c>
    </row>
    <row r="5780" spans="27:30" x14ac:dyDescent="0.3">
      <c r="AA5780" s="37">
        <v>5760</v>
      </c>
      <c r="AB5780" s="37">
        <v>1.7615239346074381</v>
      </c>
      <c r="AC5780" s="37">
        <v>2.9041467197404582</v>
      </c>
      <c r="AD5780" s="37">
        <v>3.3396352873180781</v>
      </c>
    </row>
    <row r="5781" spans="27:30" x14ac:dyDescent="0.3">
      <c r="AA5781" s="37">
        <v>5761</v>
      </c>
      <c r="AB5781" s="37">
        <v>1.8522966782977401</v>
      </c>
      <c r="AC5781" s="37">
        <v>2.9860322328995679</v>
      </c>
      <c r="AD5781" s="37">
        <v>3.3136382879393853</v>
      </c>
    </row>
    <row r="5782" spans="27:30" x14ac:dyDescent="0.3">
      <c r="AA5782" s="37">
        <v>5762</v>
      </c>
      <c r="AB5782" s="37">
        <v>1.8037599392756702</v>
      </c>
      <c r="AC5782" s="37">
        <v>2.8595521682489475</v>
      </c>
      <c r="AD5782" s="37">
        <v>3.4044036558678004</v>
      </c>
    </row>
    <row r="5783" spans="27:30" x14ac:dyDescent="0.3">
      <c r="AA5783" s="37">
        <v>5763</v>
      </c>
      <c r="AB5783" s="37">
        <v>1.8595017660980797</v>
      </c>
      <c r="AC5783" s="37">
        <v>2.8427015959917639</v>
      </c>
      <c r="AD5783" s="37">
        <v>3.5560325197593992</v>
      </c>
    </row>
    <row r="5784" spans="27:30" x14ac:dyDescent="0.3">
      <c r="AA5784" s="37">
        <v>5764</v>
      </c>
      <c r="AB5784" s="37">
        <v>1.8256376841906627</v>
      </c>
      <c r="AC5784" s="37">
        <v>2.700028722264332</v>
      </c>
      <c r="AD5784" s="37">
        <v>3.4028974587889316</v>
      </c>
    </row>
    <row r="5785" spans="27:30" x14ac:dyDescent="0.3">
      <c r="AA5785" s="37">
        <v>5765</v>
      </c>
      <c r="AB5785" s="37">
        <v>1.8513570296826614</v>
      </c>
      <c r="AC5785" s="37">
        <v>2.802629797568442</v>
      </c>
      <c r="AD5785" s="37">
        <v>3.4187456979857966</v>
      </c>
    </row>
    <row r="5786" spans="27:30" x14ac:dyDescent="0.3">
      <c r="AA5786" s="37">
        <v>5766</v>
      </c>
      <c r="AB5786" s="37">
        <v>1.7683668850098511</v>
      </c>
      <c r="AC5786" s="37">
        <v>2.9072969442931078</v>
      </c>
      <c r="AD5786" s="37">
        <v>3.341603831854278</v>
      </c>
    </row>
    <row r="5787" spans="27:30" x14ac:dyDescent="0.3">
      <c r="AA5787" s="37">
        <v>5767</v>
      </c>
      <c r="AB5787" s="37">
        <v>1.8843276464008247</v>
      </c>
      <c r="AC5787" s="37">
        <v>2.7588079477786303</v>
      </c>
      <c r="AD5787" s="37">
        <v>3.5463575351028278</v>
      </c>
    </row>
    <row r="5788" spans="27:30" x14ac:dyDescent="0.3">
      <c r="AA5788" s="37">
        <v>5768</v>
      </c>
      <c r="AB5788" s="37">
        <v>1.8190146951731394</v>
      </c>
      <c r="AC5788" s="37">
        <v>2.7601407689474184</v>
      </c>
      <c r="AD5788" s="37">
        <v>3.4195233998605152</v>
      </c>
    </row>
    <row r="5789" spans="27:30" x14ac:dyDescent="0.3">
      <c r="AA5789" s="37">
        <v>5769</v>
      </c>
      <c r="AB5789" s="37">
        <v>1.6769293694470326</v>
      </c>
      <c r="AC5789" s="37">
        <v>2.7809420837841969</v>
      </c>
      <c r="AD5789" s="37">
        <v>3.4008920731124022</v>
      </c>
    </row>
    <row r="5790" spans="27:30" x14ac:dyDescent="0.3">
      <c r="AA5790" s="37">
        <v>5770</v>
      </c>
      <c r="AB5790" s="37">
        <v>1.7326126906835899</v>
      </c>
      <c r="AC5790" s="37">
        <v>3.0752201626166635</v>
      </c>
      <c r="AD5790" s="37">
        <v>3.2589097939871028</v>
      </c>
    </row>
    <row r="5791" spans="27:30" x14ac:dyDescent="0.3">
      <c r="AA5791" s="37">
        <v>5771</v>
      </c>
      <c r="AB5791" s="37">
        <v>1.8308952585029037</v>
      </c>
      <c r="AC5791" s="37">
        <v>2.8814449367250843</v>
      </c>
      <c r="AD5791" s="37">
        <v>3.3422862881822919</v>
      </c>
    </row>
    <row r="5792" spans="27:30" x14ac:dyDescent="0.3">
      <c r="AA5792" s="37">
        <v>5772</v>
      </c>
      <c r="AB5792" s="37">
        <v>1.8074598531171033</v>
      </c>
      <c r="AC5792" s="37">
        <v>2.915206732818147</v>
      </c>
      <c r="AD5792" s="37">
        <v>3.2893036185189333</v>
      </c>
    </row>
    <row r="5793" spans="27:30" x14ac:dyDescent="0.3">
      <c r="AA5793" s="37">
        <v>5773</v>
      </c>
      <c r="AB5793" s="37">
        <v>1.6221219382298662</v>
      </c>
      <c r="AC5793" s="37">
        <v>2.98977033968377</v>
      </c>
      <c r="AD5793" s="37">
        <v>3.296321954608517</v>
      </c>
    </row>
    <row r="5794" spans="27:30" x14ac:dyDescent="0.3">
      <c r="AA5794" s="37">
        <v>5774</v>
      </c>
      <c r="AB5794" s="37">
        <v>1.8583805939863474</v>
      </c>
      <c r="AC5794" s="37">
        <v>2.9166161184816186</v>
      </c>
      <c r="AD5794" s="37">
        <v>3.4061154909736815</v>
      </c>
    </row>
    <row r="5795" spans="27:30" x14ac:dyDescent="0.3">
      <c r="AA5795" s="37">
        <v>5775</v>
      </c>
      <c r="AB5795" s="37">
        <v>1.7934788060092706</v>
      </c>
      <c r="AC5795" s="37">
        <v>2.7416176910882193</v>
      </c>
      <c r="AD5795" s="37">
        <v>3.1727627863910413</v>
      </c>
    </row>
    <row r="5796" spans="27:30" x14ac:dyDescent="0.3">
      <c r="AA5796" s="37">
        <v>5776</v>
      </c>
      <c r="AB5796" s="37">
        <v>1.7039912851427799</v>
      </c>
      <c r="AC5796" s="37">
        <v>2.8434101871418265</v>
      </c>
      <c r="AD5796" s="37">
        <v>3.377746789226677</v>
      </c>
    </row>
    <row r="5797" spans="27:30" x14ac:dyDescent="0.3">
      <c r="AA5797" s="37">
        <v>5777</v>
      </c>
      <c r="AB5797" s="37">
        <v>1.7235686068141429</v>
      </c>
      <c r="AC5797" s="37">
        <v>2.9210868510176566</v>
      </c>
      <c r="AD5797" s="37">
        <v>3.231960391069749</v>
      </c>
    </row>
    <row r="5798" spans="27:30" x14ac:dyDescent="0.3">
      <c r="AA5798" s="37">
        <v>5778</v>
      </c>
      <c r="AB5798" s="37">
        <v>1.8219069538647343</v>
      </c>
      <c r="AC5798" s="37">
        <v>2.8161038744171871</v>
      </c>
      <c r="AD5798" s="37">
        <v>3.4113255013007642</v>
      </c>
    </row>
    <row r="5799" spans="27:30" x14ac:dyDescent="0.3">
      <c r="AA5799" s="37">
        <v>5779</v>
      </c>
      <c r="AB5799" s="37">
        <v>1.7908275607315893</v>
      </c>
      <c r="AC5799" s="37">
        <v>2.7004270482753143</v>
      </c>
      <c r="AD5799" s="37">
        <v>3.4513629590662456</v>
      </c>
    </row>
    <row r="5800" spans="27:30" x14ac:dyDescent="0.3">
      <c r="AA5800" s="37">
        <v>5780</v>
      </c>
      <c r="AB5800" s="37">
        <v>1.7523987493013617</v>
      </c>
      <c r="AC5800" s="37">
        <v>2.9770304469907436</v>
      </c>
      <c r="AD5800" s="37">
        <v>3.3552140199628782</v>
      </c>
    </row>
    <row r="5801" spans="27:30" x14ac:dyDescent="0.3">
      <c r="AA5801" s="37">
        <v>5781</v>
      </c>
      <c r="AB5801" s="37">
        <v>1.7961340867712243</v>
      </c>
      <c r="AC5801" s="37">
        <v>2.8472666739969426</v>
      </c>
      <c r="AD5801" s="37">
        <v>3.1565808296044517</v>
      </c>
    </row>
    <row r="5802" spans="27:30" x14ac:dyDescent="0.3">
      <c r="AA5802" s="37">
        <v>5782</v>
      </c>
      <c r="AB5802" s="37">
        <v>1.7656146362053471</v>
      </c>
      <c r="AC5802" s="37">
        <v>2.6411119267142946</v>
      </c>
      <c r="AD5802" s="37">
        <v>3.3335376375512413</v>
      </c>
    </row>
    <row r="5803" spans="27:30" x14ac:dyDescent="0.3">
      <c r="AA5803" s="37">
        <v>5783</v>
      </c>
      <c r="AB5803" s="37">
        <v>1.7841763367474057</v>
      </c>
      <c r="AC5803" s="37">
        <v>2.9137468027626419</v>
      </c>
      <c r="AD5803" s="37">
        <v>3.4346826361278255</v>
      </c>
    </row>
    <row r="5804" spans="27:30" x14ac:dyDescent="0.3">
      <c r="AA5804" s="37">
        <v>5784</v>
      </c>
      <c r="AB5804" s="37">
        <v>1.9130563400879055</v>
      </c>
      <c r="AC5804" s="37">
        <v>2.7264625055767575</v>
      </c>
      <c r="AD5804" s="37">
        <v>3.3262225273569355</v>
      </c>
    </row>
    <row r="5805" spans="27:30" x14ac:dyDescent="0.3">
      <c r="AA5805" s="37">
        <v>5785</v>
      </c>
      <c r="AB5805" s="37">
        <v>1.697013960557473</v>
      </c>
      <c r="AC5805" s="37">
        <v>2.9332361910069782</v>
      </c>
      <c r="AD5805" s="37">
        <v>3.3516059701971037</v>
      </c>
    </row>
    <row r="5806" spans="27:30" x14ac:dyDescent="0.3">
      <c r="AA5806" s="37">
        <v>5786</v>
      </c>
      <c r="AB5806" s="37">
        <v>1.7943377122038846</v>
      </c>
      <c r="AC5806" s="37">
        <v>3.0334060584107014</v>
      </c>
      <c r="AD5806" s="37">
        <v>3.3445964125651217</v>
      </c>
    </row>
    <row r="5807" spans="27:30" x14ac:dyDescent="0.3">
      <c r="AA5807" s="37">
        <v>5787</v>
      </c>
      <c r="AB5807" s="37">
        <v>1.7755547703705068</v>
      </c>
      <c r="AC5807" s="37">
        <v>2.8054482818333617</v>
      </c>
      <c r="AD5807" s="37">
        <v>3.397908432576247</v>
      </c>
    </row>
    <row r="5808" spans="27:30" x14ac:dyDescent="0.3">
      <c r="AA5808" s="37">
        <v>5788</v>
      </c>
      <c r="AB5808" s="37">
        <v>1.7629709581107127</v>
      </c>
      <c r="AC5808" s="37">
        <v>2.8314077279095864</v>
      </c>
      <c r="AD5808" s="37">
        <v>3.409819433562411</v>
      </c>
    </row>
    <row r="5809" spans="27:30" x14ac:dyDescent="0.3">
      <c r="AA5809" s="37">
        <v>5789</v>
      </c>
      <c r="AB5809" s="37">
        <v>1.7725396593695733</v>
      </c>
      <c r="AC5809" s="37">
        <v>2.7093064625339167</v>
      </c>
      <c r="AD5809" s="37">
        <v>3.337301821753857</v>
      </c>
    </row>
    <row r="5810" spans="27:30" x14ac:dyDescent="0.3">
      <c r="AA5810" s="37">
        <v>5790</v>
      </c>
      <c r="AB5810" s="37">
        <v>1.790388306961352</v>
      </c>
      <c r="AC5810" s="37">
        <v>2.9847024026605555</v>
      </c>
      <c r="AD5810" s="37">
        <v>3.2272484671964419</v>
      </c>
    </row>
    <row r="5811" spans="27:30" x14ac:dyDescent="0.3">
      <c r="AA5811" s="37">
        <v>5791</v>
      </c>
      <c r="AB5811" s="37">
        <v>1.7143070072202378</v>
      </c>
      <c r="AC5811" s="37">
        <v>2.7328776245750066</v>
      </c>
      <c r="AD5811" s="37">
        <v>3.478943706553673</v>
      </c>
    </row>
    <row r="5812" spans="27:30" x14ac:dyDescent="0.3">
      <c r="AA5812" s="37">
        <v>5792</v>
      </c>
      <c r="AB5812" s="37">
        <v>1.9041899863586251</v>
      </c>
      <c r="AC5812" s="37">
        <v>2.7340082970285833</v>
      </c>
      <c r="AD5812" s="37">
        <v>3.1436222165615515</v>
      </c>
    </row>
    <row r="5813" spans="27:30" x14ac:dyDescent="0.3">
      <c r="AA5813" s="37">
        <v>5793</v>
      </c>
      <c r="AB5813" s="37">
        <v>1.8370657751699795</v>
      </c>
      <c r="AC5813" s="37">
        <v>2.9500540435951037</v>
      </c>
      <c r="AD5813" s="37">
        <v>3.0687897621976532</v>
      </c>
    </row>
    <row r="5814" spans="27:30" x14ac:dyDescent="0.3">
      <c r="AA5814" s="37">
        <v>5794</v>
      </c>
      <c r="AB5814" s="37">
        <v>1.848225722573954</v>
      </c>
      <c r="AC5814" s="37">
        <v>2.7696493747434716</v>
      </c>
      <c r="AD5814" s="37">
        <v>3.2020336299150971</v>
      </c>
    </row>
    <row r="5815" spans="27:30" x14ac:dyDescent="0.3">
      <c r="AA5815" s="37">
        <v>5795</v>
      </c>
      <c r="AB5815" s="37">
        <v>1.7821468548594259</v>
      </c>
      <c r="AC5815" s="37">
        <v>2.9511976517227008</v>
      </c>
      <c r="AD5815" s="37">
        <v>3.2194385436383759</v>
      </c>
    </row>
    <row r="5816" spans="27:30" x14ac:dyDescent="0.3">
      <c r="AA5816" s="37">
        <v>5796</v>
      </c>
      <c r="AB5816" s="37">
        <v>1.7718690367000467</v>
      </c>
      <c r="AC5816" s="37">
        <v>2.9305741245004708</v>
      </c>
      <c r="AD5816" s="37">
        <v>3.5381494226169736</v>
      </c>
    </row>
    <row r="5817" spans="27:30" x14ac:dyDescent="0.3">
      <c r="AA5817" s="37">
        <v>5797</v>
      </c>
      <c r="AB5817" s="37">
        <v>1.7639667922319284</v>
      </c>
      <c r="AC5817" s="37">
        <v>2.8177677083406842</v>
      </c>
      <c r="AD5817" s="37">
        <v>3.3648458886685035</v>
      </c>
    </row>
    <row r="5818" spans="27:30" x14ac:dyDescent="0.3">
      <c r="AA5818" s="37">
        <v>5798</v>
      </c>
      <c r="AB5818" s="37">
        <v>1.8267162551821627</v>
      </c>
      <c r="AC5818" s="37">
        <v>2.7428860384342681</v>
      </c>
      <c r="AD5818" s="37">
        <v>3.4500839119733935</v>
      </c>
    </row>
    <row r="5819" spans="27:30" x14ac:dyDescent="0.3">
      <c r="AA5819" s="37">
        <v>5799</v>
      </c>
      <c r="AB5819" s="37">
        <v>1.9019694066362816</v>
      </c>
      <c r="AC5819" s="37">
        <v>2.7484292800919277</v>
      </c>
      <c r="AD5819" s="37">
        <v>3.5327847560543404</v>
      </c>
    </row>
    <row r="5820" spans="27:30" x14ac:dyDescent="0.3">
      <c r="AA5820" s="37">
        <v>5800</v>
      </c>
      <c r="AB5820" s="37">
        <v>1.6555680357190266</v>
      </c>
      <c r="AC5820" s="37">
        <v>2.7654119727427355</v>
      </c>
      <c r="AD5820" s="37">
        <v>3.2790437999918072</v>
      </c>
    </row>
    <row r="5821" spans="27:30" x14ac:dyDescent="0.3">
      <c r="AA5821" s="37">
        <v>5801</v>
      </c>
      <c r="AB5821" s="37">
        <v>1.8192475366547973</v>
      </c>
      <c r="AC5821" s="37">
        <v>2.7572036306561891</v>
      </c>
      <c r="AD5821" s="37">
        <v>3.2095533946122918</v>
      </c>
    </row>
    <row r="5822" spans="27:30" x14ac:dyDescent="0.3">
      <c r="AA5822" s="37">
        <v>5802</v>
      </c>
      <c r="AB5822" s="37">
        <v>1.7778592761148451</v>
      </c>
      <c r="AC5822" s="37">
        <v>2.7294560153724605</v>
      </c>
      <c r="AD5822" s="37">
        <v>3.5563138155389229</v>
      </c>
    </row>
    <row r="5823" spans="27:30" x14ac:dyDescent="0.3">
      <c r="AA5823" s="37">
        <v>5803</v>
      </c>
      <c r="AB5823" s="37">
        <v>1.6912808589526753</v>
      </c>
      <c r="AC5823" s="37">
        <v>2.7557560214529486</v>
      </c>
      <c r="AD5823" s="37">
        <v>3.3727491590147083</v>
      </c>
    </row>
    <row r="5824" spans="27:30" x14ac:dyDescent="0.3">
      <c r="AA5824" s="37">
        <v>5804</v>
      </c>
      <c r="AB5824" s="37">
        <v>1.9151234058683788</v>
      </c>
      <c r="AC5824" s="37">
        <v>2.8387983308294107</v>
      </c>
      <c r="AD5824" s="37">
        <v>3.4375507362330797</v>
      </c>
    </row>
    <row r="5825" spans="27:30" x14ac:dyDescent="0.3">
      <c r="AA5825" s="37">
        <v>5805</v>
      </c>
      <c r="AB5825" s="37">
        <v>1.9319341440731583</v>
      </c>
      <c r="AC5825" s="37">
        <v>3.0650449192406617</v>
      </c>
      <c r="AD5825" s="37">
        <v>3.2954880137800391</v>
      </c>
    </row>
    <row r="5826" spans="27:30" x14ac:dyDescent="0.3">
      <c r="AA5826" s="37">
        <v>5806</v>
      </c>
      <c r="AB5826" s="37">
        <v>1.7371226524405132</v>
      </c>
      <c r="AC5826" s="37">
        <v>2.8208513197280762</v>
      </c>
      <c r="AD5826" s="37">
        <v>3.3502324576864777</v>
      </c>
    </row>
    <row r="5827" spans="27:30" x14ac:dyDescent="0.3">
      <c r="AA5827" s="37">
        <v>5807</v>
      </c>
      <c r="AB5827" s="37">
        <v>1.8352876795545545</v>
      </c>
      <c r="AC5827" s="37">
        <v>2.9016654969188229</v>
      </c>
      <c r="AD5827" s="37">
        <v>3.6410300122082817</v>
      </c>
    </row>
    <row r="5828" spans="27:30" x14ac:dyDescent="0.3">
      <c r="AA5828" s="37">
        <v>5808</v>
      </c>
      <c r="AB5828" s="37">
        <v>1.8002463805833817</v>
      </c>
      <c r="AC5828" s="37">
        <v>2.8093316718481032</v>
      </c>
      <c r="AD5828" s="37">
        <v>3.4798195108412995</v>
      </c>
    </row>
    <row r="5829" spans="27:30" x14ac:dyDescent="0.3">
      <c r="AA5829" s="37">
        <v>5809</v>
      </c>
      <c r="AB5829" s="37">
        <v>1.8086339638436941</v>
      </c>
      <c r="AC5829" s="37">
        <v>2.9741224233731001</v>
      </c>
      <c r="AD5829" s="37">
        <v>3.265695939664127</v>
      </c>
    </row>
    <row r="5830" spans="27:30" x14ac:dyDescent="0.3">
      <c r="AA5830" s="37">
        <v>5810</v>
      </c>
      <c r="AB5830" s="37">
        <v>1.7514090299444411</v>
      </c>
      <c r="AC5830" s="37">
        <v>2.8206223839042361</v>
      </c>
      <c r="AD5830" s="37">
        <v>3.4133238754902702</v>
      </c>
    </row>
    <row r="5831" spans="27:30" x14ac:dyDescent="0.3">
      <c r="AA5831" s="37">
        <v>5811</v>
      </c>
      <c r="AB5831" s="37">
        <v>1.7313756594960947</v>
      </c>
      <c r="AC5831" s="37">
        <v>3.0147466001729919</v>
      </c>
      <c r="AD5831" s="37">
        <v>3.2489124429878826</v>
      </c>
    </row>
    <row r="5832" spans="27:30" x14ac:dyDescent="0.3">
      <c r="AA5832" s="37">
        <v>5812</v>
      </c>
      <c r="AB5832" s="37">
        <v>1.8252747821719963</v>
      </c>
      <c r="AC5832" s="37">
        <v>2.7695088238426462</v>
      </c>
      <c r="AD5832" s="37">
        <v>3.4140308362888194</v>
      </c>
    </row>
    <row r="5833" spans="27:30" x14ac:dyDescent="0.3">
      <c r="AA5833" s="37">
        <v>5813</v>
      </c>
      <c r="AB5833" s="37">
        <v>1.9713041524748087</v>
      </c>
      <c r="AC5833" s="37">
        <v>2.6961368311526832</v>
      </c>
      <c r="AD5833" s="37">
        <v>3.4137919409095754</v>
      </c>
    </row>
    <row r="5834" spans="27:30" x14ac:dyDescent="0.3">
      <c r="AA5834" s="37">
        <v>5814</v>
      </c>
      <c r="AB5834" s="37">
        <v>1.7490972737242012</v>
      </c>
      <c r="AC5834" s="37">
        <v>2.7287110383992261</v>
      </c>
      <c r="AD5834" s="37">
        <v>3.3629252070825792</v>
      </c>
    </row>
    <row r="5835" spans="27:30" x14ac:dyDescent="0.3">
      <c r="AA5835" s="37">
        <v>5815</v>
      </c>
      <c r="AB5835" s="37">
        <v>1.7843332702059129</v>
      </c>
      <c r="AC5835" s="37">
        <v>2.8365080665430584</v>
      </c>
      <c r="AD5835" s="37">
        <v>3.4687407063442257</v>
      </c>
    </row>
    <row r="5836" spans="27:30" x14ac:dyDescent="0.3">
      <c r="AA5836" s="37">
        <v>5816</v>
      </c>
      <c r="AB5836" s="37">
        <v>1.6685525490147086</v>
      </c>
      <c r="AC5836" s="37">
        <v>2.8247283186940044</v>
      </c>
      <c r="AD5836" s="37">
        <v>3.5229970288527692</v>
      </c>
    </row>
    <row r="5837" spans="27:30" x14ac:dyDescent="0.3">
      <c r="AA5837" s="37">
        <v>5817</v>
      </c>
      <c r="AB5837" s="37">
        <v>1.6735393766829834</v>
      </c>
      <c r="AC5837" s="37">
        <v>2.8572739535248926</v>
      </c>
      <c r="AD5837" s="37">
        <v>3.4103471845674975</v>
      </c>
    </row>
    <row r="5838" spans="27:30" x14ac:dyDescent="0.3">
      <c r="AA5838" s="37">
        <v>5818</v>
      </c>
      <c r="AB5838" s="37">
        <v>1.6795044056733848</v>
      </c>
      <c r="AC5838" s="37">
        <v>2.8950904269664051</v>
      </c>
      <c r="AD5838" s="37">
        <v>3.4189899656449532</v>
      </c>
    </row>
    <row r="5839" spans="27:30" x14ac:dyDescent="0.3">
      <c r="AA5839" s="37">
        <v>5819</v>
      </c>
      <c r="AB5839" s="37">
        <v>1.7365673046953423</v>
      </c>
      <c r="AC5839" s="37">
        <v>2.7158096384679182</v>
      </c>
      <c r="AD5839" s="37">
        <v>3.2553562420054631</v>
      </c>
    </row>
    <row r="5840" spans="27:30" x14ac:dyDescent="0.3">
      <c r="AA5840" s="37">
        <v>5820</v>
      </c>
      <c r="AB5840" s="37">
        <v>1.7834156062280313</v>
      </c>
      <c r="AC5840" s="37">
        <v>2.9649648908427224</v>
      </c>
      <c r="AD5840" s="37">
        <v>3.2836902636499294</v>
      </c>
    </row>
    <row r="5841" spans="27:30" x14ac:dyDescent="0.3">
      <c r="AA5841" s="37">
        <v>5821</v>
      </c>
      <c r="AB5841" s="37">
        <v>1.7163619048080638</v>
      </c>
      <c r="AC5841" s="37">
        <v>2.9661017999397825</v>
      </c>
      <c r="AD5841" s="37">
        <v>3.522817148457988</v>
      </c>
    </row>
    <row r="5842" spans="27:30" x14ac:dyDescent="0.3">
      <c r="AA5842" s="37">
        <v>5822</v>
      </c>
      <c r="AB5842" s="37">
        <v>1.6431483016529209</v>
      </c>
      <c r="AC5842" s="37">
        <v>2.7907215514241668</v>
      </c>
      <c r="AD5842" s="37">
        <v>3.3741704939417789</v>
      </c>
    </row>
    <row r="5843" spans="27:30" x14ac:dyDescent="0.3">
      <c r="AA5843" s="37">
        <v>5823</v>
      </c>
      <c r="AB5843" s="37">
        <v>1.8220335314138461</v>
      </c>
      <c r="AC5843" s="37">
        <v>3.0342535329357467</v>
      </c>
      <c r="AD5843" s="37">
        <v>3.1186594146805127</v>
      </c>
    </row>
    <row r="5844" spans="27:30" x14ac:dyDescent="0.3">
      <c r="AA5844" s="37">
        <v>5824</v>
      </c>
      <c r="AB5844" s="37">
        <v>1.8056127866473752</v>
      </c>
      <c r="AC5844" s="37">
        <v>2.8859690920874903</v>
      </c>
      <c r="AD5844" s="37">
        <v>3.313055376450273</v>
      </c>
    </row>
    <row r="5845" spans="27:30" x14ac:dyDescent="0.3">
      <c r="AA5845" s="37">
        <v>5825</v>
      </c>
      <c r="AB5845" s="37">
        <v>1.7984985816239052</v>
      </c>
      <c r="AC5845" s="37">
        <v>2.923811796505484</v>
      </c>
      <c r="AD5845" s="37">
        <v>3.1797357229518792</v>
      </c>
    </row>
    <row r="5846" spans="27:30" x14ac:dyDescent="0.3">
      <c r="AA5846" s="37">
        <v>5826</v>
      </c>
      <c r="AB5846" s="37">
        <v>1.7987547590218675</v>
      </c>
      <c r="AC5846" s="37">
        <v>2.9113574749905617</v>
      </c>
      <c r="AD5846" s="37">
        <v>3.0726427638881786</v>
      </c>
    </row>
    <row r="5847" spans="27:30" x14ac:dyDescent="0.3">
      <c r="AA5847" s="37">
        <v>5827</v>
      </c>
      <c r="AB5847" s="37">
        <v>1.8781677275177409</v>
      </c>
      <c r="AC5847" s="37">
        <v>2.8623045044426161</v>
      </c>
      <c r="AD5847" s="37">
        <v>3.1788038682342497</v>
      </c>
    </row>
    <row r="5848" spans="27:30" x14ac:dyDescent="0.3">
      <c r="AA5848" s="37">
        <v>5828</v>
      </c>
      <c r="AB5848" s="37">
        <v>1.8870177942491608</v>
      </c>
      <c r="AC5848" s="37">
        <v>2.777786306756556</v>
      </c>
      <c r="AD5848" s="37">
        <v>3.3917000594920621</v>
      </c>
    </row>
    <row r="5849" spans="27:30" x14ac:dyDescent="0.3">
      <c r="AA5849" s="37">
        <v>5829</v>
      </c>
      <c r="AB5849" s="37">
        <v>1.7622805556054233</v>
      </c>
      <c r="AC5849" s="37">
        <v>2.7473669408141581</v>
      </c>
      <c r="AD5849" s="37">
        <v>3.4765307357875921</v>
      </c>
    </row>
    <row r="5850" spans="27:30" x14ac:dyDescent="0.3">
      <c r="AA5850" s="37">
        <v>5830</v>
      </c>
      <c r="AB5850" s="37">
        <v>1.8577054285411596</v>
      </c>
      <c r="AC5850" s="37">
        <v>2.6873330743201302</v>
      </c>
      <c r="AD5850" s="37">
        <v>3.2819004395046272</v>
      </c>
    </row>
    <row r="5851" spans="27:30" x14ac:dyDescent="0.3">
      <c r="AA5851" s="37">
        <v>5831</v>
      </c>
      <c r="AB5851" s="37">
        <v>1.6865855148576612</v>
      </c>
      <c r="AC5851" s="37">
        <v>2.9548402635181898</v>
      </c>
      <c r="AD5851" s="37">
        <v>3.3613132939982635</v>
      </c>
    </row>
    <row r="5852" spans="27:30" x14ac:dyDescent="0.3">
      <c r="AA5852" s="37">
        <v>5832</v>
      </c>
      <c r="AB5852" s="37">
        <v>1.7173820381201195</v>
      </c>
      <c r="AC5852" s="37">
        <v>2.8943790684799207</v>
      </c>
      <c r="AD5852" s="37">
        <v>3.38114320788325</v>
      </c>
    </row>
    <row r="5853" spans="27:30" x14ac:dyDescent="0.3">
      <c r="AA5853" s="37">
        <v>5833</v>
      </c>
      <c r="AB5853" s="37">
        <v>1.9627987946786403</v>
      </c>
      <c r="AC5853" s="37">
        <v>2.9633213356810155</v>
      </c>
      <c r="AD5853" s="37">
        <v>3.2779163617635119</v>
      </c>
    </row>
    <row r="5854" spans="27:30" x14ac:dyDescent="0.3">
      <c r="AA5854" s="37">
        <v>5834</v>
      </c>
      <c r="AB5854" s="37">
        <v>1.7514350481131555</v>
      </c>
      <c r="AC5854" s="37">
        <v>2.7662944284238762</v>
      </c>
      <c r="AD5854" s="37">
        <v>3.2727527057505763</v>
      </c>
    </row>
    <row r="5855" spans="27:30" x14ac:dyDescent="0.3">
      <c r="AA5855" s="37">
        <v>5835</v>
      </c>
      <c r="AB5855" s="37">
        <v>1.7719660535732527</v>
      </c>
      <c r="AC5855" s="37">
        <v>2.7522042746129922</v>
      </c>
      <c r="AD5855" s="37">
        <v>3.183785015666174</v>
      </c>
    </row>
    <row r="5856" spans="27:30" x14ac:dyDescent="0.3">
      <c r="AA5856" s="37">
        <v>5836</v>
      </c>
      <c r="AB5856" s="37">
        <v>1.8055861921035357</v>
      </c>
      <c r="AC5856" s="37">
        <v>2.9822906483337759</v>
      </c>
      <c r="AD5856" s="37">
        <v>3.3758083519111377</v>
      </c>
    </row>
    <row r="5857" spans="27:30" x14ac:dyDescent="0.3">
      <c r="AA5857" s="37">
        <v>5837</v>
      </c>
      <c r="AB5857" s="37">
        <v>1.7982586232407185</v>
      </c>
      <c r="AC5857" s="37">
        <v>2.7981494391435526</v>
      </c>
      <c r="AD5857" s="37">
        <v>3.4582069233069643</v>
      </c>
    </row>
    <row r="5858" spans="27:30" x14ac:dyDescent="0.3">
      <c r="AA5858" s="37">
        <v>5838</v>
      </c>
      <c r="AB5858" s="37">
        <v>1.6760930225709696</v>
      </c>
      <c r="AC5858" s="37">
        <v>2.6533419233488398</v>
      </c>
      <c r="AD5858" s="37">
        <v>3.5220945383250482</v>
      </c>
    </row>
    <row r="5859" spans="27:30" x14ac:dyDescent="0.3">
      <c r="AA5859" s="37">
        <v>5839</v>
      </c>
      <c r="AB5859" s="37">
        <v>1.8591280313480527</v>
      </c>
      <c r="AC5859" s="37">
        <v>2.8089667911554752</v>
      </c>
      <c r="AD5859" s="37">
        <v>3.2240987093818778</v>
      </c>
    </row>
    <row r="5860" spans="27:30" x14ac:dyDescent="0.3">
      <c r="AA5860" s="37">
        <v>5840</v>
      </c>
      <c r="AB5860" s="37">
        <v>1.7531317087662686</v>
      </c>
      <c r="AC5860" s="37">
        <v>2.9260894729865949</v>
      </c>
      <c r="AD5860" s="37">
        <v>3.4944160555891361</v>
      </c>
    </row>
    <row r="5861" spans="27:30" x14ac:dyDescent="0.3">
      <c r="AA5861" s="37">
        <v>5841</v>
      </c>
      <c r="AB5861" s="37">
        <v>1.8816209006577194</v>
      </c>
      <c r="AC5861" s="37">
        <v>2.6413792923152699</v>
      </c>
      <c r="AD5861" s="37">
        <v>3.30183286286195</v>
      </c>
    </row>
    <row r="5862" spans="27:30" x14ac:dyDescent="0.3">
      <c r="AA5862" s="37">
        <v>5842</v>
      </c>
      <c r="AB5862" s="37">
        <v>1.8246698047195236</v>
      </c>
      <c r="AC5862" s="37">
        <v>2.8929641562945645</v>
      </c>
      <c r="AD5862" s="37">
        <v>3.3636007637025584</v>
      </c>
    </row>
    <row r="5863" spans="27:30" x14ac:dyDescent="0.3">
      <c r="AA5863" s="37">
        <v>5843</v>
      </c>
      <c r="AB5863" s="37">
        <v>1.736516653716105</v>
      </c>
      <c r="AC5863" s="37">
        <v>2.7148078449491844</v>
      </c>
      <c r="AD5863" s="37">
        <v>3.1840714415605875</v>
      </c>
    </row>
    <row r="5864" spans="27:30" x14ac:dyDescent="0.3">
      <c r="AA5864" s="37">
        <v>5844</v>
      </c>
      <c r="AB5864" s="37">
        <v>1.723935920747157</v>
      </c>
      <c r="AC5864" s="37">
        <v>2.8126193043071153</v>
      </c>
      <c r="AD5864" s="37">
        <v>3.3831422358700336</v>
      </c>
    </row>
    <row r="5865" spans="27:30" x14ac:dyDescent="0.3">
      <c r="AA5865" s="37">
        <v>5845</v>
      </c>
      <c r="AB5865" s="37">
        <v>1.7515910768478504</v>
      </c>
      <c r="AC5865" s="37">
        <v>2.7806026119728733</v>
      </c>
      <c r="AD5865" s="37">
        <v>3.3279111884169281</v>
      </c>
    </row>
    <row r="5866" spans="27:30" x14ac:dyDescent="0.3">
      <c r="AA5866" s="37">
        <v>5846</v>
      </c>
      <c r="AB5866" s="37">
        <v>1.8201314829144912</v>
      </c>
      <c r="AC5866" s="37">
        <v>2.7979316059777615</v>
      </c>
      <c r="AD5866" s="37">
        <v>3.3082985462132317</v>
      </c>
    </row>
    <row r="5867" spans="27:30" x14ac:dyDescent="0.3">
      <c r="AA5867" s="37">
        <v>5847</v>
      </c>
      <c r="AB5867" s="37">
        <v>1.7584035718940403</v>
      </c>
      <c r="AC5867" s="37">
        <v>2.6028575175842388</v>
      </c>
      <c r="AD5867" s="37">
        <v>3.3394224969524871</v>
      </c>
    </row>
    <row r="5868" spans="27:30" x14ac:dyDescent="0.3">
      <c r="AA5868" s="37">
        <v>5848</v>
      </c>
      <c r="AB5868" s="37">
        <v>1.7889199798449409</v>
      </c>
      <c r="AC5868" s="37">
        <v>2.8366055080955688</v>
      </c>
      <c r="AD5868" s="37">
        <v>3.3135869253933361</v>
      </c>
    </row>
    <row r="5869" spans="27:30" x14ac:dyDescent="0.3">
      <c r="AA5869" s="37">
        <v>5849</v>
      </c>
      <c r="AB5869" s="37">
        <v>1.7009727302300444</v>
      </c>
      <c r="AC5869" s="37">
        <v>2.8842029588505018</v>
      </c>
      <c r="AD5869" s="37">
        <v>3.1170501472563465</v>
      </c>
    </row>
    <row r="5870" spans="27:30" x14ac:dyDescent="0.3">
      <c r="AA5870" s="37">
        <v>5850</v>
      </c>
      <c r="AB5870" s="37">
        <v>1.8329272215501831</v>
      </c>
      <c r="AC5870" s="37">
        <v>2.9025968992907276</v>
      </c>
      <c r="AD5870" s="37">
        <v>3.4690764987326075</v>
      </c>
    </row>
    <row r="5871" spans="27:30" x14ac:dyDescent="0.3">
      <c r="AA5871" s="37">
        <v>5851</v>
      </c>
      <c r="AB5871" s="37">
        <v>1.7014180313738525</v>
      </c>
      <c r="AC5871" s="37">
        <v>2.8277314311998332</v>
      </c>
      <c r="AD5871" s="37">
        <v>3.320646865954537</v>
      </c>
    </row>
    <row r="5872" spans="27:30" x14ac:dyDescent="0.3">
      <c r="AA5872" s="37">
        <v>5852</v>
      </c>
      <c r="AB5872" s="37">
        <v>1.822848258511202</v>
      </c>
      <c r="AC5872" s="37">
        <v>2.7679311755520684</v>
      </c>
      <c r="AD5872" s="37">
        <v>3.3162105360110696</v>
      </c>
    </row>
    <row r="5873" spans="27:30" x14ac:dyDescent="0.3">
      <c r="AA5873" s="37">
        <v>5853</v>
      </c>
      <c r="AB5873" s="37">
        <v>1.8161478217111415</v>
      </c>
      <c r="AC5873" s="37">
        <v>2.9298219305887709</v>
      </c>
      <c r="AD5873" s="37">
        <v>3.2795708675079709</v>
      </c>
    </row>
    <row r="5874" spans="27:30" x14ac:dyDescent="0.3">
      <c r="AA5874" s="37">
        <v>5854</v>
      </c>
      <c r="AB5874" s="37">
        <v>1.7613445869949904</v>
      </c>
      <c r="AC5874" s="37">
        <v>2.8971528319293443</v>
      </c>
      <c r="AD5874" s="37">
        <v>3.1247591301909807</v>
      </c>
    </row>
    <row r="5875" spans="27:30" x14ac:dyDescent="0.3">
      <c r="AA5875" s="37">
        <v>5855</v>
      </c>
      <c r="AB5875" s="37">
        <v>1.7972985778277608</v>
      </c>
      <c r="AC5875" s="37">
        <v>2.9113774254932379</v>
      </c>
      <c r="AD5875" s="37">
        <v>3.2145483366912582</v>
      </c>
    </row>
    <row r="5876" spans="27:30" x14ac:dyDescent="0.3">
      <c r="AA5876" s="37">
        <v>5856</v>
      </c>
      <c r="AB5876" s="37">
        <v>1.7706015145085749</v>
      </c>
      <c r="AC5876" s="37">
        <v>2.9803804960374838</v>
      </c>
      <c r="AD5876" s="37">
        <v>3.4684443622610459</v>
      </c>
    </row>
    <row r="5877" spans="27:30" x14ac:dyDescent="0.3">
      <c r="AA5877" s="37">
        <v>5857</v>
      </c>
      <c r="AB5877" s="37">
        <v>1.8360305068347178</v>
      </c>
      <c r="AC5877" s="37">
        <v>3.0600935858805438</v>
      </c>
      <c r="AD5877" s="37">
        <v>3.2520973953271177</v>
      </c>
    </row>
    <row r="5878" spans="27:30" x14ac:dyDescent="0.3">
      <c r="AA5878" s="37">
        <v>5858</v>
      </c>
      <c r="AB5878" s="37">
        <v>1.796252130425376</v>
      </c>
      <c r="AC5878" s="37">
        <v>2.8053791164370634</v>
      </c>
      <c r="AD5878" s="37">
        <v>3.5342979863973145</v>
      </c>
    </row>
    <row r="5879" spans="27:30" x14ac:dyDescent="0.3">
      <c r="AA5879" s="37">
        <v>5859</v>
      </c>
      <c r="AB5879" s="37">
        <v>1.7958456623701304</v>
      </c>
      <c r="AC5879" s="37">
        <v>2.6677472426920201</v>
      </c>
      <c r="AD5879" s="37">
        <v>3.4323347215184539</v>
      </c>
    </row>
    <row r="5880" spans="27:30" x14ac:dyDescent="0.3">
      <c r="AA5880" s="37">
        <v>5860</v>
      </c>
      <c r="AB5880" s="37">
        <v>1.7657009258687755</v>
      </c>
      <c r="AC5880" s="37">
        <v>2.8534146336176742</v>
      </c>
      <c r="AD5880" s="37">
        <v>3.2943649087132676</v>
      </c>
    </row>
    <row r="5881" spans="27:30" x14ac:dyDescent="0.3">
      <c r="AA5881" s="37">
        <v>5861</v>
      </c>
      <c r="AB5881" s="37">
        <v>1.8790349640482782</v>
      </c>
      <c r="AC5881" s="37">
        <v>2.8753544229741324</v>
      </c>
      <c r="AD5881" s="37">
        <v>3.5243592428634183</v>
      </c>
    </row>
    <row r="5882" spans="27:30" x14ac:dyDescent="0.3">
      <c r="AA5882" s="37">
        <v>5862</v>
      </c>
      <c r="AB5882" s="37">
        <v>1.7238050308512289</v>
      </c>
      <c r="AC5882" s="37">
        <v>2.9062532194312274</v>
      </c>
      <c r="AD5882" s="37">
        <v>3.560529681357929</v>
      </c>
    </row>
    <row r="5883" spans="27:30" x14ac:dyDescent="0.3">
      <c r="AA5883" s="37">
        <v>5863</v>
      </c>
      <c r="AB5883" s="37">
        <v>1.8895089576066948</v>
      </c>
      <c r="AC5883" s="37">
        <v>2.8252963303326815</v>
      </c>
      <c r="AD5883" s="37">
        <v>3.1550471166783853</v>
      </c>
    </row>
    <row r="5884" spans="27:30" x14ac:dyDescent="0.3">
      <c r="AA5884" s="37">
        <v>5864</v>
      </c>
      <c r="AB5884" s="37">
        <v>1.7600626842117952</v>
      </c>
      <c r="AC5884" s="37">
        <v>2.8911414913322266</v>
      </c>
      <c r="AD5884" s="37">
        <v>3.1437890618232487</v>
      </c>
    </row>
    <row r="5885" spans="27:30" x14ac:dyDescent="0.3">
      <c r="AA5885" s="37">
        <v>5865</v>
      </c>
      <c r="AB5885" s="37">
        <v>1.7863097703652822</v>
      </c>
      <c r="AC5885" s="37">
        <v>2.8890819321048555</v>
      </c>
      <c r="AD5885" s="37">
        <v>3.284320646906544</v>
      </c>
    </row>
    <row r="5886" spans="27:30" x14ac:dyDescent="0.3">
      <c r="AA5886" s="37">
        <v>5866</v>
      </c>
      <c r="AB5886" s="37">
        <v>1.7573554670087144</v>
      </c>
      <c r="AC5886" s="37">
        <v>3.0742331841258173</v>
      </c>
      <c r="AD5886" s="37">
        <v>3.2195229548526845</v>
      </c>
    </row>
    <row r="5887" spans="27:30" x14ac:dyDescent="0.3">
      <c r="AA5887" s="37">
        <v>5867</v>
      </c>
      <c r="AB5887" s="37">
        <v>1.7452233206624361</v>
      </c>
      <c r="AC5887" s="37">
        <v>2.8531226372841507</v>
      </c>
      <c r="AD5887" s="37">
        <v>3.4628561862099096</v>
      </c>
    </row>
    <row r="5888" spans="27:30" x14ac:dyDescent="0.3">
      <c r="AA5888" s="37">
        <v>5868</v>
      </c>
      <c r="AB5888" s="37">
        <v>1.7085162623475638</v>
      </c>
      <c r="AC5888" s="37">
        <v>2.7338648300314756</v>
      </c>
      <c r="AD5888" s="37">
        <v>3.3135902849567391</v>
      </c>
    </row>
    <row r="5889" spans="27:30" x14ac:dyDescent="0.3">
      <c r="AA5889" s="37">
        <v>5869</v>
      </c>
      <c r="AB5889" s="37">
        <v>1.7661104994699282</v>
      </c>
      <c r="AC5889" s="37">
        <v>2.7860016023353511</v>
      </c>
      <c r="AD5889" s="37">
        <v>3.4202621162792592</v>
      </c>
    </row>
    <row r="5890" spans="27:30" x14ac:dyDescent="0.3">
      <c r="AA5890" s="37">
        <v>5870</v>
      </c>
      <c r="AB5890" s="37">
        <v>1.7627122841236149</v>
      </c>
      <c r="AC5890" s="37">
        <v>2.8870587559677663</v>
      </c>
      <c r="AD5890" s="37">
        <v>3.3290177937577989</v>
      </c>
    </row>
    <row r="5891" spans="27:30" x14ac:dyDescent="0.3">
      <c r="AA5891" s="37">
        <v>5871</v>
      </c>
      <c r="AB5891" s="37">
        <v>1.8629550677076865</v>
      </c>
      <c r="AC5891" s="37">
        <v>2.7843353744136619</v>
      </c>
      <c r="AD5891" s="37">
        <v>3.3900766219880984</v>
      </c>
    </row>
    <row r="5892" spans="27:30" x14ac:dyDescent="0.3">
      <c r="AA5892" s="37">
        <v>5872</v>
      </c>
      <c r="AB5892" s="37">
        <v>1.9042003883357366</v>
      </c>
      <c r="AC5892" s="37">
        <v>2.8335916633938862</v>
      </c>
      <c r="AD5892" s="37">
        <v>3.4732884942969715</v>
      </c>
    </row>
    <row r="5893" spans="27:30" x14ac:dyDescent="0.3">
      <c r="AA5893" s="37">
        <v>5873</v>
      </c>
      <c r="AB5893" s="37">
        <v>1.7321718857938102</v>
      </c>
      <c r="AC5893" s="37">
        <v>2.6754150330180875</v>
      </c>
      <c r="AD5893" s="37">
        <v>3.1338881675483821</v>
      </c>
    </row>
    <row r="5894" spans="27:30" x14ac:dyDescent="0.3">
      <c r="AA5894" s="37">
        <v>5874</v>
      </c>
      <c r="AB5894" s="37">
        <v>1.8216245651189293</v>
      </c>
      <c r="AC5894" s="37">
        <v>2.7356560520691082</v>
      </c>
      <c r="AD5894" s="37">
        <v>3.4343135105263212</v>
      </c>
    </row>
    <row r="5895" spans="27:30" x14ac:dyDescent="0.3">
      <c r="AA5895" s="37">
        <v>5875</v>
      </c>
      <c r="AB5895" s="37">
        <v>1.8195511575884797</v>
      </c>
      <c r="AC5895" s="37">
        <v>2.8590467991855291</v>
      </c>
      <c r="AD5895" s="37">
        <v>3.2578871310954622</v>
      </c>
    </row>
    <row r="5896" spans="27:30" x14ac:dyDescent="0.3">
      <c r="AA5896" s="37">
        <v>5876</v>
      </c>
      <c r="AB5896" s="37">
        <v>1.7722179244537393</v>
      </c>
      <c r="AC5896" s="37">
        <v>2.8259188940331836</v>
      </c>
      <c r="AD5896" s="37">
        <v>3.2678524380446272</v>
      </c>
    </row>
    <row r="5897" spans="27:30" x14ac:dyDescent="0.3">
      <c r="AA5897" s="37">
        <v>5877</v>
      </c>
      <c r="AB5897" s="37">
        <v>1.7462867981607251</v>
      </c>
      <c r="AC5897" s="37">
        <v>2.7390440368749691</v>
      </c>
      <c r="AD5897" s="37">
        <v>3.4259198408096139</v>
      </c>
    </row>
    <row r="5898" spans="27:30" x14ac:dyDescent="0.3">
      <c r="AA5898" s="37">
        <v>5878</v>
      </c>
      <c r="AB5898" s="37">
        <v>1.6711716619133765</v>
      </c>
      <c r="AC5898" s="37">
        <v>2.7622836631135903</v>
      </c>
      <c r="AD5898" s="37">
        <v>3.2580079530737076</v>
      </c>
    </row>
    <row r="5899" spans="27:30" x14ac:dyDescent="0.3">
      <c r="AA5899" s="37">
        <v>5879</v>
      </c>
      <c r="AB5899" s="37">
        <v>1.6812564780110535</v>
      </c>
      <c r="AC5899" s="37">
        <v>2.936034709324931</v>
      </c>
      <c r="AD5899" s="37">
        <v>3.3389965812301772</v>
      </c>
    </row>
    <row r="5900" spans="27:30" x14ac:dyDescent="0.3">
      <c r="AA5900" s="37">
        <v>5880</v>
      </c>
      <c r="AB5900" s="37">
        <v>1.8022825738014792</v>
      </c>
      <c r="AC5900" s="37">
        <v>2.782447415354838</v>
      </c>
      <c r="AD5900" s="37">
        <v>3.1978752997027948</v>
      </c>
    </row>
    <row r="5901" spans="27:30" x14ac:dyDescent="0.3">
      <c r="AA5901" s="37">
        <v>5881</v>
      </c>
      <c r="AB5901" s="37">
        <v>1.8622702205494939</v>
      </c>
      <c r="AC5901" s="37">
        <v>2.6456573020090142</v>
      </c>
      <c r="AD5901" s="37">
        <v>3.383382993321506</v>
      </c>
    </row>
    <row r="5902" spans="27:30" x14ac:dyDescent="0.3">
      <c r="AA5902" s="37">
        <v>5882</v>
      </c>
      <c r="AB5902" s="37">
        <v>1.8302824461803429</v>
      </c>
      <c r="AC5902" s="37">
        <v>2.8788275947565518</v>
      </c>
      <c r="AD5902" s="37">
        <v>3.3806362447623131</v>
      </c>
    </row>
    <row r="5903" spans="27:30" x14ac:dyDescent="0.3">
      <c r="AA5903" s="37">
        <v>5883</v>
      </c>
      <c r="AB5903" s="37">
        <v>1.7463681822532209</v>
      </c>
      <c r="AC5903" s="37">
        <v>2.9738892033267801</v>
      </c>
      <c r="AD5903" s="37">
        <v>3.4461241403488243</v>
      </c>
    </row>
    <row r="5904" spans="27:30" x14ac:dyDescent="0.3">
      <c r="AA5904" s="37">
        <v>5884</v>
      </c>
      <c r="AB5904" s="37">
        <v>1.8159537555850795</v>
      </c>
      <c r="AC5904" s="37">
        <v>2.9159649668899656</v>
      </c>
      <c r="AD5904" s="37">
        <v>3.2210841807231527</v>
      </c>
    </row>
    <row r="5905" spans="27:30" x14ac:dyDescent="0.3">
      <c r="AA5905" s="37">
        <v>5885</v>
      </c>
      <c r="AB5905" s="37">
        <v>1.7005503722562783</v>
      </c>
      <c r="AC5905" s="37">
        <v>2.9825813336293212</v>
      </c>
      <c r="AD5905" s="37">
        <v>3.2500762942687733</v>
      </c>
    </row>
    <row r="5906" spans="27:30" x14ac:dyDescent="0.3">
      <c r="AA5906" s="37">
        <v>5886</v>
      </c>
      <c r="AB5906" s="37">
        <v>1.7475510113749966</v>
      </c>
      <c r="AC5906" s="37">
        <v>2.827898887396743</v>
      </c>
      <c r="AD5906" s="37">
        <v>3.2577247188704863</v>
      </c>
    </row>
    <row r="5907" spans="27:30" x14ac:dyDescent="0.3">
      <c r="AA5907" s="37">
        <v>5887</v>
      </c>
      <c r="AB5907" s="37">
        <v>1.7743801236518697</v>
      </c>
      <c r="AC5907" s="37">
        <v>2.950132209080305</v>
      </c>
      <c r="AD5907" s="37">
        <v>3.4028944084609969</v>
      </c>
    </row>
    <row r="5908" spans="27:30" x14ac:dyDescent="0.3">
      <c r="AA5908" s="37">
        <v>5888</v>
      </c>
      <c r="AB5908" s="37">
        <v>1.7338650616513216</v>
      </c>
      <c r="AC5908" s="37">
        <v>2.9923248179085586</v>
      </c>
      <c r="AD5908" s="37">
        <v>3.5296923276338017</v>
      </c>
    </row>
    <row r="5909" spans="27:30" x14ac:dyDescent="0.3">
      <c r="AA5909" s="37">
        <v>5889</v>
      </c>
      <c r="AB5909" s="37">
        <v>1.8320814161173344</v>
      </c>
      <c r="AC5909" s="37">
        <v>2.8794542038040722</v>
      </c>
      <c r="AD5909" s="37">
        <v>3.313215068658304</v>
      </c>
    </row>
    <row r="5910" spans="27:30" x14ac:dyDescent="0.3">
      <c r="AA5910" s="37">
        <v>5890</v>
      </c>
      <c r="AB5910" s="37">
        <v>1.763854803414284</v>
      </c>
      <c r="AC5910" s="37">
        <v>2.9693671565828024</v>
      </c>
      <c r="AD5910" s="37">
        <v>3.3753050459377567</v>
      </c>
    </row>
    <row r="5911" spans="27:30" x14ac:dyDescent="0.3">
      <c r="AA5911" s="37">
        <v>5891</v>
      </c>
      <c r="AB5911" s="37">
        <v>1.8013947254286689</v>
      </c>
      <c r="AC5911" s="37">
        <v>3.0723894235629254</v>
      </c>
      <c r="AD5911" s="37">
        <v>3.4381082895061961</v>
      </c>
    </row>
    <row r="5912" spans="27:30" x14ac:dyDescent="0.3">
      <c r="AA5912" s="37">
        <v>5892</v>
      </c>
      <c r="AB5912" s="37">
        <v>1.7201813490378426</v>
      </c>
      <c r="AC5912" s="37">
        <v>2.8821210222341107</v>
      </c>
      <c r="AD5912" s="37">
        <v>3.3807898428477392</v>
      </c>
    </row>
    <row r="5913" spans="27:30" x14ac:dyDescent="0.3">
      <c r="AA5913" s="37">
        <v>5893</v>
      </c>
      <c r="AB5913" s="37">
        <v>1.7879483777216463</v>
      </c>
      <c r="AC5913" s="37">
        <v>2.8002494079326765</v>
      </c>
      <c r="AD5913" s="37">
        <v>3.3408118219502745</v>
      </c>
    </row>
    <row r="5914" spans="27:30" x14ac:dyDescent="0.3">
      <c r="AA5914" s="37">
        <v>5894</v>
      </c>
      <c r="AB5914" s="37">
        <v>1.8124117573545013</v>
      </c>
      <c r="AC5914" s="37">
        <v>2.850287631613492</v>
      </c>
      <c r="AD5914" s="37">
        <v>3.3869688220851528</v>
      </c>
    </row>
    <row r="5915" spans="27:30" x14ac:dyDescent="0.3">
      <c r="AA5915" s="37">
        <v>5895</v>
      </c>
      <c r="AB5915" s="37">
        <v>1.7643059642720116</v>
      </c>
      <c r="AC5915" s="37">
        <v>2.7147956453486941</v>
      </c>
      <c r="AD5915" s="37">
        <v>3.1732442863367076</v>
      </c>
    </row>
    <row r="5916" spans="27:30" x14ac:dyDescent="0.3">
      <c r="AA5916" s="37">
        <v>5896</v>
      </c>
      <c r="AB5916" s="37">
        <v>1.7440188426340748</v>
      </c>
      <c r="AC5916" s="37">
        <v>2.876028154785053</v>
      </c>
      <c r="AD5916" s="37">
        <v>3.1989731061059441</v>
      </c>
    </row>
    <row r="5917" spans="27:30" x14ac:dyDescent="0.3">
      <c r="AA5917" s="37">
        <v>5897</v>
      </c>
      <c r="AB5917" s="37">
        <v>1.8537070309016543</v>
      </c>
      <c r="AC5917" s="37">
        <v>2.8503256266291146</v>
      </c>
      <c r="AD5917" s="37">
        <v>3.3224391900041779</v>
      </c>
    </row>
    <row r="5918" spans="27:30" x14ac:dyDescent="0.3">
      <c r="AA5918" s="37">
        <v>5898</v>
      </c>
      <c r="AB5918" s="37">
        <v>1.6724660356583907</v>
      </c>
      <c r="AC5918" s="37">
        <v>2.763729190515118</v>
      </c>
      <c r="AD5918" s="37">
        <v>3.1073843706234738</v>
      </c>
    </row>
    <row r="5919" spans="27:30" x14ac:dyDescent="0.3">
      <c r="AA5919" s="37">
        <v>5899</v>
      </c>
      <c r="AB5919" s="37">
        <v>1.7995543869036843</v>
      </c>
      <c r="AC5919" s="37">
        <v>2.8747536383950192</v>
      </c>
      <c r="AD5919" s="37">
        <v>3.4599246688851739</v>
      </c>
    </row>
    <row r="5920" spans="27:30" x14ac:dyDescent="0.3">
      <c r="AA5920" s="37">
        <v>5900</v>
      </c>
      <c r="AB5920" s="37">
        <v>1.7802583545266695</v>
      </c>
      <c r="AC5920" s="37">
        <v>2.7764226437224071</v>
      </c>
      <c r="AD5920" s="37">
        <v>3.268375706848949</v>
      </c>
    </row>
    <row r="5921" spans="27:30" x14ac:dyDescent="0.3">
      <c r="AA5921" s="37">
        <v>5901</v>
      </c>
      <c r="AB5921" s="37">
        <v>1.7395746904696656</v>
      </c>
      <c r="AC5921" s="37">
        <v>2.8598653972341408</v>
      </c>
      <c r="AD5921" s="37">
        <v>3.3452662681817973</v>
      </c>
    </row>
    <row r="5922" spans="27:30" x14ac:dyDescent="0.3">
      <c r="AA5922" s="37">
        <v>5902</v>
      </c>
      <c r="AB5922" s="37">
        <v>1.7840603328836957</v>
      </c>
      <c r="AC5922" s="37">
        <v>2.7642485407808848</v>
      </c>
      <c r="AD5922" s="37">
        <v>3.4893905215042627</v>
      </c>
    </row>
    <row r="5923" spans="27:30" x14ac:dyDescent="0.3">
      <c r="AA5923" s="37">
        <v>5903</v>
      </c>
      <c r="AB5923" s="37">
        <v>1.7804144615822712</v>
      </c>
      <c r="AC5923" s="37">
        <v>2.8279599142324208</v>
      </c>
      <c r="AD5923" s="37">
        <v>3.6037832654480115</v>
      </c>
    </row>
    <row r="5924" spans="27:30" x14ac:dyDescent="0.3">
      <c r="AA5924" s="37">
        <v>5904</v>
      </c>
      <c r="AB5924" s="37">
        <v>1.774483414431862</v>
      </c>
      <c r="AC5924" s="37">
        <v>2.8756176108577036</v>
      </c>
      <c r="AD5924" s="37">
        <v>3.2083094622839101</v>
      </c>
    </row>
    <row r="5925" spans="27:30" x14ac:dyDescent="0.3">
      <c r="AA5925" s="37">
        <v>5905</v>
      </c>
      <c r="AB5925" s="37">
        <v>1.8116348069486099</v>
      </c>
      <c r="AC5925" s="37">
        <v>2.8448850944696229</v>
      </c>
      <c r="AD5925" s="37">
        <v>3.0289177848937685</v>
      </c>
    </row>
    <row r="5926" spans="27:30" x14ac:dyDescent="0.3">
      <c r="AA5926" s="37">
        <v>5906</v>
      </c>
      <c r="AB5926" s="37">
        <v>1.7675353930178059</v>
      </c>
      <c r="AC5926" s="37">
        <v>2.6620019882960171</v>
      </c>
      <c r="AD5926" s="37">
        <v>3.4364813373866361</v>
      </c>
    </row>
    <row r="5927" spans="27:30" x14ac:dyDescent="0.3">
      <c r="AA5927" s="37">
        <v>5907</v>
      </c>
      <c r="AB5927" s="37">
        <v>1.761107194092951</v>
      </c>
      <c r="AC5927" s="37">
        <v>2.9292653120245062</v>
      </c>
      <c r="AD5927" s="37">
        <v>3.3221479044347859</v>
      </c>
    </row>
    <row r="5928" spans="27:30" x14ac:dyDescent="0.3">
      <c r="AA5928" s="37">
        <v>5908</v>
      </c>
      <c r="AB5928" s="37">
        <v>1.7524829382208678</v>
      </c>
      <c r="AC5928" s="37">
        <v>2.9280904113166089</v>
      </c>
      <c r="AD5928" s="37">
        <v>3.3042076202154433</v>
      </c>
    </row>
    <row r="5929" spans="27:30" x14ac:dyDescent="0.3">
      <c r="AA5929" s="37">
        <v>5909</v>
      </c>
      <c r="AB5929" s="37">
        <v>1.8080721262509583</v>
      </c>
      <c r="AC5929" s="37">
        <v>2.9069579827697041</v>
      </c>
      <c r="AD5929" s="37">
        <v>3.3942816712640456</v>
      </c>
    </row>
    <row r="5930" spans="27:30" x14ac:dyDescent="0.3">
      <c r="AA5930" s="37">
        <v>5910</v>
      </c>
      <c r="AB5930" s="37">
        <v>1.7382080511504574</v>
      </c>
      <c r="AC5930" s="37">
        <v>2.837294227943207</v>
      </c>
      <c r="AD5930" s="37">
        <v>3.2375388995382557</v>
      </c>
    </row>
    <row r="5931" spans="27:30" x14ac:dyDescent="0.3">
      <c r="AA5931" s="37">
        <v>5911</v>
      </c>
      <c r="AB5931" s="37">
        <v>1.7867959412731189</v>
      </c>
      <c r="AC5931" s="37">
        <v>2.7000334403347805</v>
      </c>
      <c r="AD5931" s="37">
        <v>3.3665360720566473</v>
      </c>
    </row>
    <row r="5932" spans="27:30" x14ac:dyDescent="0.3">
      <c r="AA5932" s="37">
        <v>5912</v>
      </c>
      <c r="AB5932" s="37">
        <v>1.7807492022026874</v>
      </c>
      <c r="AC5932" s="37">
        <v>2.7447619436488009</v>
      </c>
      <c r="AD5932" s="37">
        <v>3.4817130174692963</v>
      </c>
    </row>
    <row r="5933" spans="27:30" x14ac:dyDescent="0.3">
      <c r="AA5933" s="37">
        <v>5913</v>
      </c>
      <c r="AB5933" s="37">
        <v>1.7756602770621903</v>
      </c>
      <c r="AC5933" s="37">
        <v>2.7584275920124983</v>
      </c>
      <c r="AD5933" s="37">
        <v>3.4228945082077384</v>
      </c>
    </row>
    <row r="5934" spans="27:30" x14ac:dyDescent="0.3">
      <c r="AA5934" s="37">
        <v>5914</v>
      </c>
      <c r="AB5934" s="37">
        <v>1.8788405882094659</v>
      </c>
      <c r="AC5934" s="37">
        <v>2.8126146751362486</v>
      </c>
      <c r="AD5934" s="37">
        <v>3.509739880901396</v>
      </c>
    </row>
    <row r="5935" spans="27:30" x14ac:dyDescent="0.3">
      <c r="AA5935" s="37">
        <v>5915</v>
      </c>
      <c r="AB5935" s="37">
        <v>1.7634772521056077</v>
      </c>
      <c r="AC5935" s="37">
        <v>2.7273773470194129</v>
      </c>
      <c r="AD5935" s="37">
        <v>3.3968142839208757</v>
      </c>
    </row>
    <row r="5936" spans="27:30" x14ac:dyDescent="0.3">
      <c r="AA5936" s="37">
        <v>5916</v>
      </c>
      <c r="AB5936" s="37">
        <v>1.732587082531198</v>
      </c>
      <c r="AC5936" s="37">
        <v>2.8350271593687171</v>
      </c>
      <c r="AD5936" s="37">
        <v>3.224273115935437</v>
      </c>
    </row>
    <row r="5937" spans="27:30" x14ac:dyDescent="0.3">
      <c r="AA5937" s="37">
        <v>5917</v>
      </c>
      <c r="AB5937" s="37">
        <v>1.7492900635051845</v>
      </c>
      <c r="AC5937" s="37">
        <v>2.8145794634739598</v>
      </c>
      <c r="AD5937" s="37">
        <v>3.2930126021957955</v>
      </c>
    </row>
    <row r="5938" spans="27:30" x14ac:dyDescent="0.3">
      <c r="AA5938" s="37">
        <v>5918</v>
      </c>
      <c r="AB5938" s="37">
        <v>1.8011831586323133</v>
      </c>
      <c r="AC5938" s="37">
        <v>2.8469545525797981</v>
      </c>
      <c r="AD5938" s="37">
        <v>3.418290227109384</v>
      </c>
    </row>
    <row r="5939" spans="27:30" x14ac:dyDescent="0.3">
      <c r="AA5939" s="37">
        <v>5919</v>
      </c>
      <c r="AB5939" s="37">
        <v>1.7324816455375263</v>
      </c>
      <c r="AC5939" s="37">
        <v>2.9862884683072579</v>
      </c>
      <c r="AD5939" s="37">
        <v>3.3387886626683301</v>
      </c>
    </row>
    <row r="5940" spans="27:30" x14ac:dyDescent="0.3">
      <c r="AA5940" s="37">
        <v>5920</v>
      </c>
      <c r="AB5940" s="37">
        <v>1.8556804034105552</v>
      </c>
      <c r="AC5940" s="37">
        <v>2.8079178426580893</v>
      </c>
      <c r="AD5940" s="37">
        <v>3.352848652222145</v>
      </c>
    </row>
    <row r="5941" spans="27:30" x14ac:dyDescent="0.3">
      <c r="AA5941" s="37">
        <v>5921</v>
      </c>
      <c r="AB5941" s="37">
        <v>1.8789872212178755</v>
      </c>
      <c r="AC5941" s="37">
        <v>2.8314141323932995</v>
      </c>
      <c r="AD5941" s="37">
        <v>3.4443461609305115</v>
      </c>
    </row>
    <row r="5942" spans="27:30" x14ac:dyDescent="0.3">
      <c r="AA5942" s="37">
        <v>5922</v>
      </c>
      <c r="AB5942" s="37">
        <v>1.8298718058770256</v>
      </c>
      <c r="AC5942" s="37">
        <v>2.8419167645286518</v>
      </c>
      <c r="AD5942" s="37">
        <v>3.3664906622038488</v>
      </c>
    </row>
    <row r="5943" spans="27:30" x14ac:dyDescent="0.3">
      <c r="AA5943" s="37">
        <v>5923</v>
      </c>
      <c r="AB5943" s="37">
        <v>1.8274262716233642</v>
      </c>
      <c r="AC5943" s="37">
        <v>2.8440448631952724</v>
      </c>
      <c r="AD5943" s="37">
        <v>3.318386023619464</v>
      </c>
    </row>
    <row r="5944" spans="27:30" x14ac:dyDescent="0.3">
      <c r="AA5944" s="37">
        <v>5924</v>
      </c>
      <c r="AB5944" s="37">
        <v>1.8533896854166469</v>
      </c>
      <c r="AC5944" s="37">
        <v>3.0242313752842662</v>
      </c>
      <c r="AD5944" s="37">
        <v>3.3677048365238833</v>
      </c>
    </row>
    <row r="5945" spans="27:30" x14ac:dyDescent="0.3">
      <c r="AA5945" s="37">
        <v>5925</v>
      </c>
      <c r="AB5945" s="37">
        <v>1.6663852903179091</v>
      </c>
      <c r="AC5945" s="37">
        <v>2.9861055338059086</v>
      </c>
      <c r="AD5945" s="37">
        <v>3.3941195453218436</v>
      </c>
    </row>
    <row r="5946" spans="27:30" x14ac:dyDescent="0.3">
      <c r="AA5946" s="37">
        <v>5926</v>
      </c>
      <c r="AB5946" s="37">
        <v>1.9052372139758347</v>
      </c>
      <c r="AC5946" s="37">
        <v>2.9856172398939549</v>
      </c>
      <c r="AD5946" s="37">
        <v>3.3015165967784776</v>
      </c>
    </row>
    <row r="5947" spans="27:30" x14ac:dyDescent="0.3">
      <c r="AA5947" s="37">
        <v>5927</v>
      </c>
      <c r="AB5947" s="37">
        <v>1.7517420609073706</v>
      </c>
      <c r="AC5947" s="37">
        <v>2.9179728322740259</v>
      </c>
      <c r="AD5947" s="37">
        <v>3.3116911744794897</v>
      </c>
    </row>
    <row r="5948" spans="27:30" x14ac:dyDescent="0.3">
      <c r="AA5948" s="37">
        <v>5928</v>
      </c>
      <c r="AB5948" s="37">
        <v>1.7894278176493619</v>
      </c>
      <c r="AC5948" s="37">
        <v>2.9374714059703888</v>
      </c>
      <c r="AD5948" s="37">
        <v>3.4451751282581236</v>
      </c>
    </row>
    <row r="5949" spans="27:30" x14ac:dyDescent="0.3">
      <c r="AA5949" s="37">
        <v>5929</v>
      </c>
      <c r="AB5949" s="37">
        <v>1.792473818665405</v>
      </c>
      <c r="AC5949" s="37">
        <v>2.7774744866814522</v>
      </c>
      <c r="AD5949" s="37">
        <v>3.3114833214523163</v>
      </c>
    </row>
    <row r="5950" spans="27:30" x14ac:dyDescent="0.3">
      <c r="AA5950" s="37">
        <v>5930</v>
      </c>
      <c r="AB5950" s="37">
        <v>1.9043914680252774</v>
      </c>
      <c r="AC5950" s="37">
        <v>2.8322397307351377</v>
      </c>
      <c r="AD5950" s="37">
        <v>3.2052509837772094</v>
      </c>
    </row>
    <row r="5951" spans="27:30" x14ac:dyDescent="0.3">
      <c r="AA5951" s="37">
        <v>5931</v>
      </c>
      <c r="AB5951" s="37">
        <v>1.7762528886651052</v>
      </c>
      <c r="AC5951" s="37">
        <v>2.8504888337825083</v>
      </c>
      <c r="AD5951" s="37">
        <v>3.3147357264408153</v>
      </c>
    </row>
    <row r="5952" spans="27:30" x14ac:dyDescent="0.3">
      <c r="AA5952" s="37">
        <v>5932</v>
      </c>
      <c r="AB5952" s="37">
        <v>1.6882058067970387</v>
      </c>
      <c r="AC5952" s="37">
        <v>2.9680705492592998</v>
      </c>
      <c r="AD5952" s="37">
        <v>3.3588790311522838</v>
      </c>
    </row>
    <row r="5953" spans="27:30" x14ac:dyDescent="0.3">
      <c r="AA5953" s="37">
        <v>5933</v>
      </c>
      <c r="AB5953" s="37">
        <v>1.7965051580078655</v>
      </c>
      <c r="AC5953" s="37">
        <v>2.9211430733176384</v>
      </c>
      <c r="AD5953" s="37">
        <v>3.322738437761366</v>
      </c>
    </row>
    <row r="5954" spans="27:30" x14ac:dyDescent="0.3">
      <c r="AA5954" s="37">
        <v>5934</v>
      </c>
      <c r="AB5954" s="37">
        <v>1.8714605483403033</v>
      </c>
      <c r="AC5954" s="37">
        <v>2.9444337415831465</v>
      </c>
      <c r="AD5954" s="37">
        <v>3.3112272311058808</v>
      </c>
    </row>
    <row r="5955" spans="27:30" x14ac:dyDescent="0.3">
      <c r="AA5955" s="37">
        <v>5935</v>
      </c>
      <c r="AB5955" s="37">
        <v>1.9034843331731182</v>
      </c>
      <c r="AC5955" s="37">
        <v>2.805966352303884</v>
      </c>
      <c r="AD5955" s="37">
        <v>3.3200940106399153</v>
      </c>
    </row>
    <row r="5956" spans="27:30" x14ac:dyDescent="0.3">
      <c r="AA5956" s="37">
        <v>5936</v>
      </c>
      <c r="AB5956" s="37">
        <v>1.7960048083462521</v>
      </c>
      <c r="AC5956" s="37">
        <v>2.7669773735723551</v>
      </c>
      <c r="AD5956" s="37">
        <v>3.2394236893466455</v>
      </c>
    </row>
    <row r="5957" spans="27:30" x14ac:dyDescent="0.3">
      <c r="AA5957" s="37">
        <v>5937</v>
      </c>
      <c r="AB5957" s="37">
        <v>1.8711245587620677</v>
      </c>
      <c r="AC5957" s="37">
        <v>2.8423693777991121</v>
      </c>
      <c r="AD5957" s="37">
        <v>3.4562093868312576</v>
      </c>
    </row>
    <row r="5958" spans="27:30" x14ac:dyDescent="0.3">
      <c r="AA5958" s="37">
        <v>5938</v>
      </c>
      <c r="AB5958" s="37">
        <v>1.8186278757656849</v>
      </c>
      <c r="AC5958" s="37">
        <v>2.8848775633495092</v>
      </c>
      <c r="AD5958" s="37">
        <v>3.453638499421233</v>
      </c>
    </row>
    <row r="5959" spans="27:30" x14ac:dyDescent="0.3">
      <c r="AA5959" s="37">
        <v>5939</v>
      </c>
      <c r="AB5959" s="37">
        <v>1.8197614511956746</v>
      </c>
      <c r="AC5959" s="37">
        <v>2.8885872791825187</v>
      </c>
      <c r="AD5959" s="37">
        <v>3.2602377369848035</v>
      </c>
    </row>
    <row r="5960" spans="27:30" x14ac:dyDescent="0.3">
      <c r="AA5960" s="37">
        <v>5940</v>
      </c>
      <c r="AB5960" s="37">
        <v>1.6930106693477527</v>
      </c>
      <c r="AC5960" s="37">
        <v>2.6846847151794546</v>
      </c>
      <c r="AD5960" s="37">
        <v>3.2837405454387829</v>
      </c>
    </row>
    <row r="5961" spans="27:30" x14ac:dyDescent="0.3">
      <c r="AA5961" s="37">
        <v>5941</v>
      </c>
      <c r="AB5961" s="37">
        <v>1.8866496344228139</v>
      </c>
      <c r="AC5961" s="37">
        <v>2.7387287092415988</v>
      </c>
      <c r="AD5961" s="37">
        <v>3.3804875634158371</v>
      </c>
    </row>
    <row r="5962" spans="27:30" x14ac:dyDescent="0.3">
      <c r="AA5962" s="37">
        <v>5942</v>
      </c>
      <c r="AB5962" s="37">
        <v>1.8227762901629962</v>
      </c>
      <c r="AC5962" s="37">
        <v>2.8195665825197009</v>
      </c>
      <c r="AD5962" s="37">
        <v>3.396154236735013</v>
      </c>
    </row>
    <row r="5963" spans="27:30" x14ac:dyDescent="0.3">
      <c r="AA5963" s="37">
        <v>5943</v>
      </c>
      <c r="AB5963" s="37">
        <v>1.8573504265231371</v>
      </c>
      <c r="AC5963" s="37">
        <v>3.0017204375279003</v>
      </c>
      <c r="AD5963" s="37">
        <v>3.500675780824813</v>
      </c>
    </row>
    <row r="5964" spans="27:30" x14ac:dyDescent="0.3">
      <c r="AA5964" s="37">
        <v>5944</v>
      </c>
      <c r="AB5964" s="37">
        <v>1.8438651957879506</v>
      </c>
      <c r="AC5964" s="37">
        <v>2.7867605923845202</v>
      </c>
      <c r="AD5964" s="37">
        <v>3.3799726252006126</v>
      </c>
    </row>
    <row r="5965" spans="27:30" x14ac:dyDescent="0.3">
      <c r="AA5965" s="37">
        <v>5945</v>
      </c>
      <c r="AB5965" s="37">
        <v>1.751319082377822</v>
      </c>
      <c r="AC5965" s="37">
        <v>2.7311252852524537</v>
      </c>
      <c r="AD5965" s="37">
        <v>3.300660797937077</v>
      </c>
    </row>
    <row r="5966" spans="27:30" x14ac:dyDescent="0.3">
      <c r="AA5966" s="37">
        <v>5946</v>
      </c>
      <c r="AB5966" s="37">
        <v>1.7305222181157429</v>
      </c>
      <c r="AC5966" s="37">
        <v>2.8374659363963155</v>
      </c>
      <c r="AD5966" s="37">
        <v>3.4244380192283379</v>
      </c>
    </row>
    <row r="5967" spans="27:30" x14ac:dyDescent="0.3">
      <c r="AA5967" s="37">
        <v>5947</v>
      </c>
      <c r="AB5967" s="37">
        <v>1.8058335469376967</v>
      </c>
      <c r="AC5967" s="37">
        <v>2.6337000244831912</v>
      </c>
      <c r="AD5967" s="37">
        <v>3.0310578722986796</v>
      </c>
    </row>
    <row r="5968" spans="27:30" x14ac:dyDescent="0.3">
      <c r="AA5968" s="37">
        <v>5948</v>
      </c>
      <c r="AB5968" s="37">
        <v>1.7988211795105349</v>
      </c>
      <c r="AC5968" s="37">
        <v>2.8293969850225151</v>
      </c>
      <c r="AD5968" s="37">
        <v>3.3073069053393245</v>
      </c>
    </row>
    <row r="5969" spans="27:30" x14ac:dyDescent="0.3">
      <c r="AA5969" s="37">
        <v>5949</v>
      </c>
      <c r="AB5969" s="37">
        <v>1.9396590277601835</v>
      </c>
      <c r="AC5969" s="37">
        <v>2.8987727625309292</v>
      </c>
      <c r="AD5969" s="37">
        <v>3.3910613687189639</v>
      </c>
    </row>
    <row r="5970" spans="27:30" x14ac:dyDescent="0.3">
      <c r="AA5970" s="37">
        <v>5950</v>
      </c>
      <c r="AB5970" s="37">
        <v>1.8415612127233789</v>
      </c>
      <c r="AC5970" s="37">
        <v>2.7382709015179536</v>
      </c>
      <c r="AD5970" s="37">
        <v>3.2753704303208679</v>
      </c>
    </row>
    <row r="5971" spans="27:30" x14ac:dyDescent="0.3">
      <c r="AA5971" s="37">
        <v>5951</v>
      </c>
      <c r="AB5971" s="37">
        <v>1.8503272756449387</v>
      </c>
      <c r="AC5971" s="37">
        <v>2.7393841456887977</v>
      </c>
      <c r="AD5971" s="37">
        <v>3.2483936572898409</v>
      </c>
    </row>
    <row r="5972" spans="27:30" x14ac:dyDescent="0.3">
      <c r="AA5972" s="37">
        <v>5952</v>
      </c>
      <c r="AB5972" s="37">
        <v>1.6396920185089425</v>
      </c>
      <c r="AC5972" s="37">
        <v>2.8007618896091584</v>
      </c>
      <c r="AD5972" s="37">
        <v>3.3853770951111999</v>
      </c>
    </row>
    <row r="5973" spans="27:30" x14ac:dyDescent="0.3">
      <c r="AA5973" s="37">
        <v>5953</v>
      </c>
      <c r="AB5973" s="37">
        <v>1.8189883545026446</v>
      </c>
      <c r="AC5973" s="37">
        <v>2.7508274859450177</v>
      </c>
      <c r="AD5973" s="37">
        <v>3.3442636418923768</v>
      </c>
    </row>
    <row r="5974" spans="27:30" x14ac:dyDescent="0.3">
      <c r="AA5974" s="37">
        <v>5954</v>
      </c>
      <c r="AB5974" s="37">
        <v>1.7225780439065448</v>
      </c>
      <c r="AC5974" s="37">
        <v>2.7002309063385064</v>
      </c>
      <c r="AD5974" s="37">
        <v>3.3823677963957186</v>
      </c>
    </row>
    <row r="5975" spans="27:30" x14ac:dyDescent="0.3">
      <c r="AA5975" s="37">
        <v>5955</v>
      </c>
      <c r="AB5975" s="37">
        <v>1.8036961733374455</v>
      </c>
      <c r="AC5975" s="37">
        <v>2.8863807475651497</v>
      </c>
      <c r="AD5975" s="37">
        <v>3.486000997766256</v>
      </c>
    </row>
    <row r="5976" spans="27:30" x14ac:dyDescent="0.3">
      <c r="AA5976" s="37">
        <v>5956</v>
      </c>
      <c r="AB5976" s="37">
        <v>1.7723485022787655</v>
      </c>
      <c r="AC5976" s="37">
        <v>2.5240781354803601</v>
      </c>
      <c r="AD5976" s="37">
        <v>3.3938231067853906</v>
      </c>
    </row>
    <row r="5977" spans="27:30" x14ac:dyDescent="0.3">
      <c r="AA5977" s="37">
        <v>5957</v>
      </c>
      <c r="AB5977" s="37">
        <v>1.7845588588832542</v>
      </c>
      <c r="AC5977" s="37">
        <v>2.7928718554183241</v>
      </c>
      <c r="AD5977" s="37">
        <v>3.3007295733006972</v>
      </c>
    </row>
    <row r="5978" spans="27:30" x14ac:dyDescent="0.3">
      <c r="AA5978" s="37">
        <v>5958</v>
      </c>
      <c r="AB5978" s="37">
        <v>1.8007834266294576</v>
      </c>
      <c r="AC5978" s="37">
        <v>2.7758386160426038</v>
      </c>
      <c r="AD5978" s="37">
        <v>3.2308874047008742</v>
      </c>
    </row>
    <row r="5979" spans="27:30" x14ac:dyDescent="0.3">
      <c r="AA5979" s="37">
        <v>5959</v>
      </c>
      <c r="AB5979" s="37">
        <v>1.8186607297776671</v>
      </c>
      <c r="AC5979" s="37">
        <v>3.025857733769231</v>
      </c>
      <c r="AD5979" s="37">
        <v>3.1321759471006252</v>
      </c>
    </row>
    <row r="5980" spans="27:30" x14ac:dyDescent="0.3">
      <c r="AA5980" s="37">
        <v>5960</v>
      </c>
      <c r="AB5980" s="37">
        <v>1.6423056835464378</v>
      </c>
      <c r="AC5980" s="37">
        <v>2.7973101360306329</v>
      </c>
      <c r="AD5980" s="37">
        <v>3.2850527832906193</v>
      </c>
    </row>
    <row r="5981" spans="27:30" x14ac:dyDescent="0.3">
      <c r="AA5981" s="37">
        <v>5961</v>
      </c>
      <c r="AB5981" s="37">
        <v>1.7107913089370754</v>
      </c>
      <c r="AC5981" s="37">
        <v>2.8400415184990138</v>
      </c>
      <c r="AD5981" s="37">
        <v>3.5458899135711976</v>
      </c>
    </row>
    <row r="5982" spans="27:30" x14ac:dyDescent="0.3">
      <c r="AA5982" s="37">
        <v>5962</v>
      </c>
      <c r="AB5982" s="37">
        <v>1.9055528023242714</v>
      </c>
      <c r="AC5982" s="37">
        <v>3.011747328995213</v>
      </c>
      <c r="AD5982" s="37">
        <v>3.5394304807620194</v>
      </c>
    </row>
    <row r="5983" spans="27:30" x14ac:dyDescent="0.3">
      <c r="AA5983" s="37">
        <v>5963</v>
      </c>
      <c r="AB5983" s="37">
        <v>1.7241506195690004</v>
      </c>
      <c r="AC5983" s="37">
        <v>2.9490701606556846</v>
      </c>
      <c r="AD5983" s="37">
        <v>3.5368155885468187</v>
      </c>
    </row>
    <row r="5984" spans="27:30" x14ac:dyDescent="0.3">
      <c r="AA5984" s="37">
        <v>5964</v>
      </c>
      <c r="AB5984" s="37">
        <v>1.871429268538191</v>
      </c>
      <c r="AC5984" s="37">
        <v>2.8297192207618203</v>
      </c>
      <c r="AD5984" s="37">
        <v>3.2832754180898722</v>
      </c>
    </row>
    <row r="5985" spans="27:30" x14ac:dyDescent="0.3">
      <c r="AA5985" s="37">
        <v>5965</v>
      </c>
      <c r="AB5985" s="37">
        <v>1.793924306778941</v>
      </c>
      <c r="AC5985" s="37">
        <v>2.7184354537548145</v>
      </c>
      <c r="AD5985" s="37">
        <v>3.4702526096549433</v>
      </c>
    </row>
    <row r="5986" spans="27:30" x14ac:dyDescent="0.3">
      <c r="AA5986" s="37">
        <v>5966</v>
      </c>
      <c r="AB5986" s="37">
        <v>1.7573239216037027</v>
      </c>
      <c r="AC5986" s="37">
        <v>2.7979226428489041</v>
      </c>
      <c r="AD5986" s="37">
        <v>3.3235434856947221</v>
      </c>
    </row>
    <row r="5987" spans="27:30" x14ac:dyDescent="0.3">
      <c r="AA5987" s="37">
        <v>5967</v>
      </c>
      <c r="AB5987" s="37">
        <v>1.7603949878513958</v>
      </c>
      <c r="AC5987" s="37">
        <v>3.0492492317465922</v>
      </c>
      <c r="AD5987" s="37">
        <v>3.1925332590459057</v>
      </c>
    </row>
    <row r="5988" spans="27:30" x14ac:dyDescent="0.3">
      <c r="AA5988" s="37">
        <v>5968</v>
      </c>
      <c r="AB5988" s="37">
        <v>1.7743585483307625</v>
      </c>
      <c r="AC5988" s="37">
        <v>2.9259359263447995</v>
      </c>
      <c r="AD5988" s="37">
        <v>3.229115104123697</v>
      </c>
    </row>
    <row r="5989" spans="27:30" x14ac:dyDescent="0.3">
      <c r="AA5989" s="37">
        <v>5969</v>
      </c>
      <c r="AB5989" s="37">
        <v>1.8526477869847309</v>
      </c>
      <c r="AC5989" s="37">
        <v>2.7636402155850983</v>
      </c>
      <c r="AD5989" s="37">
        <v>3.5400188570596618</v>
      </c>
    </row>
    <row r="5990" spans="27:30" x14ac:dyDescent="0.3">
      <c r="AA5990" s="37">
        <v>5970</v>
      </c>
      <c r="AB5990" s="37">
        <v>1.8286897365437851</v>
      </c>
      <c r="AC5990" s="37">
        <v>3.0235736251483356</v>
      </c>
      <c r="AD5990" s="37">
        <v>3.2788536013326581</v>
      </c>
    </row>
    <row r="5991" spans="27:30" x14ac:dyDescent="0.3">
      <c r="AA5991" s="37">
        <v>5971</v>
      </c>
      <c r="AB5991" s="37">
        <v>1.6811524706560874</v>
      </c>
      <c r="AC5991" s="37">
        <v>2.896937938499287</v>
      </c>
      <c r="AD5991" s="37">
        <v>3.6809595592167179</v>
      </c>
    </row>
    <row r="5992" spans="27:30" x14ac:dyDescent="0.3">
      <c r="AA5992" s="37">
        <v>5972</v>
      </c>
      <c r="AB5992" s="37">
        <v>1.7991232328207978</v>
      </c>
      <c r="AC5992" s="37">
        <v>2.7342950442504956</v>
      </c>
      <c r="AD5992" s="37">
        <v>3.3150955904712194</v>
      </c>
    </row>
    <row r="5993" spans="27:30" x14ac:dyDescent="0.3">
      <c r="AA5993" s="37">
        <v>5973</v>
      </c>
      <c r="AB5993" s="37">
        <v>1.7691134469522405</v>
      </c>
      <c r="AC5993" s="37">
        <v>2.7045745130667442</v>
      </c>
      <c r="AD5993" s="37">
        <v>3.2824080145887118</v>
      </c>
    </row>
    <row r="5994" spans="27:30" x14ac:dyDescent="0.3">
      <c r="AA5994" s="37">
        <v>5974</v>
      </c>
      <c r="AB5994" s="37">
        <v>1.7193248041560405</v>
      </c>
      <c r="AC5994" s="37">
        <v>2.6913137108373104</v>
      </c>
      <c r="AD5994" s="37">
        <v>3.3455474504013454</v>
      </c>
    </row>
    <row r="5995" spans="27:30" x14ac:dyDescent="0.3">
      <c r="AA5995" s="37">
        <v>5975</v>
      </c>
      <c r="AB5995" s="37">
        <v>1.8387907347254873</v>
      </c>
      <c r="AC5995" s="37">
        <v>2.8166063506653916</v>
      </c>
      <c r="AD5995" s="37">
        <v>3.3623276279633152</v>
      </c>
    </row>
    <row r="5996" spans="27:30" x14ac:dyDescent="0.3">
      <c r="AA5996" s="37">
        <v>5976</v>
      </c>
      <c r="AB5996" s="37">
        <v>1.8716309754715306</v>
      </c>
      <c r="AC5996" s="37">
        <v>3.0299257858273441</v>
      </c>
      <c r="AD5996" s="37">
        <v>3.3175085450892285</v>
      </c>
    </row>
    <row r="5997" spans="27:30" x14ac:dyDescent="0.3">
      <c r="AA5997" s="37">
        <v>5977</v>
      </c>
      <c r="AB5997" s="37">
        <v>1.6783610146049341</v>
      </c>
      <c r="AC5997" s="37">
        <v>2.7920584961957413</v>
      </c>
      <c r="AD5997" s="37">
        <v>3.3416932322210813</v>
      </c>
    </row>
    <row r="5998" spans="27:30" x14ac:dyDescent="0.3">
      <c r="AA5998" s="37">
        <v>5978</v>
      </c>
      <c r="AB5998" s="37">
        <v>1.9025460131591463</v>
      </c>
      <c r="AC5998" s="37">
        <v>3.2157456879656974</v>
      </c>
      <c r="AD5998" s="37">
        <v>3.358000328556038</v>
      </c>
    </row>
    <row r="5999" spans="27:30" x14ac:dyDescent="0.3">
      <c r="AA5999" s="37">
        <v>5979</v>
      </c>
      <c r="AB5999" s="37">
        <v>1.9024830745836467</v>
      </c>
      <c r="AC5999" s="37">
        <v>2.8731924800797879</v>
      </c>
      <c r="AD5999" s="37">
        <v>3.1025301836934047</v>
      </c>
    </row>
    <row r="6000" spans="27:30" x14ac:dyDescent="0.3">
      <c r="AA6000" s="37">
        <v>5980</v>
      </c>
      <c r="AB6000" s="37">
        <v>1.7195422447825961</v>
      </c>
      <c r="AC6000" s="37">
        <v>2.6969789159286659</v>
      </c>
      <c r="AD6000" s="37">
        <v>3.3731176686507025</v>
      </c>
    </row>
    <row r="6001" spans="27:30" x14ac:dyDescent="0.3">
      <c r="AA6001" s="37">
        <v>5981</v>
      </c>
      <c r="AB6001" s="37">
        <v>1.7362461401187979</v>
      </c>
      <c r="AC6001" s="37">
        <v>2.8462737743224862</v>
      </c>
      <c r="AD6001" s="37">
        <v>3.3782989043826261</v>
      </c>
    </row>
    <row r="6002" spans="27:30" x14ac:dyDescent="0.3">
      <c r="AA6002" s="37">
        <v>5982</v>
      </c>
      <c r="AB6002" s="37">
        <v>1.7861732298092055</v>
      </c>
      <c r="AC6002" s="37">
        <v>2.8773423789274437</v>
      </c>
      <c r="AD6002" s="37">
        <v>3.2097826165639303</v>
      </c>
    </row>
    <row r="6003" spans="27:30" x14ac:dyDescent="0.3">
      <c r="AA6003" s="37">
        <v>5983</v>
      </c>
      <c r="AB6003" s="37">
        <v>1.839473484390546</v>
      </c>
      <c r="AC6003" s="37">
        <v>2.8810017168607587</v>
      </c>
      <c r="AD6003" s="37">
        <v>3.4866760528769305</v>
      </c>
    </row>
    <row r="6004" spans="27:30" x14ac:dyDescent="0.3">
      <c r="AA6004" s="37">
        <v>5984</v>
      </c>
      <c r="AB6004" s="37">
        <v>1.6910925441614499</v>
      </c>
      <c r="AC6004" s="37">
        <v>2.9062064541343418</v>
      </c>
      <c r="AD6004" s="37">
        <v>3.3075694965837559</v>
      </c>
    </row>
    <row r="6005" spans="27:30" x14ac:dyDescent="0.3">
      <c r="AA6005" s="37">
        <v>5985</v>
      </c>
      <c r="AB6005" s="37">
        <v>1.8347695762248151</v>
      </c>
      <c r="AC6005" s="37">
        <v>2.8536943593674811</v>
      </c>
      <c r="AD6005" s="37">
        <v>3.4841058327229342</v>
      </c>
    </row>
    <row r="6006" spans="27:30" x14ac:dyDescent="0.3">
      <c r="AA6006" s="37">
        <v>5986</v>
      </c>
      <c r="AB6006" s="37">
        <v>1.776415262378549</v>
      </c>
      <c r="AC6006" s="37">
        <v>2.967342484416724</v>
      </c>
      <c r="AD6006" s="37">
        <v>3.281394451867182</v>
      </c>
    </row>
    <row r="6007" spans="27:30" x14ac:dyDescent="0.3">
      <c r="AA6007" s="37">
        <v>5987</v>
      </c>
      <c r="AB6007" s="37">
        <v>1.8015996189948718</v>
      </c>
      <c r="AC6007" s="37">
        <v>2.9514802809808742</v>
      </c>
      <c r="AD6007" s="37">
        <v>3.3405785758233613</v>
      </c>
    </row>
    <row r="6008" spans="27:30" x14ac:dyDescent="0.3">
      <c r="AA6008" s="37">
        <v>5988</v>
      </c>
      <c r="AB6008" s="37">
        <v>1.7504296410204787</v>
      </c>
      <c r="AC6008" s="37">
        <v>2.9543797394150109</v>
      </c>
      <c r="AD6008" s="37">
        <v>3.3879631640909587</v>
      </c>
    </row>
    <row r="6009" spans="27:30" x14ac:dyDescent="0.3">
      <c r="AA6009" s="37">
        <v>5989</v>
      </c>
      <c r="AB6009" s="37">
        <v>1.728851533545475</v>
      </c>
      <c r="AC6009" s="37">
        <v>2.9139828167395292</v>
      </c>
      <c r="AD6009" s="37">
        <v>3.2962042268743286</v>
      </c>
    </row>
    <row r="6010" spans="27:30" x14ac:dyDescent="0.3">
      <c r="AA6010" s="37">
        <v>5990</v>
      </c>
      <c r="AB6010" s="37">
        <v>1.7499290515122852</v>
      </c>
      <c r="AC6010" s="37">
        <v>2.8140635121828024</v>
      </c>
      <c r="AD6010" s="37">
        <v>3.4600286324821852</v>
      </c>
    </row>
    <row r="6011" spans="27:30" x14ac:dyDescent="0.3">
      <c r="AA6011" s="37">
        <v>5991</v>
      </c>
      <c r="AB6011" s="37">
        <v>1.7910188476120446</v>
      </c>
      <c r="AC6011" s="37">
        <v>2.8161001335192246</v>
      </c>
      <c r="AD6011" s="37">
        <v>3.4554267308502609</v>
      </c>
    </row>
    <row r="6012" spans="27:30" x14ac:dyDescent="0.3">
      <c r="AA6012" s="37">
        <v>5992</v>
      </c>
      <c r="AB6012" s="37">
        <v>1.735712480084979</v>
      </c>
      <c r="AC6012" s="37">
        <v>2.8697841557724431</v>
      </c>
      <c r="AD6012" s="37">
        <v>3.3160120049583117</v>
      </c>
    </row>
    <row r="6013" spans="27:30" x14ac:dyDescent="0.3">
      <c r="AA6013" s="37">
        <v>5993</v>
      </c>
      <c r="AB6013" s="37">
        <v>1.8890785779864814</v>
      </c>
      <c r="AC6013" s="37">
        <v>2.7367794785896522</v>
      </c>
      <c r="AD6013" s="37">
        <v>3.4595162667325168</v>
      </c>
    </row>
    <row r="6014" spans="27:30" x14ac:dyDescent="0.3">
      <c r="AA6014" s="37">
        <v>5994</v>
      </c>
      <c r="AB6014" s="37">
        <v>1.7729256849205235</v>
      </c>
      <c r="AC6014" s="37">
        <v>2.7786132529462031</v>
      </c>
      <c r="AD6014" s="37">
        <v>3.4052682454514587</v>
      </c>
    </row>
    <row r="6015" spans="27:30" x14ac:dyDescent="0.3">
      <c r="AA6015" s="37">
        <v>5995</v>
      </c>
      <c r="AB6015" s="37">
        <v>1.7384596247767077</v>
      </c>
      <c r="AC6015" s="37">
        <v>2.9174045164364224</v>
      </c>
      <c r="AD6015" s="37">
        <v>3.349701513721445</v>
      </c>
    </row>
    <row r="6016" spans="27:30" x14ac:dyDescent="0.3">
      <c r="AA6016" s="37">
        <v>5996</v>
      </c>
      <c r="AB6016" s="37">
        <v>1.7517722568453791</v>
      </c>
      <c r="AC6016" s="37">
        <v>2.7689726147731517</v>
      </c>
      <c r="AD6016" s="37">
        <v>3.1320271640519488</v>
      </c>
    </row>
    <row r="6017" spans="27:30" x14ac:dyDescent="0.3">
      <c r="AA6017" s="37">
        <v>5997</v>
      </c>
      <c r="AB6017" s="37">
        <v>1.71870564526916</v>
      </c>
      <c r="AC6017" s="37">
        <v>2.7662823293327428</v>
      </c>
      <c r="AD6017" s="37">
        <v>3.2823534030236905</v>
      </c>
    </row>
    <row r="6018" spans="27:30" x14ac:dyDescent="0.3">
      <c r="AA6018" s="37">
        <v>5998</v>
      </c>
      <c r="AB6018" s="37">
        <v>1.8285997371373524</v>
      </c>
      <c r="AC6018" s="37">
        <v>2.7734671096501056</v>
      </c>
      <c r="AD6018" s="37">
        <v>3.3814788684956194</v>
      </c>
    </row>
    <row r="6019" spans="27:30" x14ac:dyDescent="0.3">
      <c r="AA6019" s="37">
        <v>5999</v>
      </c>
      <c r="AB6019" s="37">
        <v>1.7815861219907625</v>
      </c>
      <c r="AC6019" s="37">
        <v>2.8853770907472422</v>
      </c>
      <c r="AD6019" s="37">
        <v>3.4018849656430254</v>
      </c>
    </row>
    <row r="6020" spans="27:30" x14ac:dyDescent="0.3">
      <c r="AA6020" s="37">
        <v>6000</v>
      </c>
      <c r="AB6020" s="37">
        <v>1.7045734248745645</v>
      </c>
      <c r="AC6020" s="37">
        <v>2.8372736620581787</v>
      </c>
      <c r="AD6020" s="37">
        <v>3.1811985780718723</v>
      </c>
    </row>
    <row r="6021" spans="27:30" x14ac:dyDescent="0.3">
      <c r="AA6021" s="37">
        <v>6001</v>
      </c>
      <c r="AB6021" s="37">
        <v>1.9499896754415489</v>
      </c>
      <c r="AC6021" s="37">
        <v>2.7285549010134971</v>
      </c>
      <c r="AD6021" s="37">
        <v>3.2782498155550241</v>
      </c>
    </row>
    <row r="6022" spans="27:30" x14ac:dyDescent="0.3">
      <c r="AA6022" s="37">
        <v>6002</v>
      </c>
      <c r="AB6022" s="37">
        <v>1.7509638177724127</v>
      </c>
      <c r="AC6022" s="37">
        <v>2.8310126016472577</v>
      </c>
      <c r="AD6022" s="37">
        <v>3.2733014373010483</v>
      </c>
    </row>
    <row r="6023" spans="27:30" x14ac:dyDescent="0.3">
      <c r="AA6023" s="37">
        <v>6003</v>
      </c>
      <c r="AB6023" s="37">
        <v>1.8237573301364136</v>
      </c>
      <c r="AC6023" s="37">
        <v>2.9803583364542305</v>
      </c>
      <c r="AD6023" s="37">
        <v>3.543915236409422</v>
      </c>
    </row>
    <row r="6024" spans="27:30" x14ac:dyDescent="0.3">
      <c r="AA6024" s="37">
        <v>6004</v>
      </c>
      <c r="AB6024" s="37">
        <v>1.7495729092732344</v>
      </c>
      <c r="AC6024" s="37">
        <v>2.9159138962876692</v>
      </c>
      <c r="AD6024" s="37">
        <v>3.4192436964136617</v>
      </c>
    </row>
    <row r="6025" spans="27:30" x14ac:dyDescent="0.3">
      <c r="AA6025" s="37">
        <v>6005</v>
      </c>
      <c r="AB6025" s="37">
        <v>1.7690728213411386</v>
      </c>
      <c r="AC6025" s="37">
        <v>2.8978644187403075</v>
      </c>
      <c r="AD6025" s="37">
        <v>3.3451899491854062</v>
      </c>
    </row>
    <row r="6026" spans="27:30" x14ac:dyDescent="0.3">
      <c r="AA6026" s="37">
        <v>6006</v>
      </c>
      <c r="AB6026" s="37">
        <v>1.7184216472607161</v>
      </c>
      <c r="AC6026" s="37">
        <v>2.9123134900585934</v>
      </c>
      <c r="AD6026" s="37">
        <v>3.5014373525839635</v>
      </c>
    </row>
    <row r="6027" spans="27:30" x14ac:dyDescent="0.3">
      <c r="AA6027" s="37">
        <v>6007</v>
      </c>
      <c r="AB6027" s="37">
        <v>1.7390318689590483</v>
      </c>
      <c r="AC6027" s="37">
        <v>2.7043843877755429</v>
      </c>
      <c r="AD6027" s="37">
        <v>3.4579523888182031</v>
      </c>
    </row>
    <row r="6028" spans="27:30" x14ac:dyDescent="0.3">
      <c r="AA6028" s="37">
        <v>6008</v>
      </c>
      <c r="AB6028" s="37">
        <v>1.730914496269051</v>
      </c>
      <c r="AC6028" s="37">
        <v>2.6699441630146423</v>
      </c>
      <c r="AD6028" s="37">
        <v>3.4012837943614307</v>
      </c>
    </row>
    <row r="6029" spans="27:30" x14ac:dyDescent="0.3">
      <c r="AA6029" s="37">
        <v>6009</v>
      </c>
      <c r="AB6029" s="37">
        <v>1.7046878449900718</v>
      </c>
      <c r="AC6029" s="37">
        <v>2.9465765124794725</v>
      </c>
      <c r="AD6029" s="37">
        <v>3.1386042001956329</v>
      </c>
    </row>
    <row r="6030" spans="27:30" x14ac:dyDescent="0.3">
      <c r="AA6030" s="37">
        <v>6010</v>
      </c>
      <c r="AB6030" s="37">
        <v>1.8707654143733372</v>
      </c>
      <c r="AC6030" s="37">
        <v>2.6594409069560534</v>
      </c>
      <c r="AD6030" s="37">
        <v>3.3788708133566581</v>
      </c>
    </row>
    <row r="6031" spans="27:30" x14ac:dyDescent="0.3">
      <c r="AA6031" s="37">
        <v>6011</v>
      </c>
      <c r="AB6031" s="37">
        <v>1.8144100341273566</v>
      </c>
      <c r="AC6031" s="37">
        <v>2.7869234037708956</v>
      </c>
      <c r="AD6031" s="37">
        <v>3.330801183082881</v>
      </c>
    </row>
    <row r="6032" spans="27:30" x14ac:dyDescent="0.3">
      <c r="AA6032" s="37">
        <v>6012</v>
      </c>
      <c r="AB6032" s="37">
        <v>1.7125162679930668</v>
      </c>
      <c r="AC6032" s="37">
        <v>2.9300195753715541</v>
      </c>
      <c r="AD6032" s="37">
        <v>3.3934066616848391</v>
      </c>
    </row>
    <row r="6033" spans="27:30" x14ac:dyDescent="0.3">
      <c r="AA6033" s="37">
        <v>6013</v>
      </c>
      <c r="AB6033" s="37">
        <v>1.7346474039035324</v>
      </c>
      <c r="AC6033" s="37">
        <v>2.7467014780467265</v>
      </c>
      <c r="AD6033" s="37">
        <v>3.5110978248302143</v>
      </c>
    </row>
    <row r="6034" spans="27:30" x14ac:dyDescent="0.3">
      <c r="AA6034" s="37">
        <v>6014</v>
      </c>
      <c r="AB6034" s="37">
        <v>1.655582560995192</v>
      </c>
      <c r="AC6034" s="37">
        <v>2.8324045761027197</v>
      </c>
      <c r="AD6034" s="37">
        <v>3.3785358637945837</v>
      </c>
    </row>
    <row r="6035" spans="27:30" x14ac:dyDescent="0.3">
      <c r="AA6035" s="37">
        <v>6015</v>
      </c>
      <c r="AB6035" s="37">
        <v>1.6793299631970526</v>
      </c>
      <c r="AC6035" s="37">
        <v>2.9100836315356871</v>
      </c>
      <c r="AD6035" s="37">
        <v>3.2459277856844651</v>
      </c>
    </row>
    <row r="6036" spans="27:30" x14ac:dyDescent="0.3">
      <c r="AA6036" s="37">
        <v>6016</v>
      </c>
      <c r="AB6036" s="37">
        <v>1.9741038493058523</v>
      </c>
      <c r="AC6036" s="37">
        <v>2.9286133563204486</v>
      </c>
      <c r="AD6036" s="37">
        <v>3.3034151545489787</v>
      </c>
    </row>
    <row r="6037" spans="27:30" x14ac:dyDescent="0.3">
      <c r="AA6037" s="37">
        <v>6017</v>
      </c>
      <c r="AB6037" s="37">
        <v>1.7310881234237516</v>
      </c>
      <c r="AC6037" s="37">
        <v>2.9784783656429892</v>
      </c>
      <c r="AD6037" s="37">
        <v>3.5208528438709723</v>
      </c>
    </row>
    <row r="6038" spans="27:30" x14ac:dyDescent="0.3">
      <c r="AA6038" s="37">
        <v>6018</v>
      </c>
      <c r="AB6038" s="37">
        <v>1.9561533551462622</v>
      </c>
      <c r="AC6038" s="37">
        <v>2.8839130466073937</v>
      </c>
      <c r="AD6038" s="37">
        <v>3.4776489209776216</v>
      </c>
    </row>
    <row r="6039" spans="27:30" x14ac:dyDescent="0.3">
      <c r="AA6039" s="37">
        <v>6019</v>
      </c>
      <c r="AB6039" s="37">
        <v>1.8570159477640662</v>
      </c>
      <c r="AC6039" s="37">
        <v>2.7809869888073564</v>
      </c>
      <c r="AD6039" s="37">
        <v>3.378576910225104</v>
      </c>
    </row>
    <row r="6040" spans="27:30" x14ac:dyDescent="0.3">
      <c r="AA6040" s="37">
        <v>6020</v>
      </c>
      <c r="AB6040" s="37">
        <v>1.756563067616433</v>
      </c>
      <c r="AC6040" s="37">
        <v>2.7672519248083232</v>
      </c>
      <c r="AD6040" s="37">
        <v>3.5540173937990756</v>
      </c>
    </row>
    <row r="6041" spans="27:30" x14ac:dyDescent="0.3">
      <c r="AA6041" s="37">
        <v>6021</v>
      </c>
      <c r="AB6041" s="37">
        <v>1.7434992092527166</v>
      </c>
      <c r="AC6041" s="37">
        <v>2.8836904838020097</v>
      </c>
      <c r="AD6041" s="37">
        <v>3.3742174865549814</v>
      </c>
    </row>
    <row r="6042" spans="27:30" x14ac:dyDescent="0.3">
      <c r="AA6042" s="37">
        <v>6022</v>
      </c>
      <c r="AB6042" s="37">
        <v>1.71775697674037</v>
      </c>
      <c r="AC6042" s="37">
        <v>2.8357412968181075</v>
      </c>
      <c r="AD6042" s="37">
        <v>3.5999254769078042</v>
      </c>
    </row>
    <row r="6043" spans="27:30" x14ac:dyDescent="0.3">
      <c r="AA6043" s="37">
        <v>6023</v>
      </c>
      <c r="AB6043" s="37">
        <v>1.7733965489083559</v>
      </c>
      <c r="AC6043" s="37">
        <v>2.7648722721729593</v>
      </c>
      <c r="AD6043" s="37">
        <v>3.3846147110420568</v>
      </c>
    </row>
    <row r="6044" spans="27:30" x14ac:dyDescent="0.3">
      <c r="AA6044" s="37">
        <v>6024</v>
      </c>
      <c r="AB6044" s="37">
        <v>1.6578563727259208</v>
      </c>
      <c r="AC6044" s="37">
        <v>2.9027157064282103</v>
      </c>
      <c r="AD6044" s="37">
        <v>3.3227989801797655</v>
      </c>
    </row>
    <row r="6045" spans="27:30" x14ac:dyDescent="0.3">
      <c r="AA6045" s="37">
        <v>6025</v>
      </c>
      <c r="AB6045" s="37">
        <v>1.7896537271576662</v>
      </c>
      <c r="AC6045" s="37">
        <v>2.9189474672315256</v>
      </c>
      <c r="AD6045" s="37">
        <v>3.6751836212361813</v>
      </c>
    </row>
    <row r="6046" spans="27:30" x14ac:dyDescent="0.3">
      <c r="AA6046" s="37">
        <v>6026</v>
      </c>
      <c r="AB6046" s="37">
        <v>1.8014034126497309</v>
      </c>
      <c r="AC6046" s="37">
        <v>3.0103212596815845</v>
      </c>
      <c r="AD6046" s="37">
        <v>3.2412208301452372</v>
      </c>
    </row>
    <row r="6047" spans="27:30" x14ac:dyDescent="0.3">
      <c r="AA6047" s="37">
        <v>6027</v>
      </c>
      <c r="AB6047" s="37">
        <v>1.7030142643355628</v>
      </c>
      <c r="AC6047" s="37">
        <v>2.837708870081364</v>
      </c>
      <c r="AD6047" s="37">
        <v>3.3605024027367976</v>
      </c>
    </row>
    <row r="6048" spans="27:30" x14ac:dyDescent="0.3">
      <c r="AA6048" s="37">
        <v>6028</v>
      </c>
      <c r="AB6048" s="37">
        <v>1.6547966394409506</v>
      </c>
      <c r="AC6048" s="37">
        <v>2.7565458769298106</v>
      </c>
      <c r="AD6048" s="37">
        <v>3.1461824465558577</v>
      </c>
    </row>
    <row r="6049" spans="27:30" x14ac:dyDescent="0.3">
      <c r="AA6049" s="37">
        <v>6029</v>
      </c>
      <c r="AB6049" s="37">
        <v>1.8622314351981042</v>
      </c>
      <c r="AC6049" s="37">
        <v>2.9280571310651911</v>
      </c>
      <c r="AD6049" s="37">
        <v>3.4710091675214541</v>
      </c>
    </row>
    <row r="6050" spans="27:30" x14ac:dyDescent="0.3">
      <c r="AA6050" s="37">
        <v>6030</v>
      </c>
      <c r="AB6050" s="37">
        <v>1.719463509006538</v>
      </c>
      <c r="AC6050" s="37">
        <v>2.8824089947259202</v>
      </c>
      <c r="AD6050" s="37">
        <v>3.2387296081674042</v>
      </c>
    </row>
    <row r="6051" spans="27:30" x14ac:dyDescent="0.3">
      <c r="AA6051" s="37">
        <v>6031</v>
      </c>
      <c r="AB6051" s="37">
        <v>1.6744212713537783</v>
      </c>
      <c r="AC6051" s="37">
        <v>2.6261508516229251</v>
      </c>
      <c r="AD6051" s="37">
        <v>3.1805094214872174</v>
      </c>
    </row>
    <row r="6052" spans="27:30" x14ac:dyDescent="0.3">
      <c r="AA6052" s="37">
        <v>6032</v>
      </c>
      <c r="AB6052" s="37">
        <v>1.8474597801032968</v>
      </c>
      <c r="AC6052" s="37">
        <v>2.93755333105215</v>
      </c>
      <c r="AD6052" s="37">
        <v>3.2749011408828208</v>
      </c>
    </row>
    <row r="6053" spans="27:30" x14ac:dyDescent="0.3">
      <c r="AA6053" s="37">
        <v>6033</v>
      </c>
      <c r="AB6053" s="37">
        <v>1.6451750771803062</v>
      </c>
      <c r="AC6053" s="37">
        <v>2.8564544766935454</v>
      </c>
      <c r="AD6053" s="37">
        <v>3.317365148233224</v>
      </c>
    </row>
    <row r="6054" spans="27:30" x14ac:dyDescent="0.3">
      <c r="AA6054" s="37">
        <v>6034</v>
      </c>
      <c r="AB6054" s="37">
        <v>1.8046065016558359</v>
      </c>
      <c r="AC6054" s="37">
        <v>2.9499191110024978</v>
      </c>
      <c r="AD6054" s="37">
        <v>3.4534256808566344</v>
      </c>
    </row>
    <row r="6055" spans="27:30" x14ac:dyDescent="0.3">
      <c r="AA6055" s="37">
        <v>6035</v>
      </c>
      <c r="AB6055" s="37">
        <v>1.7497627801934881</v>
      </c>
      <c r="AC6055" s="37">
        <v>2.9123803116831186</v>
      </c>
      <c r="AD6055" s="37">
        <v>3.3775773572536516</v>
      </c>
    </row>
    <row r="6056" spans="27:30" x14ac:dyDescent="0.3">
      <c r="AA6056" s="37">
        <v>6036</v>
      </c>
      <c r="AB6056" s="37">
        <v>1.8324952056175268</v>
      </c>
      <c r="AC6056" s="37">
        <v>2.9470600505074693</v>
      </c>
      <c r="AD6056" s="37">
        <v>3.3048322668013879</v>
      </c>
    </row>
    <row r="6057" spans="27:30" x14ac:dyDescent="0.3">
      <c r="AA6057" s="37">
        <v>6037</v>
      </c>
      <c r="AB6057" s="37">
        <v>1.7435166292139466</v>
      </c>
      <c r="AC6057" s="37">
        <v>2.8609147073882184</v>
      </c>
      <c r="AD6057" s="37">
        <v>3.3106158898816167</v>
      </c>
    </row>
    <row r="6058" spans="27:30" x14ac:dyDescent="0.3">
      <c r="AA6058" s="37">
        <v>6038</v>
      </c>
      <c r="AB6058" s="37">
        <v>1.7673482106416762</v>
      </c>
      <c r="AC6058" s="37">
        <v>2.873696972600583</v>
      </c>
      <c r="AD6058" s="37">
        <v>3.1683227177594762</v>
      </c>
    </row>
    <row r="6059" spans="27:30" x14ac:dyDescent="0.3">
      <c r="AA6059" s="37">
        <v>6039</v>
      </c>
      <c r="AB6059" s="37">
        <v>1.8320938727647587</v>
      </c>
      <c r="AC6059" s="37">
        <v>2.9060659689697093</v>
      </c>
      <c r="AD6059" s="37">
        <v>3.2153990057806148</v>
      </c>
    </row>
    <row r="6060" spans="27:30" x14ac:dyDescent="0.3">
      <c r="AA6060" s="37">
        <v>6040</v>
      </c>
      <c r="AB6060" s="37">
        <v>1.7702059713888678</v>
      </c>
      <c r="AC6060" s="37">
        <v>2.5798977041479545</v>
      </c>
      <c r="AD6060" s="37">
        <v>3.349194392757282</v>
      </c>
    </row>
    <row r="6061" spans="27:30" x14ac:dyDescent="0.3">
      <c r="AA6061" s="37">
        <v>6041</v>
      </c>
      <c r="AB6061" s="37">
        <v>1.7322974046991524</v>
      </c>
      <c r="AC6061" s="37">
        <v>2.6542720955073258</v>
      </c>
      <c r="AD6061" s="37">
        <v>3.5479119307143887</v>
      </c>
    </row>
    <row r="6062" spans="27:30" x14ac:dyDescent="0.3">
      <c r="AA6062" s="37">
        <v>6042</v>
      </c>
      <c r="AB6062" s="37">
        <v>1.786534907593011</v>
      </c>
      <c r="AC6062" s="37">
        <v>2.8540726582106908</v>
      </c>
      <c r="AD6062" s="37">
        <v>3.3585242650707205</v>
      </c>
    </row>
    <row r="6063" spans="27:30" x14ac:dyDescent="0.3">
      <c r="AA6063" s="37">
        <v>6043</v>
      </c>
      <c r="AB6063" s="37">
        <v>1.7860353578926738</v>
      </c>
      <c r="AC6063" s="37">
        <v>2.9476058918280299</v>
      </c>
      <c r="AD6063" s="37">
        <v>3.3744182960414197</v>
      </c>
    </row>
    <row r="6064" spans="27:30" x14ac:dyDescent="0.3">
      <c r="AA6064" s="37">
        <v>6044</v>
      </c>
      <c r="AB6064" s="37">
        <v>1.7039520965346573</v>
      </c>
      <c r="AC6064" s="37">
        <v>2.8750009517323813</v>
      </c>
      <c r="AD6064" s="37">
        <v>3.4870172542253495</v>
      </c>
    </row>
    <row r="6065" spans="27:30" x14ac:dyDescent="0.3">
      <c r="AA6065" s="37">
        <v>6045</v>
      </c>
      <c r="AB6065" s="37">
        <v>1.8833008596371839</v>
      </c>
      <c r="AC6065" s="37">
        <v>2.8588904001251363</v>
      </c>
      <c r="AD6065" s="37">
        <v>3.3231976112626964</v>
      </c>
    </row>
    <row r="6066" spans="27:30" x14ac:dyDescent="0.3">
      <c r="AA6066" s="37">
        <v>6046</v>
      </c>
      <c r="AB6066" s="37">
        <v>1.710568272367845</v>
      </c>
      <c r="AC6066" s="37">
        <v>2.8841452799221465</v>
      </c>
      <c r="AD6066" s="37">
        <v>3.2807692752827027</v>
      </c>
    </row>
    <row r="6067" spans="27:30" x14ac:dyDescent="0.3">
      <c r="AA6067" s="37">
        <v>6047</v>
      </c>
      <c r="AB6067" s="37">
        <v>1.7933283226122405</v>
      </c>
      <c r="AC6067" s="37">
        <v>2.9306240413203546</v>
      </c>
      <c r="AD6067" s="37">
        <v>3.2653884127972383</v>
      </c>
    </row>
    <row r="6068" spans="27:30" x14ac:dyDescent="0.3">
      <c r="AA6068" s="37">
        <v>6048</v>
      </c>
      <c r="AB6068" s="37">
        <v>1.8062756053293816</v>
      </c>
      <c r="AC6068" s="37">
        <v>2.918897299575161</v>
      </c>
      <c r="AD6068" s="37">
        <v>3.3649731545826875</v>
      </c>
    </row>
    <row r="6069" spans="27:30" x14ac:dyDescent="0.3">
      <c r="AA6069" s="37">
        <v>6049</v>
      </c>
      <c r="AB6069" s="37">
        <v>1.7956006447407891</v>
      </c>
      <c r="AC6069" s="37">
        <v>2.8309528708421716</v>
      </c>
      <c r="AD6069" s="37">
        <v>3.320267600471082</v>
      </c>
    </row>
    <row r="6070" spans="27:30" x14ac:dyDescent="0.3">
      <c r="AA6070" s="37">
        <v>6050</v>
      </c>
      <c r="AB6070" s="37">
        <v>1.8345416836727151</v>
      </c>
      <c r="AC6070" s="37">
        <v>2.7987341523111944</v>
      </c>
      <c r="AD6070" s="37">
        <v>3.4888516844319573</v>
      </c>
    </row>
    <row r="6071" spans="27:30" x14ac:dyDescent="0.3">
      <c r="AA6071" s="37">
        <v>6051</v>
      </c>
      <c r="AB6071" s="37">
        <v>1.7046451912394656</v>
      </c>
      <c r="AC6071" s="37">
        <v>2.9867367994561502</v>
      </c>
      <c r="AD6071" s="37">
        <v>3.3244950393575925</v>
      </c>
    </row>
    <row r="6072" spans="27:30" x14ac:dyDescent="0.3">
      <c r="AA6072" s="37">
        <v>6052</v>
      </c>
      <c r="AB6072" s="37">
        <v>1.8329108108959833</v>
      </c>
      <c r="AC6072" s="37">
        <v>2.9886161897633712</v>
      </c>
      <c r="AD6072" s="37">
        <v>3.2504873739034736</v>
      </c>
    </row>
    <row r="6073" spans="27:30" x14ac:dyDescent="0.3">
      <c r="AA6073" s="37">
        <v>6053</v>
      </c>
      <c r="AB6073" s="37">
        <v>1.876574180681307</v>
      </c>
      <c r="AC6073" s="37">
        <v>2.9412736270860504</v>
      </c>
      <c r="AD6073" s="37">
        <v>3.4117380674295865</v>
      </c>
    </row>
    <row r="6074" spans="27:30" x14ac:dyDescent="0.3">
      <c r="AA6074" s="37">
        <v>6054</v>
      </c>
      <c r="AB6074" s="37">
        <v>1.7704967422316777</v>
      </c>
      <c r="AC6074" s="37">
        <v>2.8038326585352351</v>
      </c>
      <c r="AD6074" s="37">
        <v>3.4656243271624638</v>
      </c>
    </row>
    <row r="6075" spans="27:30" x14ac:dyDescent="0.3">
      <c r="AA6075" s="37">
        <v>6055</v>
      </c>
      <c r="AB6075" s="37">
        <v>1.8581836262650462</v>
      </c>
      <c r="AC6075" s="37">
        <v>2.9627424858486209</v>
      </c>
      <c r="AD6075" s="37">
        <v>3.1795280865901918</v>
      </c>
    </row>
    <row r="6076" spans="27:30" x14ac:dyDescent="0.3">
      <c r="AA6076" s="37">
        <v>6056</v>
      </c>
      <c r="AB6076" s="37">
        <v>1.810841017504319</v>
      </c>
      <c r="AC6076" s="37">
        <v>2.9955310153330861</v>
      </c>
      <c r="AD6076" s="37">
        <v>3.4720936039489563</v>
      </c>
    </row>
    <row r="6077" spans="27:30" x14ac:dyDescent="0.3">
      <c r="AA6077" s="37">
        <v>6057</v>
      </c>
      <c r="AB6077" s="37">
        <v>1.8984239117075088</v>
      </c>
      <c r="AC6077" s="37">
        <v>3.1596632742818662</v>
      </c>
      <c r="AD6077" s="37">
        <v>3.4934608778261858</v>
      </c>
    </row>
    <row r="6078" spans="27:30" x14ac:dyDescent="0.3">
      <c r="AA6078" s="37">
        <v>6058</v>
      </c>
      <c r="AB6078" s="37">
        <v>1.6924886534084964</v>
      </c>
      <c r="AC6078" s="37">
        <v>3.2472323337634066</v>
      </c>
      <c r="AD6078" s="37">
        <v>3.3035000074838408</v>
      </c>
    </row>
    <row r="6079" spans="27:30" x14ac:dyDescent="0.3">
      <c r="AA6079" s="37">
        <v>6059</v>
      </c>
      <c r="AB6079" s="37">
        <v>1.7865132510811113</v>
      </c>
      <c r="AC6079" s="37">
        <v>2.6105331862264278</v>
      </c>
      <c r="AD6079" s="37">
        <v>3.4333619592859663</v>
      </c>
    </row>
    <row r="6080" spans="27:30" x14ac:dyDescent="0.3">
      <c r="AA6080" s="37">
        <v>6060</v>
      </c>
      <c r="AB6080" s="37">
        <v>1.7781815655947923</v>
      </c>
      <c r="AC6080" s="37">
        <v>2.8061688474723945</v>
      </c>
      <c r="AD6080" s="37">
        <v>3.3096613950701146</v>
      </c>
    </row>
    <row r="6081" spans="27:30" x14ac:dyDescent="0.3">
      <c r="AA6081" s="37">
        <v>6061</v>
      </c>
      <c r="AB6081" s="37">
        <v>1.6708245676922735</v>
      </c>
      <c r="AC6081" s="37">
        <v>2.8233568906967932</v>
      </c>
      <c r="AD6081" s="37">
        <v>3.4214206871021751</v>
      </c>
    </row>
    <row r="6082" spans="27:30" x14ac:dyDescent="0.3">
      <c r="AA6082" s="37">
        <v>6062</v>
      </c>
      <c r="AB6082" s="37">
        <v>1.7921498333846961</v>
      </c>
      <c r="AC6082" s="37">
        <v>2.9176687195200421</v>
      </c>
      <c r="AD6082" s="37">
        <v>3.2129466317177129</v>
      </c>
    </row>
    <row r="6083" spans="27:30" x14ac:dyDescent="0.3">
      <c r="AA6083" s="37">
        <v>6063</v>
      </c>
      <c r="AB6083" s="37">
        <v>1.8325310316279484</v>
      </c>
      <c r="AC6083" s="37">
        <v>2.7587137889861135</v>
      </c>
      <c r="AD6083" s="37">
        <v>3.2119614170587885</v>
      </c>
    </row>
    <row r="6084" spans="27:30" x14ac:dyDescent="0.3">
      <c r="AA6084" s="37">
        <v>6064</v>
      </c>
      <c r="AB6084" s="37">
        <v>1.761380574168941</v>
      </c>
      <c r="AC6084" s="37">
        <v>2.8787314723965296</v>
      </c>
      <c r="AD6084" s="37">
        <v>3.3884714170638723</v>
      </c>
    </row>
    <row r="6085" spans="27:30" x14ac:dyDescent="0.3">
      <c r="AA6085" s="37">
        <v>6065</v>
      </c>
      <c r="AB6085" s="37">
        <v>1.7507113581663007</v>
      </c>
      <c r="AC6085" s="37">
        <v>2.9136004422409059</v>
      </c>
      <c r="AD6085" s="37">
        <v>3.3961266304983706</v>
      </c>
    </row>
    <row r="6086" spans="27:30" x14ac:dyDescent="0.3">
      <c r="AA6086" s="37">
        <v>6066</v>
      </c>
      <c r="AB6086" s="37">
        <v>1.7800602005673463</v>
      </c>
      <c r="AC6086" s="37">
        <v>2.8496166617802747</v>
      </c>
      <c r="AD6086" s="37">
        <v>3.4277916489021836</v>
      </c>
    </row>
    <row r="6087" spans="27:30" x14ac:dyDescent="0.3">
      <c r="AA6087" s="37">
        <v>6067</v>
      </c>
      <c r="AB6087" s="37">
        <v>1.8684343793057818</v>
      </c>
      <c r="AC6087" s="37">
        <v>2.8727828841827483</v>
      </c>
      <c r="AD6087" s="37">
        <v>3.4126389612020072</v>
      </c>
    </row>
    <row r="6088" spans="27:30" x14ac:dyDescent="0.3">
      <c r="AA6088" s="37">
        <v>6068</v>
      </c>
      <c r="AB6088" s="37">
        <v>1.7707624853417723</v>
      </c>
      <c r="AC6088" s="37">
        <v>2.7687830247272696</v>
      </c>
      <c r="AD6088" s="37">
        <v>3.2457631170516694</v>
      </c>
    </row>
    <row r="6089" spans="27:30" x14ac:dyDescent="0.3">
      <c r="AA6089" s="37">
        <v>6069</v>
      </c>
      <c r="AB6089" s="37">
        <v>1.8235781382709746</v>
      </c>
      <c r="AC6089" s="37">
        <v>2.6974276548276541</v>
      </c>
      <c r="AD6089" s="37">
        <v>3.4429783850507203</v>
      </c>
    </row>
    <row r="6090" spans="27:30" x14ac:dyDescent="0.3">
      <c r="AA6090" s="37">
        <v>6070</v>
      </c>
      <c r="AB6090" s="37">
        <v>1.8576229898587793</v>
      </c>
      <c r="AC6090" s="37">
        <v>2.9105542965519571</v>
      </c>
      <c r="AD6090" s="37">
        <v>3.1687920301520709</v>
      </c>
    </row>
    <row r="6091" spans="27:30" x14ac:dyDescent="0.3">
      <c r="AA6091" s="37">
        <v>6071</v>
      </c>
      <c r="AB6091" s="37">
        <v>1.907950032503573</v>
      </c>
      <c r="AC6091" s="37">
        <v>2.8345652470533707</v>
      </c>
      <c r="AD6091" s="37">
        <v>3.1796272121070763</v>
      </c>
    </row>
    <row r="6092" spans="27:30" x14ac:dyDescent="0.3">
      <c r="AA6092" s="37">
        <v>6072</v>
      </c>
      <c r="AB6092" s="37">
        <v>1.5827044025008565</v>
      </c>
      <c r="AC6092" s="37">
        <v>2.8478743661873178</v>
      </c>
      <c r="AD6092" s="37">
        <v>3.28010992473705</v>
      </c>
    </row>
    <row r="6093" spans="27:30" x14ac:dyDescent="0.3">
      <c r="AA6093" s="37">
        <v>6073</v>
      </c>
      <c r="AB6093" s="37">
        <v>1.7861138760104449</v>
      </c>
      <c r="AC6093" s="37">
        <v>2.806853083530946</v>
      </c>
      <c r="AD6093" s="37">
        <v>3.3610865092229618</v>
      </c>
    </row>
    <row r="6094" spans="27:30" x14ac:dyDescent="0.3">
      <c r="AA6094" s="37">
        <v>6074</v>
      </c>
      <c r="AB6094" s="37">
        <v>1.687157558334315</v>
      </c>
      <c r="AC6094" s="37">
        <v>2.8186020023826273</v>
      </c>
      <c r="AD6094" s="37">
        <v>3.4021615052023901</v>
      </c>
    </row>
    <row r="6095" spans="27:30" x14ac:dyDescent="0.3">
      <c r="AA6095" s="37">
        <v>6075</v>
      </c>
      <c r="AB6095" s="37">
        <v>1.8738988374428067</v>
      </c>
      <c r="AC6095" s="37">
        <v>2.9181698792859319</v>
      </c>
      <c r="AD6095" s="37">
        <v>3.3969985728364391</v>
      </c>
    </row>
    <row r="6096" spans="27:30" x14ac:dyDescent="0.3">
      <c r="AA6096" s="37">
        <v>6076</v>
      </c>
      <c r="AB6096" s="37">
        <v>1.7031855080591238</v>
      </c>
      <c r="AC6096" s="37">
        <v>2.8142928601598287</v>
      </c>
      <c r="AD6096" s="37">
        <v>3.4181075092440985</v>
      </c>
    </row>
    <row r="6097" spans="27:30" x14ac:dyDescent="0.3">
      <c r="AA6097" s="37">
        <v>6077</v>
      </c>
      <c r="AB6097" s="37">
        <v>1.7441025778186334</v>
      </c>
      <c r="AC6097" s="37">
        <v>2.7393574009669108</v>
      </c>
      <c r="AD6097" s="37">
        <v>3.2941043602904103</v>
      </c>
    </row>
    <row r="6098" spans="27:30" x14ac:dyDescent="0.3">
      <c r="AA6098" s="37">
        <v>6078</v>
      </c>
      <c r="AB6098" s="37">
        <v>1.8001741961168245</v>
      </c>
      <c r="AC6098" s="37">
        <v>2.8873874549042595</v>
      </c>
      <c r="AD6098" s="37">
        <v>3.563347903224892</v>
      </c>
    </row>
    <row r="6099" spans="27:30" x14ac:dyDescent="0.3">
      <c r="AA6099" s="37">
        <v>6079</v>
      </c>
      <c r="AB6099" s="37">
        <v>1.7035273427287674</v>
      </c>
      <c r="AC6099" s="37">
        <v>2.8387961983791836</v>
      </c>
      <c r="AD6099" s="37">
        <v>3.2723705210178506</v>
      </c>
    </row>
    <row r="6100" spans="27:30" x14ac:dyDescent="0.3">
      <c r="AA6100" s="37">
        <v>6080</v>
      </c>
      <c r="AB6100" s="37">
        <v>1.7222916513125535</v>
      </c>
      <c r="AC6100" s="37">
        <v>2.757043658782182</v>
      </c>
      <c r="AD6100" s="37">
        <v>3.2644388619394284</v>
      </c>
    </row>
    <row r="6101" spans="27:30" x14ac:dyDescent="0.3">
      <c r="AA6101" s="37">
        <v>6081</v>
      </c>
      <c r="AB6101" s="37">
        <v>1.6810348377882138</v>
      </c>
      <c r="AC6101" s="37">
        <v>2.7972712024672957</v>
      </c>
      <c r="AD6101" s="37">
        <v>3.1190521401943778</v>
      </c>
    </row>
    <row r="6102" spans="27:30" x14ac:dyDescent="0.3">
      <c r="AA6102" s="37">
        <v>6082</v>
      </c>
      <c r="AB6102" s="37">
        <v>1.860326250695683</v>
      </c>
      <c r="AC6102" s="37">
        <v>2.9347381902331211</v>
      </c>
      <c r="AD6102" s="37">
        <v>3.2068560890631561</v>
      </c>
    </row>
    <row r="6103" spans="27:30" x14ac:dyDescent="0.3">
      <c r="AA6103" s="37">
        <v>6083</v>
      </c>
      <c r="AB6103" s="37">
        <v>1.8186092778266061</v>
      </c>
      <c r="AC6103" s="37">
        <v>2.6442764773206493</v>
      </c>
      <c r="AD6103" s="37">
        <v>3.3780630357172794</v>
      </c>
    </row>
    <row r="6104" spans="27:30" x14ac:dyDescent="0.3">
      <c r="AA6104" s="37">
        <v>6084</v>
      </c>
      <c r="AB6104" s="37">
        <v>1.8302968487238078</v>
      </c>
      <c r="AC6104" s="37">
        <v>2.7250844134825196</v>
      </c>
      <c r="AD6104" s="37">
        <v>3.2338613277874559</v>
      </c>
    </row>
    <row r="6105" spans="27:30" x14ac:dyDescent="0.3">
      <c r="AA6105" s="37">
        <v>6085</v>
      </c>
      <c r="AB6105" s="37">
        <v>1.8649454268596044</v>
      </c>
      <c r="AC6105" s="37">
        <v>3.0774849821216699</v>
      </c>
      <c r="AD6105" s="37">
        <v>3.3048327340606223</v>
      </c>
    </row>
    <row r="6106" spans="27:30" x14ac:dyDescent="0.3">
      <c r="AA6106" s="37">
        <v>6086</v>
      </c>
      <c r="AB6106" s="37">
        <v>1.6930570793289925</v>
      </c>
      <c r="AC6106" s="37">
        <v>2.7920967730549524</v>
      </c>
      <c r="AD6106" s="37">
        <v>3.4454117507612869</v>
      </c>
    </row>
    <row r="6107" spans="27:30" x14ac:dyDescent="0.3">
      <c r="AA6107" s="37">
        <v>6087</v>
      </c>
      <c r="AB6107" s="37">
        <v>1.753283482516943</v>
      </c>
      <c r="AC6107" s="37">
        <v>2.705759551950575</v>
      </c>
      <c r="AD6107" s="37">
        <v>3.2851644916918343</v>
      </c>
    </row>
    <row r="6108" spans="27:30" x14ac:dyDescent="0.3">
      <c r="AA6108" s="37">
        <v>6088</v>
      </c>
      <c r="AB6108" s="37">
        <v>1.8185514921347992</v>
      </c>
      <c r="AC6108" s="37">
        <v>2.8828341704558809</v>
      </c>
      <c r="AD6108" s="37">
        <v>3.3631187798248363</v>
      </c>
    </row>
    <row r="6109" spans="27:30" x14ac:dyDescent="0.3">
      <c r="AA6109" s="37">
        <v>6089</v>
      </c>
      <c r="AB6109" s="37">
        <v>1.8001172967681003</v>
      </c>
      <c r="AC6109" s="37">
        <v>2.6952718513718792</v>
      </c>
      <c r="AD6109" s="37">
        <v>3.1169586973646037</v>
      </c>
    </row>
    <row r="6110" spans="27:30" x14ac:dyDescent="0.3">
      <c r="AA6110" s="37">
        <v>6090</v>
      </c>
      <c r="AB6110" s="37">
        <v>1.6992106887900109</v>
      </c>
      <c r="AC6110" s="37">
        <v>2.8411142254188451</v>
      </c>
      <c r="AD6110" s="37">
        <v>3.1977120367655316</v>
      </c>
    </row>
    <row r="6111" spans="27:30" x14ac:dyDescent="0.3">
      <c r="AA6111" s="37">
        <v>6091</v>
      </c>
      <c r="AB6111" s="37">
        <v>1.8937059194137515</v>
      </c>
      <c r="AC6111" s="37">
        <v>2.8384659610196521</v>
      </c>
      <c r="AD6111" s="37">
        <v>3.5053067781447282</v>
      </c>
    </row>
    <row r="6112" spans="27:30" x14ac:dyDescent="0.3">
      <c r="AA6112" s="37">
        <v>6092</v>
      </c>
      <c r="AB6112" s="37">
        <v>1.7443769387729786</v>
      </c>
      <c r="AC6112" s="37">
        <v>2.7364296152942655</v>
      </c>
      <c r="AD6112" s="37">
        <v>3.3659313852109589</v>
      </c>
    </row>
    <row r="6113" spans="27:30" x14ac:dyDescent="0.3">
      <c r="AA6113" s="37">
        <v>6093</v>
      </c>
      <c r="AB6113" s="37">
        <v>1.714051271707955</v>
      </c>
      <c r="AC6113" s="37">
        <v>2.9418275144019868</v>
      </c>
      <c r="AD6113" s="37">
        <v>3.2679080220095975</v>
      </c>
    </row>
    <row r="6114" spans="27:30" x14ac:dyDescent="0.3">
      <c r="AA6114" s="37">
        <v>6094</v>
      </c>
      <c r="AB6114" s="37">
        <v>1.7524484055608518</v>
      </c>
      <c r="AC6114" s="37">
        <v>2.7470178723540273</v>
      </c>
      <c r="AD6114" s="37">
        <v>3.2766601401711832</v>
      </c>
    </row>
    <row r="6115" spans="27:30" x14ac:dyDescent="0.3">
      <c r="AA6115" s="37">
        <v>6095</v>
      </c>
      <c r="AB6115" s="37">
        <v>1.7402920852655708</v>
      </c>
      <c r="AC6115" s="37">
        <v>2.9277517954270813</v>
      </c>
      <c r="AD6115" s="37">
        <v>3.3978806415181593</v>
      </c>
    </row>
    <row r="6116" spans="27:30" x14ac:dyDescent="0.3">
      <c r="AA6116" s="37">
        <v>6096</v>
      </c>
      <c r="AB6116" s="37">
        <v>1.7132507051860364</v>
      </c>
      <c r="AC6116" s="37">
        <v>2.8257434629324125</v>
      </c>
      <c r="AD6116" s="37">
        <v>3.2573527925169752</v>
      </c>
    </row>
    <row r="6117" spans="27:30" x14ac:dyDescent="0.3">
      <c r="AA6117" s="37">
        <v>6097</v>
      </c>
      <c r="AB6117" s="37">
        <v>1.7932342065100761</v>
      </c>
      <c r="AC6117" s="37">
        <v>2.8719108809884899</v>
      </c>
      <c r="AD6117" s="37">
        <v>3.216267373274627</v>
      </c>
    </row>
    <row r="6118" spans="27:30" x14ac:dyDescent="0.3">
      <c r="AA6118" s="37">
        <v>6098</v>
      </c>
      <c r="AB6118" s="37">
        <v>1.6752076497882955</v>
      </c>
      <c r="AC6118" s="37">
        <v>2.7876008053236245</v>
      </c>
      <c r="AD6118" s="37">
        <v>3.5272539827321263</v>
      </c>
    </row>
    <row r="6119" spans="27:30" x14ac:dyDescent="0.3">
      <c r="AA6119" s="37">
        <v>6099</v>
      </c>
      <c r="AB6119" s="37">
        <v>1.780204545620558</v>
      </c>
      <c r="AC6119" s="37">
        <v>2.8190319210113781</v>
      </c>
      <c r="AD6119" s="37">
        <v>3.4002715689074456</v>
      </c>
    </row>
    <row r="6120" spans="27:30" x14ac:dyDescent="0.3">
      <c r="AA6120" s="37">
        <v>6100</v>
      </c>
      <c r="AB6120" s="37">
        <v>1.8516009560053768</v>
      </c>
      <c r="AC6120" s="37">
        <v>2.7815047707260585</v>
      </c>
      <c r="AD6120" s="37">
        <v>3.1702381384269116</v>
      </c>
    </row>
    <row r="6121" spans="27:30" x14ac:dyDescent="0.3">
      <c r="AA6121" s="37">
        <v>6101</v>
      </c>
      <c r="AB6121" s="37">
        <v>1.7107821264007284</v>
      </c>
      <c r="AC6121" s="37">
        <v>2.703554433392739</v>
      </c>
      <c r="AD6121" s="37">
        <v>3.4283334283159048</v>
      </c>
    </row>
    <row r="6122" spans="27:30" x14ac:dyDescent="0.3">
      <c r="AA6122" s="37">
        <v>6102</v>
      </c>
      <c r="AB6122" s="37">
        <v>1.8868650748496725</v>
      </c>
      <c r="AC6122" s="37">
        <v>2.9019805898040119</v>
      </c>
      <c r="AD6122" s="37">
        <v>3.3891553862111095</v>
      </c>
    </row>
    <row r="6123" spans="27:30" x14ac:dyDescent="0.3">
      <c r="AA6123" s="37">
        <v>6103</v>
      </c>
      <c r="AB6123" s="37">
        <v>1.9294156612781759</v>
      </c>
      <c r="AC6123" s="37">
        <v>2.8268220910566852</v>
      </c>
      <c r="AD6123" s="37">
        <v>3.5273506459169588</v>
      </c>
    </row>
    <row r="6124" spans="27:30" x14ac:dyDescent="0.3">
      <c r="AA6124" s="37">
        <v>6104</v>
      </c>
      <c r="AB6124" s="37">
        <v>1.830783178057132</v>
      </c>
      <c r="AC6124" s="37">
        <v>2.9113674776309466</v>
      </c>
      <c r="AD6124" s="37">
        <v>3.1815569812475362</v>
      </c>
    </row>
    <row r="6125" spans="27:30" x14ac:dyDescent="0.3">
      <c r="AA6125" s="37">
        <v>6105</v>
      </c>
      <c r="AB6125" s="37">
        <v>1.8010799067511529</v>
      </c>
      <c r="AC6125" s="37">
        <v>2.8041822546928072</v>
      </c>
      <c r="AD6125" s="37">
        <v>3.3365149149197255</v>
      </c>
    </row>
    <row r="6126" spans="27:30" x14ac:dyDescent="0.3">
      <c r="AA6126" s="37">
        <v>6106</v>
      </c>
      <c r="AB6126" s="37">
        <v>1.7853396715282186</v>
      </c>
      <c r="AC6126" s="37">
        <v>2.7190746674917246</v>
      </c>
      <c r="AD6126" s="37">
        <v>3.5063427090862223</v>
      </c>
    </row>
    <row r="6127" spans="27:30" x14ac:dyDescent="0.3">
      <c r="AA6127" s="37">
        <v>6107</v>
      </c>
      <c r="AB6127" s="37">
        <v>1.7714611541205447</v>
      </c>
      <c r="AC6127" s="37">
        <v>2.7410496180361719</v>
      </c>
      <c r="AD6127" s="37">
        <v>3.4870781223803959</v>
      </c>
    </row>
    <row r="6128" spans="27:30" x14ac:dyDescent="0.3">
      <c r="AA6128" s="37">
        <v>6108</v>
      </c>
      <c r="AB6128" s="37">
        <v>1.7592465540095494</v>
      </c>
      <c r="AC6128" s="37">
        <v>2.7806338907604649</v>
      </c>
      <c r="AD6128" s="37">
        <v>3.2152126807296995</v>
      </c>
    </row>
    <row r="6129" spans="27:30" x14ac:dyDescent="0.3">
      <c r="AA6129" s="37">
        <v>6109</v>
      </c>
      <c r="AB6129" s="37">
        <v>1.9364260189043101</v>
      </c>
      <c r="AC6129" s="37">
        <v>2.7814042679799322</v>
      </c>
      <c r="AD6129" s="37">
        <v>3.2591473720894069</v>
      </c>
    </row>
    <row r="6130" spans="27:30" x14ac:dyDescent="0.3">
      <c r="AA6130" s="37">
        <v>6110</v>
      </c>
      <c r="AB6130" s="37">
        <v>1.9302502882454518</v>
      </c>
      <c r="AC6130" s="37">
        <v>2.9196971242364258</v>
      </c>
      <c r="AD6130" s="37">
        <v>3.4265550493924661</v>
      </c>
    </row>
    <row r="6131" spans="27:30" x14ac:dyDescent="0.3">
      <c r="AA6131" s="37">
        <v>6111</v>
      </c>
      <c r="AB6131" s="37">
        <v>1.8219664702049345</v>
      </c>
      <c r="AC6131" s="37">
        <v>2.9773377820741374</v>
      </c>
      <c r="AD6131" s="37">
        <v>3.3244672927349779</v>
      </c>
    </row>
    <row r="6132" spans="27:30" x14ac:dyDescent="0.3">
      <c r="AA6132" s="37">
        <v>6112</v>
      </c>
      <c r="AB6132" s="37">
        <v>1.7033850303533673</v>
      </c>
      <c r="AC6132" s="37">
        <v>2.7940398137274949</v>
      </c>
      <c r="AD6132" s="37">
        <v>3.3075468235854619</v>
      </c>
    </row>
    <row r="6133" spans="27:30" x14ac:dyDescent="0.3">
      <c r="AA6133" s="37">
        <v>6113</v>
      </c>
      <c r="AB6133" s="37">
        <v>1.798977980862122</v>
      </c>
      <c r="AC6133" s="37">
        <v>2.7779642625526617</v>
      </c>
      <c r="AD6133" s="37">
        <v>3.2178617127644835</v>
      </c>
    </row>
    <row r="6134" spans="27:30" x14ac:dyDescent="0.3">
      <c r="AA6134" s="37">
        <v>6114</v>
      </c>
      <c r="AB6134" s="37">
        <v>1.797236484928908</v>
      </c>
      <c r="AC6134" s="37">
        <v>2.7216382763636902</v>
      </c>
      <c r="AD6134" s="37">
        <v>3.3957733982363663</v>
      </c>
    </row>
    <row r="6135" spans="27:30" x14ac:dyDescent="0.3">
      <c r="AA6135" s="37">
        <v>6115</v>
      </c>
      <c r="AB6135" s="37">
        <v>1.7517353448161315</v>
      </c>
      <c r="AC6135" s="37">
        <v>2.8469466864905733</v>
      </c>
      <c r="AD6135" s="37">
        <v>3.378736823694914</v>
      </c>
    </row>
    <row r="6136" spans="27:30" x14ac:dyDescent="0.3">
      <c r="AA6136" s="37">
        <v>6116</v>
      </c>
      <c r="AB6136" s="37">
        <v>1.8227920419457466</v>
      </c>
      <c r="AC6136" s="37">
        <v>2.7187975077372735</v>
      </c>
      <c r="AD6136" s="37">
        <v>2.9548332041562202</v>
      </c>
    </row>
    <row r="6137" spans="27:30" x14ac:dyDescent="0.3">
      <c r="AA6137" s="37">
        <v>6117</v>
      </c>
      <c r="AB6137" s="37">
        <v>1.7639249243440047</v>
      </c>
      <c r="AC6137" s="37">
        <v>2.7106689436995381</v>
      </c>
      <c r="AD6137" s="37">
        <v>3.4272343340797313</v>
      </c>
    </row>
    <row r="6138" spans="27:30" x14ac:dyDescent="0.3">
      <c r="AA6138" s="37">
        <v>6118</v>
      </c>
      <c r="AB6138" s="37">
        <v>1.7038440440561651</v>
      </c>
      <c r="AC6138" s="37">
        <v>2.7447545079536209</v>
      </c>
      <c r="AD6138" s="37">
        <v>3.3912586396321354</v>
      </c>
    </row>
    <row r="6139" spans="27:30" x14ac:dyDescent="0.3">
      <c r="AA6139" s="37">
        <v>6119</v>
      </c>
      <c r="AB6139" s="37">
        <v>1.6640302401915859</v>
      </c>
      <c r="AC6139" s="37">
        <v>2.7777769009854603</v>
      </c>
      <c r="AD6139" s="37">
        <v>3.5829363906696479</v>
      </c>
    </row>
    <row r="6140" spans="27:30" x14ac:dyDescent="0.3">
      <c r="AA6140" s="37">
        <v>6120</v>
      </c>
      <c r="AB6140" s="37">
        <v>1.7332876142621849</v>
      </c>
      <c r="AC6140" s="37">
        <v>2.7249895468040055</v>
      </c>
      <c r="AD6140" s="37">
        <v>3.1828970665231089</v>
      </c>
    </row>
    <row r="6141" spans="27:30" x14ac:dyDescent="0.3">
      <c r="AA6141" s="37">
        <v>6121</v>
      </c>
      <c r="AB6141" s="37">
        <v>1.8449610298782959</v>
      </c>
      <c r="AC6141" s="37">
        <v>2.8004593218036469</v>
      </c>
      <c r="AD6141" s="37">
        <v>3.3945850767777168</v>
      </c>
    </row>
    <row r="6142" spans="27:30" x14ac:dyDescent="0.3">
      <c r="AA6142" s="37">
        <v>6122</v>
      </c>
      <c r="AB6142" s="37">
        <v>1.7575831193701656</v>
      </c>
      <c r="AC6142" s="37">
        <v>2.7629890990920778</v>
      </c>
      <c r="AD6142" s="37">
        <v>3.4251416886871144</v>
      </c>
    </row>
    <row r="6143" spans="27:30" x14ac:dyDescent="0.3">
      <c r="AA6143" s="37">
        <v>6123</v>
      </c>
      <c r="AB6143" s="37">
        <v>1.7292073500114788</v>
      </c>
      <c r="AC6143" s="37">
        <v>2.7006130752477784</v>
      </c>
      <c r="AD6143" s="37">
        <v>3.4338375427404095</v>
      </c>
    </row>
    <row r="6144" spans="27:30" x14ac:dyDescent="0.3">
      <c r="AA6144" s="37">
        <v>6124</v>
      </c>
      <c r="AB6144" s="37">
        <v>1.8018369442985727</v>
      </c>
      <c r="AC6144" s="37">
        <v>3.2206551382339859</v>
      </c>
      <c r="AD6144" s="37">
        <v>3.5387630278961444</v>
      </c>
    </row>
    <row r="6145" spans="27:30" x14ac:dyDescent="0.3">
      <c r="AA6145" s="37">
        <v>6125</v>
      </c>
      <c r="AB6145" s="37">
        <v>1.7581447213127617</v>
      </c>
      <c r="AC6145" s="37">
        <v>2.8551652028350984</v>
      </c>
      <c r="AD6145" s="37">
        <v>3.2159772672465969</v>
      </c>
    </row>
    <row r="6146" spans="27:30" x14ac:dyDescent="0.3">
      <c r="AA6146" s="37">
        <v>6126</v>
      </c>
      <c r="AB6146" s="37">
        <v>1.7414217249698689</v>
      </c>
      <c r="AC6146" s="37">
        <v>2.8055132562895211</v>
      </c>
      <c r="AD6146" s="37">
        <v>3.4439180359312882</v>
      </c>
    </row>
    <row r="6147" spans="27:30" x14ac:dyDescent="0.3">
      <c r="AA6147" s="37">
        <v>6127</v>
      </c>
      <c r="AB6147" s="37">
        <v>1.8138385353645921</v>
      </c>
      <c r="AC6147" s="37">
        <v>2.671686262660014</v>
      </c>
      <c r="AD6147" s="37">
        <v>3.4564276904338702</v>
      </c>
    </row>
    <row r="6148" spans="27:30" x14ac:dyDescent="0.3">
      <c r="AA6148" s="37">
        <v>6128</v>
      </c>
      <c r="AB6148" s="37">
        <v>1.8883038722974412</v>
      </c>
      <c r="AC6148" s="37">
        <v>2.6794946457228757</v>
      </c>
      <c r="AD6148" s="37">
        <v>3.4291803707507467</v>
      </c>
    </row>
    <row r="6149" spans="27:30" x14ac:dyDescent="0.3">
      <c r="AA6149" s="37">
        <v>6129</v>
      </c>
      <c r="AB6149" s="37">
        <v>1.7643028357296993</v>
      </c>
      <c r="AC6149" s="37">
        <v>2.9398831881734222</v>
      </c>
      <c r="AD6149" s="37">
        <v>3.3395671967923692</v>
      </c>
    </row>
    <row r="6150" spans="27:30" x14ac:dyDescent="0.3">
      <c r="AA6150" s="37">
        <v>6130</v>
      </c>
      <c r="AB6150" s="37">
        <v>1.7806301168514025</v>
      </c>
      <c r="AC6150" s="37">
        <v>2.8936201326083228</v>
      </c>
      <c r="AD6150" s="37">
        <v>3.4211407739808855</v>
      </c>
    </row>
    <row r="6151" spans="27:30" x14ac:dyDescent="0.3">
      <c r="AA6151" s="37">
        <v>6131</v>
      </c>
      <c r="AB6151" s="37">
        <v>1.7799283101154912</v>
      </c>
      <c r="AC6151" s="37">
        <v>3.0285118947021004</v>
      </c>
      <c r="AD6151" s="37">
        <v>3.3504445202628044</v>
      </c>
    </row>
    <row r="6152" spans="27:30" x14ac:dyDescent="0.3">
      <c r="AA6152" s="37">
        <v>6132</v>
      </c>
      <c r="AB6152" s="37">
        <v>1.6882536780910473</v>
      </c>
      <c r="AC6152" s="37">
        <v>2.8622684283668161</v>
      </c>
      <c r="AD6152" s="37">
        <v>3.2980708554529343</v>
      </c>
    </row>
    <row r="6153" spans="27:30" x14ac:dyDescent="0.3">
      <c r="AA6153" s="37">
        <v>6133</v>
      </c>
      <c r="AB6153" s="37">
        <v>1.7916260753864328</v>
      </c>
      <c r="AC6153" s="37">
        <v>2.9583891732902714</v>
      </c>
      <c r="AD6153" s="37">
        <v>3.3438566302962824</v>
      </c>
    </row>
    <row r="6154" spans="27:30" x14ac:dyDescent="0.3">
      <c r="AA6154" s="37">
        <v>6134</v>
      </c>
      <c r="AB6154" s="37">
        <v>1.8259378756881388</v>
      </c>
      <c r="AC6154" s="37">
        <v>2.7735486221812375</v>
      </c>
      <c r="AD6154" s="37">
        <v>3.4617609865993333</v>
      </c>
    </row>
    <row r="6155" spans="27:30" x14ac:dyDescent="0.3">
      <c r="AA6155" s="37">
        <v>6135</v>
      </c>
      <c r="AB6155" s="37">
        <v>1.8515865608600344</v>
      </c>
      <c r="AC6155" s="37">
        <v>2.8662993482687908</v>
      </c>
      <c r="AD6155" s="37">
        <v>3.0664294277683015</v>
      </c>
    </row>
    <row r="6156" spans="27:30" x14ac:dyDescent="0.3">
      <c r="AA6156" s="37">
        <v>6136</v>
      </c>
      <c r="AB6156" s="37">
        <v>1.7491197369049394</v>
      </c>
      <c r="AC6156" s="37">
        <v>2.6753498631760544</v>
      </c>
      <c r="AD6156" s="37">
        <v>3.531777455538474</v>
      </c>
    </row>
    <row r="6157" spans="27:30" x14ac:dyDescent="0.3">
      <c r="AA6157" s="37">
        <v>6137</v>
      </c>
      <c r="AB6157" s="37">
        <v>1.8156933970383837</v>
      </c>
      <c r="AC6157" s="37">
        <v>2.9818592698327877</v>
      </c>
      <c r="AD6157" s="37">
        <v>3.3716193117009996</v>
      </c>
    </row>
    <row r="6158" spans="27:30" x14ac:dyDescent="0.3">
      <c r="AA6158" s="37">
        <v>6138</v>
      </c>
      <c r="AB6158" s="37">
        <v>1.867101019812144</v>
      </c>
      <c r="AC6158" s="37">
        <v>2.8219728084605791</v>
      </c>
      <c r="AD6158" s="37">
        <v>3.4002523327443384</v>
      </c>
    </row>
    <row r="6159" spans="27:30" x14ac:dyDescent="0.3">
      <c r="AA6159" s="37">
        <v>6139</v>
      </c>
      <c r="AB6159" s="37">
        <v>1.8474676959738559</v>
      </c>
      <c r="AC6159" s="37">
        <v>2.878872990472507</v>
      </c>
      <c r="AD6159" s="37">
        <v>3.2039360257468248</v>
      </c>
    </row>
    <row r="6160" spans="27:30" x14ac:dyDescent="0.3">
      <c r="AA6160" s="37">
        <v>6140</v>
      </c>
      <c r="AB6160" s="37">
        <v>1.816982827076252</v>
      </c>
      <c r="AC6160" s="37">
        <v>2.7619572316453849</v>
      </c>
      <c r="AD6160" s="37">
        <v>3.3142346088917791</v>
      </c>
    </row>
    <row r="6161" spans="27:30" x14ac:dyDescent="0.3">
      <c r="AA6161" s="37">
        <v>6141</v>
      </c>
      <c r="AB6161" s="37">
        <v>1.8815478325338417</v>
      </c>
      <c r="AC6161" s="37">
        <v>2.701674599381136</v>
      </c>
      <c r="AD6161" s="37">
        <v>3.3013085302580647</v>
      </c>
    </row>
    <row r="6162" spans="27:30" x14ac:dyDescent="0.3">
      <c r="AA6162" s="37">
        <v>6142</v>
      </c>
      <c r="AB6162" s="37">
        <v>1.7082988660459264</v>
      </c>
      <c r="AC6162" s="37">
        <v>2.8976828119160167</v>
      </c>
      <c r="AD6162" s="37">
        <v>3.5755491560196706</v>
      </c>
    </row>
    <row r="6163" spans="27:30" x14ac:dyDescent="0.3">
      <c r="AA6163" s="37">
        <v>6143</v>
      </c>
      <c r="AB6163" s="37">
        <v>1.761333105263188</v>
      </c>
      <c r="AC6163" s="37">
        <v>2.9927209938796864</v>
      </c>
      <c r="AD6163" s="37">
        <v>3.1935866966619457</v>
      </c>
    </row>
    <row r="6164" spans="27:30" x14ac:dyDescent="0.3">
      <c r="AA6164" s="37">
        <v>6144</v>
      </c>
      <c r="AB6164" s="37">
        <v>1.714070165431961</v>
      </c>
      <c r="AC6164" s="37">
        <v>2.8094957911655301</v>
      </c>
      <c r="AD6164" s="37">
        <v>3.4524453647382067</v>
      </c>
    </row>
    <row r="6165" spans="27:30" x14ac:dyDescent="0.3">
      <c r="AA6165" s="37">
        <v>6145</v>
      </c>
      <c r="AB6165" s="37">
        <v>1.7716593411508141</v>
      </c>
      <c r="AC6165" s="37">
        <v>2.9531862746137927</v>
      </c>
      <c r="AD6165" s="37">
        <v>3.5245498618031617</v>
      </c>
    </row>
    <row r="6166" spans="27:30" x14ac:dyDescent="0.3">
      <c r="AA6166" s="37">
        <v>6146</v>
      </c>
      <c r="AB6166" s="37">
        <v>1.7858081046726975</v>
      </c>
      <c r="AC6166" s="37">
        <v>2.7935981783092614</v>
      </c>
      <c r="AD6166" s="37">
        <v>3.2689737542941946</v>
      </c>
    </row>
    <row r="6167" spans="27:30" x14ac:dyDescent="0.3">
      <c r="AA6167" s="37">
        <v>6147</v>
      </c>
      <c r="AB6167" s="37">
        <v>1.6726577801720692</v>
      </c>
      <c r="AC6167" s="37">
        <v>2.6868693579792482</v>
      </c>
      <c r="AD6167" s="37">
        <v>3.6061416460846001</v>
      </c>
    </row>
    <row r="6168" spans="27:30" x14ac:dyDescent="0.3">
      <c r="AA6168" s="37">
        <v>6148</v>
      </c>
      <c r="AB6168" s="37">
        <v>1.7297251323005649</v>
      </c>
      <c r="AC6168" s="37">
        <v>2.7724026630479672</v>
      </c>
      <c r="AD6168" s="37">
        <v>3.4897563165119116</v>
      </c>
    </row>
    <row r="6169" spans="27:30" x14ac:dyDescent="0.3">
      <c r="AA6169" s="37">
        <v>6149</v>
      </c>
      <c r="AB6169" s="37">
        <v>1.8195876474502832</v>
      </c>
      <c r="AC6169" s="37">
        <v>2.9264116504806683</v>
      </c>
      <c r="AD6169" s="37">
        <v>3.1767868812717133</v>
      </c>
    </row>
    <row r="6170" spans="27:30" x14ac:dyDescent="0.3">
      <c r="AA6170" s="37">
        <v>6150</v>
      </c>
      <c r="AB6170" s="37">
        <v>1.7734626722217794</v>
      </c>
      <c r="AC6170" s="37">
        <v>2.817800449095702</v>
      </c>
      <c r="AD6170" s="37">
        <v>3.3428353472549333</v>
      </c>
    </row>
    <row r="6171" spans="27:30" x14ac:dyDescent="0.3">
      <c r="AA6171" s="37">
        <v>6151</v>
      </c>
      <c r="AB6171" s="37">
        <v>1.9045733996319412</v>
      </c>
      <c r="AC6171" s="37">
        <v>3.0241033330135565</v>
      </c>
      <c r="AD6171" s="37">
        <v>3.6300263149065373</v>
      </c>
    </row>
    <row r="6172" spans="27:30" x14ac:dyDescent="0.3">
      <c r="AA6172" s="37">
        <v>6152</v>
      </c>
      <c r="AB6172" s="37">
        <v>1.7346807208451813</v>
      </c>
      <c r="AC6172" s="37">
        <v>2.8537861946626908</v>
      </c>
      <c r="AD6172" s="37">
        <v>3.3643689473661218</v>
      </c>
    </row>
    <row r="6173" spans="27:30" x14ac:dyDescent="0.3">
      <c r="AA6173" s="37">
        <v>6153</v>
      </c>
      <c r="AB6173" s="37">
        <v>1.7326060177924425</v>
      </c>
      <c r="AC6173" s="37">
        <v>2.8668775101191044</v>
      </c>
      <c r="AD6173" s="37">
        <v>3.1961857309934198</v>
      </c>
    </row>
    <row r="6174" spans="27:30" x14ac:dyDescent="0.3">
      <c r="AA6174" s="37">
        <v>6154</v>
      </c>
      <c r="AB6174" s="37">
        <v>1.901054919580609</v>
      </c>
      <c r="AC6174" s="37">
        <v>2.8626582236210854</v>
      </c>
      <c r="AD6174" s="37">
        <v>3.0808012862952996</v>
      </c>
    </row>
    <row r="6175" spans="27:30" x14ac:dyDescent="0.3">
      <c r="AA6175" s="37">
        <v>6155</v>
      </c>
      <c r="AB6175" s="37">
        <v>1.7620382207676839</v>
      </c>
      <c r="AC6175" s="37">
        <v>2.8764908366896198</v>
      </c>
      <c r="AD6175" s="37">
        <v>3.5344781925250386</v>
      </c>
    </row>
    <row r="6176" spans="27:30" x14ac:dyDescent="0.3">
      <c r="AA6176" s="37">
        <v>6156</v>
      </c>
      <c r="AB6176" s="37">
        <v>1.7631043809850493</v>
      </c>
      <c r="AC6176" s="37">
        <v>2.8187477031762072</v>
      </c>
      <c r="AD6176" s="37">
        <v>3.298465739020048</v>
      </c>
    </row>
    <row r="6177" spans="27:30" x14ac:dyDescent="0.3">
      <c r="AA6177" s="37">
        <v>6157</v>
      </c>
      <c r="AB6177" s="37">
        <v>1.7004382773007158</v>
      </c>
      <c r="AC6177" s="37">
        <v>2.8788850320265236</v>
      </c>
      <c r="AD6177" s="37">
        <v>3.2157263073516247</v>
      </c>
    </row>
    <row r="6178" spans="27:30" x14ac:dyDescent="0.3">
      <c r="AA6178" s="37">
        <v>6158</v>
      </c>
      <c r="AB6178" s="37">
        <v>1.9380592790727191</v>
      </c>
      <c r="AC6178" s="37">
        <v>2.8113483653252818</v>
      </c>
      <c r="AD6178" s="37">
        <v>3.2766196367213909</v>
      </c>
    </row>
    <row r="6179" spans="27:30" x14ac:dyDescent="0.3">
      <c r="AA6179" s="37">
        <v>6159</v>
      </c>
      <c r="AB6179" s="37">
        <v>1.7260043637834546</v>
      </c>
      <c r="AC6179" s="37">
        <v>2.788216435475904</v>
      </c>
      <c r="AD6179" s="37">
        <v>3.5103616460582336</v>
      </c>
    </row>
    <row r="6180" spans="27:30" x14ac:dyDescent="0.3">
      <c r="AA6180" s="37">
        <v>6160</v>
      </c>
      <c r="AB6180" s="37">
        <v>1.7940061177183204</v>
      </c>
      <c r="AC6180" s="37">
        <v>2.9384318231887603</v>
      </c>
      <c r="AD6180" s="37">
        <v>3.3562913630152345</v>
      </c>
    </row>
    <row r="6181" spans="27:30" x14ac:dyDescent="0.3">
      <c r="AA6181" s="37">
        <v>6161</v>
      </c>
      <c r="AB6181" s="37">
        <v>1.7837220329559704</v>
      </c>
      <c r="AC6181" s="37">
        <v>2.8690422331433578</v>
      </c>
      <c r="AD6181" s="37">
        <v>3.3585890766376263</v>
      </c>
    </row>
    <row r="6182" spans="27:30" x14ac:dyDescent="0.3">
      <c r="AA6182" s="37">
        <v>6162</v>
      </c>
      <c r="AB6182" s="37">
        <v>1.6629537709593061</v>
      </c>
      <c r="AC6182" s="37">
        <v>2.919051535948801</v>
      </c>
      <c r="AD6182" s="37">
        <v>3.2701911178083312</v>
      </c>
    </row>
    <row r="6183" spans="27:30" x14ac:dyDescent="0.3">
      <c r="AA6183" s="37">
        <v>6163</v>
      </c>
      <c r="AB6183" s="37">
        <v>1.7476170228415708</v>
      </c>
      <c r="AC6183" s="37">
        <v>2.9595896538963844</v>
      </c>
      <c r="AD6183" s="37">
        <v>3.2346796639835524</v>
      </c>
    </row>
    <row r="6184" spans="27:30" x14ac:dyDescent="0.3">
      <c r="AA6184" s="37">
        <v>6164</v>
      </c>
      <c r="AB6184" s="37">
        <v>1.8385730795841808</v>
      </c>
      <c r="AC6184" s="37">
        <v>3.0294732228476478</v>
      </c>
      <c r="AD6184" s="37">
        <v>3.3834013487352594</v>
      </c>
    </row>
    <row r="6185" spans="27:30" x14ac:dyDescent="0.3">
      <c r="AA6185" s="37">
        <v>6165</v>
      </c>
      <c r="AB6185" s="37">
        <v>1.6957395194172302</v>
      </c>
      <c r="AC6185" s="37">
        <v>2.8857217775741355</v>
      </c>
      <c r="AD6185" s="37">
        <v>3.1875211269432295</v>
      </c>
    </row>
    <row r="6186" spans="27:30" x14ac:dyDescent="0.3">
      <c r="AA6186" s="37">
        <v>6166</v>
      </c>
      <c r="AB6186" s="37">
        <v>1.7649821725490498</v>
      </c>
      <c r="AC6186" s="37">
        <v>2.5710405332542976</v>
      </c>
      <c r="AD6186" s="37">
        <v>3.2769379690477258</v>
      </c>
    </row>
    <row r="6187" spans="27:30" x14ac:dyDescent="0.3">
      <c r="AA6187" s="37">
        <v>6167</v>
      </c>
      <c r="AB6187" s="37">
        <v>1.7692423820537644</v>
      </c>
      <c r="AC6187" s="37">
        <v>2.8546491187341103</v>
      </c>
      <c r="AD6187" s="37">
        <v>3.2748796383462246</v>
      </c>
    </row>
    <row r="6188" spans="27:30" x14ac:dyDescent="0.3">
      <c r="AA6188" s="37">
        <v>6168</v>
      </c>
      <c r="AB6188" s="37">
        <v>1.7511450192114026</v>
      </c>
      <c r="AC6188" s="37">
        <v>2.6899046856810056</v>
      </c>
      <c r="AD6188" s="37">
        <v>3.2843792905289941</v>
      </c>
    </row>
    <row r="6189" spans="27:30" x14ac:dyDescent="0.3">
      <c r="AA6189" s="37">
        <v>6169</v>
      </c>
      <c r="AB6189" s="37">
        <v>1.7054688815804373</v>
      </c>
      <c r="AC6189" s="37">
        <v>2.9761413848438414</v>
      </c>
      <c r="AD6189" s="37">
        <v>3.2082614717760678</v>
      </c>
    </row>
    <row r="6190" spans="27:30" x14ac:dyDescent="0.3">
      <c r="AA6190" s="37">
        <v>6170</v>
      </c>
      <c r="AB6190" s="37">
        <v>1.7567714792122149</v>
      </c>
      <c r="AC6190" s="37">
        <v>2.8640054998466646</v>
      </c>
      <c r="AD6190" s="37">
        <v>3.1608168489015727</v>
      </c>
    </row>
    <row r="6191" spans="27:30" x14ac:dyDescent="0.3">
      <c r="AA6191" s="37">
        <v>6171</v>
      </c>
      <c r="AB6191" s="37">
        <v>1.9140016954008314</v>
      </c>
      <c r="AC6191" s="37">
        <v>2.6673068796548423</v>
      </c>
      <c r="AD6191" s="37">
        <v>3.3240508156169013</v>
      </c>
    </row>
    <row r="6192" spans="27:30" x14ac:dyDescent="0.3">
      <c r="AA6192" s="37">
        <v>6172</v>
      </c>
      <c r="AB6192" s="37">
        <v>1.776181653889624</v>
      </c>
      <c r="AC6192" s="37">
        <v>2.7158365426767417</v>
      </c>
      <c r="AD6192" s="37">
        <v>3.3670548206693964</v>
      </c>
    </row>
    <row r="6193" spans="27:30" x14ac:dyDescent="0.3">
      <c r="AA6193" s="37">
        <v>6173</v>
      </c>
      <c r="AB6193" s="37">
        <v>1.775695955754</v>
      </c>
      <c r="AC6193" s="37">
        <v>2.9147608007526284</v>
      </c>
      <c r="AD6193" s="37">
        <v>3.3986689945486064</v>
      </c>
    </row>
    <row r="6194" spans="27:30" x14ac:dyDescent="0.3">
      <c r="AA6194" s="37">
        <v>6174</v>
      </c>
      <c r="AB6194" s="37">
        <v>1.7312981864468071</v>
      </c>
      <c r="AC6194" s="37">
        <v>2.8927274703458115</v>
      </c>
      <c r="AD6194" s="37">
        <v>3.3059758477582548</v>
      </c>
    </row>
    <row r="6195" spans="27:30" x14ac:dyDescent="0.3">
      <c r="AA6195" s="37">
        <v>6175</v>
      </c>
      <c r="AB6195" s="37">
        <v>1.7558377234270102</v>
      </c>
      <c r="AC6195" s="37">
        <v>2.6754012619383958</v>
      </c>
      <c r="AD6195" s="37">
        <v>3.2903141389540949</v>
      </c>
    </row>
    <row r="6196" spans="27:30" x14ac:dyDescent="0.3">
      <c r="AA6196" s="37">
        <v>6176</v>
      </c>
      <c r="AB6196" s="37">
        <v>1.6964385127713595</v>
      </c>
      <c r="AC6196" s="37">
        <v>3.093145509180955</v>
      </c>
      <c r="AD6196" s="37">
        <v>3.3894006480987939</v>
      </c>
    </row>
    <row r="6197" spans="27:30" x14ac:dyDescent="0.3">
      <c r="AA6197" s="37">
        <v>6177</v>
      </c>
      <c r="AB6197" s="37">
        <v>1.9261067299368868</v>
      </c>
      <c r="AC6197" s="37">
        <v>2.8515974263823964</v>
      </c>
      <c r="AD6197" s="37">
        <v>3.3564679640721922</v>
      </c>
    </row>
    <row r="6198" spans="27:30" x14ac:dyDescent="0.3">
      <c r="AA6198" s="37">
        <v>6178</v>
      </c>
      <c r="AB6198" s="37">
        <v>1.7770362220181892</v>
      </c>
      <c r="AC6198" s="37">
        <v>2.7828305635207995</v>
      </c>
      <c r="AD6198" s="37">
        <v>3.3722426054843941</v>
      </c>
    </row>
    <row r="6199" spans="27:30" x14ac:dyDescent="0.3">
      <c r="AA6199" s="37">
        <v>6179</v>
      </c>
      <c r="AB6199" s="37">
        <v>1.8128867871846011</v>
      </c>
      <c r="AC6199" s="37">
        <v>2.9704662597509732</v>
      </c>
      <c r="AD6199" s="37">
        <v>3.4639618232158851</v>
      </c>
    </row>
    <row r="6200" spans="27:30" x14ac:dyDescent="0.3">
      <c r="AA6200" s="37">
        <v>6180</v>
      </c>
      <c r="AB6200" s="37">
        <v>1.7942613845908808</v>
      </c>
      <c r="AC6200" s="37">
        <v>2.9067690153919603</v>
      </c>
      <c r="AD6200" s="37">
        <v>3.4568010589981748</v>
      </c>
    </row>
    <row r="6201" spans="27:30" x14ac:dyDescent="0.3">
      <c r="AA6201" s="37">
        <v>6181</v>
      </c>
      <c r="AB6201" s="37">
        <v>1.8327052884824115</v>
      </c>
      <c r="AC6201" s="37">
        <v>2.8416465447377104</v>
      </c>
      <c r="AD6201" s="37">
        <v>3.4418960109226808</v>
      </c>
    </row>
    <row r="6202" spans="27:30" x14ac:dyDescent="0.3">
      <c r="AA6202" s="37">
        <v>6182</v>
      </c>
      <c r="AB6202" s="37">
        <v>1.7525236525882293</v>
      </c>
      <c r="AC6202" s="37">
        <v>2.7786489858017434</v>
      </c>
      <c r="AD6202" s="37">
        <v>3.3954755665685772</v>
      </c>
    </row>
    <row r="6203" spans="27:30" x14ac:dyDescent="0.3">
      <c r="AA6203" s="37">
        <v>6183</v>
      </c>
      <c r="AB6203" s="37">
        <v>1.8334226365307094</v>
      </c>
      <c r="AC6203" s="37">
        <v>2.7819825391159907</v>
      </c>
      <c r="AD6203" s="37">
        <v>3.329738958898615</v>
      </c>
    </row>
    <row r="6204" spans="27:30" x14ac:dyDescent="0.3">
      <c r="AA6204" s="37">
        <v>6184</v>
      </c>
      <c r="AB6204" s="37">
        <v>1.7824229398559956</v>
      </c>
      <c r="AC6204" s="37">
        <v>3.1054379255948685</v>
      </c>
      <c r="AD6204" s="37">
        <v>3.2696572085059139</v>
      </c>
    </row>
    <row r="6205" spans="27:30" x14ac:dyDescent="0.3">
      <c r="AA6205" s="37">
        <v>6185</v>
      </c>
      <c r="AB6205" s="37">
        <v>1.8464608924271473</v>
      </c>
      <c r="AC6205" s="37">
        <v>2.9258433323388093</v>
      </c>
      <c r="AD6205" s="37">
        <v>3.3661610891386387</v>
      </c>
    </row>
    <row r="6206" spans="27:30" x14ac:dyDescent="0.3">
      <c r="AA6206" s="37">
        <v>6186</v>
      </c>
      <c r="AB6206" s="37">
        <v>1.8967299952740231</v>
      </c>
      <c r="AC6206" s="37">
        <v>2.4969907174523609</v>
      </c>
      <c r="AD6206" s="37">
        <v>3.389931363523992</v>
      </c>
    </row>
    <row r="6207" spans="27:30" x14ac:dyDescent="0.3">
      <c r="AA6207" s="37">
        <v>6187</v>
      </c>
      <c r="AB6207" s="37">
        <v>1.8014578197469866</v>
      </c>
      <c r="AC6207" s="37">
        <v>2.7513023313536955</v>
      </c>
      <c r="AD6207" s="37">
        <v>3.4420019294535069</v>
      </c>
    </row>
    <row r="6208" spans="27:30" x14ac:dyDescent="0.3">
      <c r="AA6208" s="37">
        <v>6188</v>
      </c>
      <c r="AB6208" s="37">
        <v>1.8412343071423796</v>
      </c>
      <c r="AC6208" s="37">
        <v>2.9761492102205875</v>
      </c>
      <c r="AD6208" s="37">
        <v>3.4380993729753002</v>
      </c>
    </row>
    <row r="6209" spans="27:30" x14ac:dyDescent="0.3">
      <c r="AA6209" s="37">
        <v>6189</v>
      </c>
      <c r="AB6209" s="37">
        <v>1.7389574219775916</v>
      </c>
      <c r="AC6209" s="37">
        <v>2.877341714647538</v>
      </c>
      <c r="AD6209" s="37">
        <v>3.3131173879663773</v>
      </c>
    </row>
    <row r="6210" spans="27:30" x14ac:dyDescent="0.3">
      <c r="AA6210" s="37">
        <v>6190</v>
      </c>
      <c r="AB6210" s="37">
        <v>1.7798652932378158</v>
      </c>
      <c r="AC6210" s="37">
        <v>2.8670348322601025</v>
      </c>
      <c r="AD6210" s="37">
        <v>3.303991166225269</v>
      </c>
    </row>
    <row r="6211" spans="27:30" x14ac:dyDescent="0.3">
      <c r="AA6211" s="37">
        <v>6191</v>
      </c>
      <c r="AB6211" s="37">
        <v>1.7316518906028942</v>
      </c>
      <c r="AC6211" s="37">
        <v>2.7438840818768293</v>
      </c>
      <c r="AD6211" s="37">
        <v>3.2699933587489185</v>
      </c>
    </row>
    <row r="6212" spans="27:30" x14ac:dyDescent="0.3">
      <c r="AA6212" s="37">
        <v>6192</v>
      </c>
      <c r="AB6212" s="37">
        <v>1.767279215933923</v>
      </c>
      <c r="AC6212" s="37">
        <v>2.9493774128069874</v>
      </c>
      <c r="AD6212" s="37">
        <v>3.2565256980961577</v>
      </c>
    </row>
    <row r="6213" spans="27:30" x14ac:dyDescent="0.3">
      <c r="AA6213" s="37">
        <v>6193</v>
      </c>
      <c r="AB6213" s="37">
        <v>1.8120922780699324</v>
      </c>
      <c r="AC6213" s="37">
        <v>2.6968161237770043</v>
      </c>
      <c r="AD6213" s="37">
        <v>3.5002477285862081</v>
      </c>
    </row>
    <row r="6214" spans="27:30" x14ac:dyDescent="0.3">
      <c r="AA6214" s="37">
        <v>6194</v>
      </c>
      <c r="AB6214" s="37">
        <v>1.8337519300679657</v>
      </c>
      <c r="AC6214" s="37">
        <v>3.0142878272754769</v>
      </c>
      <c r="AD6214" s="37">
        <v>3.4987501425670522</v>
      </c>
    </row>
    <row r="6215" spans="27:30" x14ac:dyDescent="0.3">
      <c r="AA6215" s="37">
        <v>6195</v>
      </c>
      <c r="AB6215" s="37">
        <v>1.8274671509535216</v>
      </c>
      <c r="AC6215" s="37">
        <v>2.8476420119229813</v>
      </c>
      <c r="AD6215" s="37">
        <v>3.0544817798833863</v>
      </c>
    </row>
    <row r="6216" spans="27:30" x14ac:dyDescent="0.3">
      <c r="AA6216" s="37">
        <v>6196</v>
      </c>
      <c r="AB6216" s="37">
        <v>1.7395353252229642</v>
      </c>
      <c r="AC6216" s="37">
        <v>2.7822174841429881</v>
      </c>
      <c r="AD6216" s="37">
        <v>3.5035285460276229</v>
      </c>
    </row>
    <row r="6217" spans="27:30" x14ac:dyDescent="0.3">
      <c r="AA6217" s="37">
        <v>6197</v>
      </c>
      <c r="AB6217" s="37">
        <v>1.7885640670505683</v>
      </c>
      <c r="AC6217" s="37">
        <v>2.8094443812364425</v>
      </c>
      <c r="AD6217" s="37">
        <v>3.5550292120426059</v>
      </c>
    </row>
    <row r="6218" spans="27:30" x14ac:dyDescent="0.3">
      <c r="AA6218" s="37">
        <v>6198</v>
      </c>
      <c r="AB6218" s="37">
        <v>1.83373112783153</v>
      </c>
      <c r="AC6218" s="37">
        <v>2.893413946523451</v>
      </c>
      <c r="AD6218" s="37">
        <v>3.506405884486997</v>
      </c>
    </row>
    <row r="6219" spans="27:30" x14ac:dyDescent="0.3">
      <c r="AA6219" s="37">
        <v>6199</v>
      </c>
      <c r="AB6219" s="37">
        <v>1.8261146403487445</v>
      </c>
      <c r="AC6219" s="37">
        <v>2.7616500767465495</v>
      </c>
      <c r="AD6219" s="37">
        <v>3.3377098829845675</v>
      </c>
    </row>
    <row r="6220" spans="27:30" x14ac:dyDescent="0.3">
      <c r="AA6220" s="37">
        <v>6200</v>
      </c>
      <c r="AB6220" s="37">
        <v>1.7911047640533937</v>
      </c>
      <c r="AC6220" s="37">
        <v>2.9916877837175928</v>
      </c>
      <c r="AD6220" s="37">
        <v>3.3909520942643021</v>
      </c>
    </row>
    <row r="6221" spans="27:30" x14ac:dyDescent="0.3">
      <c r="AA6221" s="37">
        <v>6201</v>
      </c>
      <c r="AB6221" s="37">
        <v>1.7365617302940854</v>
      </c>
      <c r="AC6221" s="37">
        <v>2.8979302198637624</v>
      </c>
      <c r="AD6221" s="37">
        <v>3.4892622759575889</v>
      </c>
    </row>
    <row r="6222" spans="27:30" x14ac:dyDescent="0.3">
      <c r="AA6222" s="37">
        <v>6202</v>
      </c>
      <c r="AB6222" s="37">
        <v>1.7339482490981704</v>
      </c>
      <c r="AC6222" s="37">
        <v>2.943103985185759</v>
      </c>
      <c r="AD6222" s="37">
        <v>3.0072327544331481</v>
      </c>
    </row>
    <row r="6223" spans="27:30" x14ac:dyDescent="0.3">
      <c r="AA6223" s="37">
        <v>6203</v>
      </c>
      <c r="AB6223" s="37">
        <v>1.7042558230586344</v>
      </c>
      <c r="AC6223" s="37">
        <v>2.9472520251411241</v>
      </c>
      <c r="AD6223" s="37">
        <v>3.4079879403192939</v>
      </c>
    </row>
    <row r="6224" spans="27:30" x14ac:dyDescent="0.3">
      <c r="AA6224" s="37">
        <v>6204</v>
      </c>
      <c r="AB6224" s="37">
        <v>1.8598137243156752</v>
      </c>
      <c r="AC6224" s="37">
        <v>2.802298404826169</v>
      </c>
      <c r="AD6224" s="37">
        <v>3.5259063846265142</v>
      </c>
    </row>
    <row r="6225" spans="27:30" x14ac:dyDescent="0.3">
      <c r="AA6225" s="37">
        <v>6205</v>
      </c>
      <c r="AB6225" s="37">
        <v>1.7398057530641864</v>
      </c>
      <c r="AC6225" s="37">
        <v>2.9213187964956986</v>
      </c>
      <c r="AD6225" s="37">
        <v>3.1973045034474943</v>
      </c>
    </row>
    <row r="6226" spans="27:30" x14ac:dyDescent="0.3">
      <c r="AA6226" s="37">
        <v>6206</v>
      </c>
      <c r="AB6226" s="37">
        <v>1.7696661549495267</v>
      </c>
      <c r="AC6226" s="37">
        <v>2.9129700329057711</v>
      </c>
      <c r="AD6226" s="37">
        <v>3.7143678915778016</v>
      </c>
    </row>
    <row r="6227" spans="27:30" x14ac:dyDescent="0.3">
      <c r="AA6227" s="37">
        <v>6207</v>
      </c>
      <c r="AB6227" s="37">
        <v>1.8236611643627538</v>
      </c>
      <c r="AC6227" s="37">
        <v>2.8610407763591481</v>
      </c>
      <c r="AD6227" s="37">
        <v>3.2962908072122352</v>
      </c>
    </row>
    <row r="6228" spans="27:30" x14ac:dyDescent="0.3">
      <c r="AA6228" s="37">
        <v>6208</v>
      </c>
      <c r="AB6228" s="37">
        <v>1.7246866539417813</v>
      </c>
      <c r="AC6228" s="37">
        <v>2.8736724408649863</v>
      </c>
      <c r="AD6228" s="37">
        <v>3.3570412407539689</v>
      </c>
    </row>
    <row r="6229" spans="27:30" x14ac:dyDescent="0.3">
      <c r="AA6229" s="37">
        <v>6209</v>
      </c>
      <c r="AB6229" s="37">
        <v>1.769682793224185</v>
      </c>
      <c r="AC6229" s="37">
        <v>2.8675470009635871</v>
      </c>
      <c r="AD6229" s="37">
        <v>3.2795724884844102</v>
      </c>
    </row>
    <row r="6230" spans="27:30" x14ac:dyDescent="0.3">
      <c r="AA6230" s="37">
        <v>6210</v>
      </c>
      <c r="AB6230" s="37">
        <v>1.7719260346011336</v>
      </c>
      <c r="AC6230" s="37">
        <v>2.7494617727371056</v>
      </c>
      <c r="AD6230" s="37">
        <v>3.2832539568757815</v>
      </c>
    </row>
    <row r="6231" spans="27:30" x14ac:dyDescent="0.3">
      <c r="AA6231" s="37">
        <v>6211</v>
      </c>
      <c r="AB6231" s="37">
        <v>1.816650084198131</v>
      </c>
      <c r="AC6231" s="37">
        <v>2.8960246529099969</v>
      </c>
      <c r="AD6231" s="37">
        <v>3.266307547551266</v>
      </c>
    </row>
    <row r="6232" spans="27:30" x14ac:dyDescent="0.3">
      <c r="AA6232" s="37">
        <v>6212</v>
      </c>
      <c r="AB6232" s="37">
        <v>1.7585385229539656</v>
      </c>
      <c r="AC6232" s="37">
        <v>2.8363144388949801</v>
      </c>
      <c r="AD6232" s="37">
        <v>3.4515598135932732</v>
      </c>
    </row>
    <row r="6233" spans="27:30" x14ac:dyDescent="0.3">
      <c r="AA6233" s="37">
        <v>6213</v>
      </c>
      <c r="AB6233" s="37">
        <v>1.7994511498240549</v>
      </c>
      <c r="AC6233" s="37">
        <v>2.9207730902405498</v>
      </c>
      <c r="AD6233" s="37">
        <v>3.5067123167794443</v>
      </c>
    </row>
    <row r="6234" spans="27:30" x14ac:dyDescent="0.3">
      <c r="AA6234" s="37">
        <v>6214</v>
      </c>
      <c r="AB6234" s="37">
        <v>1.8882023280200633</v>
      </c>
      <c r="AC6234" s="37">
        <v>2.7493960019103305</v>
      </c>
      <c r="AD6234" s="37">
        <v>3.2429037228825592</v>
      </c>
    </row>
    <row r="6235" spans="27:30" x14ac:dyDescent="0.3">
      <c r="AA6235" s="37">
        <v>6215</v>
      </c>
      <c r="AB6235" s="37">
        <v>1.9251617196001209</v>
      </c>
      <c r="AC6235" s="37">
        <v>2.9122687719859388</v>
      </c>
      <c r="AD6235" s="37">
        <v>3.413328158902774</v>
      </c>
    </row>
    <row r="6236" spans="27:30" x14ac:dyDescent="0.3">
      <c r="AA6236" s="37">
        <v>6216</v>
      </c>
      <c r="AB6236" s="37">
        <v>1.907930565167417</v>
      </c>
      <c r="AC6236" s="37">
        <v>2.7237751895571201</v>
      </c>
      <c r="AD6236" s="37">
        <v>3.3631290596372172</v>
      </c>
    </row>
    <row r="6237" spans="27:30" x14ac:dyDescent="0.3">
      <c r="AA6237" s="37">
        <v>6217</v>
      </c>
      <c r="AB6237" s="37">
        <v>1.8023811549962767</v>
      </c>
      <c r="AC6237" s="37">
        <v>2.7163794334198874</v>
      </c>
      <c r="AD6237" s="37">
        <v>3.6515241820380813</v>
      </c>
    </row>
    <row r="6238" spans="27:30" x14ac:dyDescent="0.3">
      <c r="AA6238" s="37">
        <v>6218</v>
      </c>
      <c r="AB6238" s="37">
        <v>1.8761163490483022</v>
      </c>
      <c r="AC6238" s="37">
        <v>2.8056672698500793</v>
      </c>
      <c r="AD6238" s="37">
        <v>3.4167813848253377</v>
      </c>
    </row>
    <row r="6239" spans="27:30" x14ac:dyDescent="0.3">
      <c r="AA6239" s="37">
        <v>6219</v>
      </c>
      <c r="AB6239" s="37">
        <v>1.6801013885111202</v>
      </c>
      <c r="AC6239" s="37">
        <v>2.6922392097006962</v>
      </c>
      <c r="AD6239" s="37">
        <v>3.383058162907695</v>
      </c>
    </row>
    <row r="6240" spans="27:30" x14ac:dyDescent="0.3">
      <c r="AA6240" s="37">
        <v>6220</v>
      </c>
      <c r="AB6240" s="37">
        <v>1.7713388855575349</v>
      </c>
      <c r="AC6240" s="37">
        <v>2.8768473769117988</v>
      </c>
      <c r="AD6240" s="37">
        <v>3.3024575430523959</v>
      </c>
    </row>
    <row r="6241" spans="27:30" x14ac:dyDescent="0.3">
      <c r="AA6241" s="37">
        <v>6221</v>
      </c>
      <c r="AB6241" s="37">
        <v>1.8266049683593422</v>
      </c>
      <c r="AC6241" s="37">
        <v>2.8824188224963372</v>
      </c>
      <c r="AD6241" s="37">
        <v>3.5347783060761557</v>
      </c>
    </row>
    <row r="6242" spans="27:30" x14ac:dyDescent="0.3">
      <c r="AA6242" s="37">
        <v>6222</v>
      </c>
      <c r="AB6242" s="37">
        <v>1.870088693029256</v>
      </c>
      <c r="AC6242" s="37">
        <v>2.7485806544217808</v>
      </c>
      <c r="AD6242" s="37">
        <v>3.2613128550195349</v>
      </c>
    </row>
    <row r="6243" spans="27:30" x14ac:dyDescent="0.3">
      <c r="AA6243" s="37">
        <v>6223</v>
      </c>
      <c r="AB6243" s="37">
        <v>1.7844035333410766</v>
      </c>
      <c r="AC6243" s="37">
        <v>2.8993398563628028</v>
      </c>
      <c r="AD6243" s="37">
        <v>3.3467943741829598</v>
      </c>
    </row>
    <row r="6244" spans="27:30" x14ac:dyDescent="0.3">
      <c r="AA6244" s="37">
        <v>6224</v>
      </c>
      <c r="AB6244" s="37">
        <v>1.7870988784766557</v>
      </c>
      <c r="AC6244" s="37">
        <v>2.7889419623760814</v>
      </c>
      <c r="AD6244" s="37">
        <v>3.1829430754146157</v>
      </c>
    </row>
    <row r="6245" spans="27:30" x14ac:dyDescent="0.3">
      <c r="AA6245" s="37">
        <v>6225</v>
      </c>
      <c r="AB6245" s="37">
        <v>1.7764211979597819</v>
      </c>
      <c r="AC6245" s="37">
        <v>2.6679052357544855</v>
      </c>
      <c r="AD6245" s="37">
        <v>3.4243763165441847</v>
      </c>
    </row>
    <row r="6246" spans="27:30" x14ac:dyDescent="0.3">
      <c r="AA6246" s="37">
        <v>6226</v>
      </c>
      <c r="AB6246" s="37">
        <v>1.7704420778725487</v>
      </c>
      <c r="AC6246" s="37">
        <v>2.8361012126171237</v>
      </c>
      <c r="AD6246" s="37">
        <v>3.2697904845612329</v>
      </c>
    </row>
    <row r="6247" spans="27:30" x14ac:dyDescent="0.3">
      <c r="AA6247" s="37">
        <v>6227</v>
      </c>
      <c r="AB6247" s="37">
        <v>1.7961099835932064</v>
      </c>
      <c r="AC6247" s="37">
        <v>2.9028305120610711</v>
      </c>
      <c r="AD6247" s="37">
        <v>3.2662268564468402</v>
      </c>
    </row>
    <row r="6248" spans="27:30" x14ac:dyDescent="0.3">
      <c r="AA6248" s="37">
        <v>6228</v>
      </c>
      <c r="AB6248" s="37">
        <v>1.7708387713035383</v>
      </c>
      <c r="AC6248" s="37">
        <v>2.6870315358589547</v>
      </c>
      <c r="AD6248" s="37">
        <v>3.3625484779350958</v>
      </c>
    </row>
    <row r="6249" spans="27:30" x14ac:dyDescent="0.3">
      <c r="AA6249" s="37">
        <v>6229</v>
      </c>
      <c r="AB6249" s="37">
        <v>1.8323805703840197</v>
      </c>
      <c r="AC6249" s="37">
        <v>2.8588120171903295</v>
      </c>
      <c r="AD6249" s="37">
        <v>3.26019582852655</v>
      </c>
    </row>
    <row r="6250" spans="27:30" x14ac:dyDescent="0.3">
      <c r="AA6250" s="37">
        <v>6230</v>
      </c>
      <c r="AB6250" s="37">
        <v>1.7357446401202983</v>
      </c>
      <c r="AC6250" s="37">
        <v>2.7830135168253674</v>
      </c>
      <c r="AD6250" s="37">
        <v>3.4320034516639097</v>
      </c>
    </row>
    <row r="6251" spans="27:30" x14ac:dyDescent="0.3">
      <c r="AA6251" s="37">
        <v>6231</v>
      </c>
      <c r="AB6251" s="37">
        <v>1.7693559208102303</v>
      </c>
      <c r="AC6251" s="37">
        <v>3.1035377666375923</v>
      </c>
      <c r="AD6251" s="37">
        <v>3.3360335722930272</v>
      </c>
    </row>
    <row r="6252" spans="27:30" x14ac:dyDescent="0.3">
      <c r="AA6252" s="37">
        <v>6232</v>
      </c>
      <c r="AB6252" s="37">
        <v>1.7908436055504457</v>
      </c>
      <c r="AC6252" s="37">
        <v>2.8449192456761949</v>
      </c>
      <c r="AD6252" s="37">
        <v>3.4866793030097867</v>
      </c>
    </row>
    <row r="6253" spans="27:30" x14ac:dyDescent="0.3">
      <c r="AA6253" s="37">
        <v>6233</v>
      </c>
      <c r="AB6253" s="37">
        <v>1.7174778328666622</v>
      </c>
      <c r="AC6253" s="37">
        <v>2.939098754372401</v>
      </c>
      <c r="AD6253" s="37">
        <v>3.21012412073464</v>
      </c>
    </row>
    <row r="6254" spans="27:30" x14ac:dyDescent="0.3">
      <c r="AA6254" s="37">
        <v>6234</v>
      </c>
      <c r="AB6254" s="37">
        <v>1.9502254793070732</v>
      </c>
      <c r="AC6254" s="37">
        <v>2.7512167100431388</v>
      </c>
      <c r="AD6254" s="37">
        <v>3.2293680546379844</v>
      </c>
    </row>
    <row r="6255" spans="27:30" x14ac:dyDescent="0.3">
      <c r="AA6255" s="37">
        <v>6235</v>
      </c>
      <c r="AB6255" s="37">
        <v>1.7453458734914602</v>
      </c>
      <c r="AC6255" s="37">
        <v>2.641946706333357</v>
      </c>
      <c r="AD6255" s="37">
        <v>3.2850077835217104</v>
      </c>
    </row>
    <row r="6256" spans="27:30" x14ac:dyDescent="0.3">
      <c r="AA6256" s="37">
        <v>6236</v>
      </c>
      <c r="AB6256" s="37">
        <v>1.9211554315509236</v>
      </c>
      <c r="AC6256" s="37">
        <v>2.8213572086127954</v>
      </c>
      <c r="AD6256" s="37">
        <v>3.2433936706280089</v>
      </c>
    </row>
    <row r="6257" spans="27:30" x14ac:dyDescent="0.3">
      <c r="AA6257" s="37">
        <v>6237</v>
      </c>
      <c r="AB6257" s="37">
        <v>1.6574647530427717</v>
      </c>
      <c r="AC6257" s="37">
        <v>2.8623950012146731</v>
      </c>
      <c r="AD6257" s="37">
        <v>3.2397080623754446</v>
      </c>
    </row>
    <row r="6258" spans="27:30" x14ac:dyDescent="0.3">
      <c r="AA6258" s="37">
        <v>6238</v>
      </c>
      <c r="AB6258" s="37">
        <v>1.711952836835074</v>
      </c>
      <c r="AC6258" s="37">
        <v>2.8427585720277375</v>
      </c>
      <c r="AD6258" s="37">
        <v>3.4124765928877321</v>
      </c>
    </row>
    <row r="6259" spans="27:30" x14ac:dyDescent="0.3">
      <c r="AA6259" s="37">
        <v>6239</v>
      </c>
      <c r="AB6259" s="37">
        <v>1.7794101049599034</v>
      </c>
      <c r="AC6259" s="37">
        <v>2.8557656561017661</v>
      </c>
      <c r="AD6259" s="37">
        <v>3.3047568965584424</v>
      </c>
    </row>
    <row r="6260" spans="27:30" x14ac:dyDescent="0.3">
      <c r="AA6260" s="37">
        <v>6240</v>
      </c>
      <c r="AB6260" s="37">
        <v>1.6951671072408425</v>
      </c>
      <c r="AC6260" s="37">
        <v>2.7440224780222175</v>
      </c>
      <c r="AD6260" s="37">
        <v>3.243481869531017</v>
      </c>
    </row>
    <row r="6261" spans="27:30" x14ac:dyDescent="0.3">
      <c r="AA6261" s="37">
        <v>6241</v>
      </c>
      <c r="AB6261" s="37">
        <v>1.7997156019630214</v>
      </c>
      <c r="AC6261" s="37">
        <v>2.7541303304139872</v>
      </c>
      <c r="AD6261" s="37">
        <v>3.4410827128232766</v>
      </c>
    </row>
    <row r="6262" spans="27:30" x14ac:dyDescent="0.3">
      <c r="AA6262" s="37">
        <v>6242</v>
      </c>
      <c r="AB6262" s="37">
        <v>1.7149784666890682</v>
      </c>
      <c r="AC6262" s="37">
        <v>2.7344775777498525</v>
      </c>
      <c r="AD6262" s="37">
        <v>3.5302581759241303</v>
      </c>
    </row>
    <row r="6263" spans="27:30" x14ac:dyDescent="0.3">
      <c r="AA6263" s="37">
        <v>6243</v>
      </c>
      <c r="AB6263" s="37">
        <v>1.7112493119553405</v>
      </c>
      <c r="AC6263" s="37">
        <v>2.9049362981195253</v>
      </c>
      <c r="AD6263" s="37">
        <v>3.3931325484432846</v>
      </c>
    </row>
    <row r="6264" spans="27:30" x14ac:dyDescent="0.3">
      <c r="AA6264" s="37">
        <v>6244</v>
      </c>
      <c r="AB6264" s="37">
        <v>1.7820581038118013</v>
      </c>
      <c r="AC6264" s="37">
        <v>2.8390523104336438</v>
      </c>
      <c r="AD6264" s="37">
        <v>3.4848408926006096</v>
      </c>
    </row>
    <row r="6265" spans="27:30" x14ac:dyDescent="0.3">
      <c r="AA6265" s="37">
        <v>6245</v>
      </c>
      <c r="AB6265" s="37">
        <v>1.8391952202253354</v>
      </c>
      <c r="AC6265" s="37">
        <v>3.0975247284840304</v>
      </c>
      <c r="AD6265" s="37">
        <v>3.4070260183065399</v>
      </c>
    </row>
    <row r="6266" spans="27:30" x14ac:dyDescent="0.3">
      <c r="AA6266" s="37">
        <v>6246</v>
      </c>
      <c r="AB6266" s="37">
        <v>1.8653460232040322</v>
      </c>
      <c r="AC6266" s="37">
        <v>2.9755234109020914</v>
      </c>
      <c r="AD6266" s="37">
        <v>3.309587999889664</v>
      </c>
    </row>
    <row r="6267" spans="27:30" x14ac:dyDescent="0.3">
      <c r="AA6267" s="37">
        <v>6247</v>
      </c>
      <c r="AB6267" s="37">
        <v>1.7513416343420174</v>
      </c>
      <c r="AC6267" s="37">
        <v>2.8187809339121386</v>
      </c>
      <c r="AD6267" s="37">
        <v>3.3218992240604548</v>
      </c>
    </row>
    <row r="6268" spans="27:30" x14ac:dyDescent="0.3">
      <c r="AA6268" s="37">
        <v>6248</v>
      </c>
      <c r="AB6268" s="37">
        <v>1.7760659291701963</v>
      </c>
      <c r="AC6268" s="37">
        <v>2.9436666659945656</v>
      </c>
      <c r="AD6268" s="37">
        <v>3.3456811199074115</v>
      </c>
    </row>
    <row r="6269" spans="27:30" x14ac:dyDescent="0.3">
      <c r="AA6269" s="37">
        <v>6249</v>
      </c>
      <c r="AB6269" s="37">
        <v>1.8323456150499489</v>
      </c>
      <c r="AC6269" s="37">
        <v>2.7825009527065165</v>
      </c>
      <c r="AD6269" s="37">
        <v>3.5510399982220107</v>
      </c>
    </row>
    <row r="6270" spans="27:30" x14ac:dyDescent="0.3">
      <c r="AA6270" s="37">
        <v>6250</v>
      </c>
      <c r="AB6270" s="37">
        <v>1.7529446884382789</v>
      </c>
      <c r="AC6270" s="37">
        <v>2.8600111781655992</v>
      </c>
      <c r="AD6270" s="37">
        <v>3.4343610950334185</v>
      </c>
    </row>
    <row r="6271" spans="27:30" x14ac:dyDescent="0.3">
      <c r="AA6271" s="37">
        <v>6251</v>
      </c>
      <c r="AB6271" s="37">
        <v>1.803901138436061</v>
      </c>
      <c r="AC6271" s="37">
        <v>2.8247642550625391</v>
      </c>
      <c r="AD6271" s="37">
        <v>3.3523216609998778</v>
      </c>
    </row>
    <row r="6272" spans="27:30" x14ac:dyDescent="0.3">
      <c r="AA6272" s="37">
        <v>6252</v>
      </c>
      <c r="AB6272" s="37">
        <v>1.9291281513031888</v>
      </c>
      <c r="AC6272" s="37">
        <v>2.7990553126177216</v>
      </c>
      <c r="AD6272" s="37">
        <v>3.4178435727451641</v>
      </c>
    </row>
    <row r="6273" spans="27:30" x14ac:dyDescent="0.3">
      <c r="AA6273" s="37">
        <v>6253</v>
      </c>
      <c r="AB6273" s="37">
        <v>1.7903677675169105</v>
      </c>
      <c r="AC6273" s="37">
        <v>2.7218550289080801</v>
      </c>
      <c r="AD6273" s="37">
        <v>3.3082795606914273</v>
      </c>
    </row>
    <row r="6274" spans="27:30" x14ac:dyDescent="0.3">
      <c r="AA6274" s="37">
        <v>6254</v>
      </c>
      <c r="AB6274" s="37">
        <v>1.7248386525513864</v>
      </c>
      <c r="AC6274" s="37">
        <v>3.0044321795215736</v>
      </c>
      <c r="AD6274" s="37">
        <v>3.4307095119365494</v>
      </c>
    </row>
    <row r="6275" spans="27:30" x14ac:dyDescent="0.3">
      <c r="AA6275" s="37">
        <v>6255</v>
      </c>
      <c r="AB6275" s="37">
        <v>1.7379099032647174</v>
      </c>
      <c r="AC6275" s="37">
        <v>2.8458495226412936</v>
      </c>
      <c r="AD6275" s="37">
        <v>3.1030714797728258</v>
      </c>
    </row>
    <row r="6276" spans="27:30" x14ac:dyDescent="0.3">
      <c r="AA6276" s="37">
        <v>6256</v>
      </c>
      <c r="AB6276" s="37">
        <v>1.7106854855951714</v>
      </c>
      <c r="AC6276" s="37">
        <v>2.8245740652240738</v>
      </c>
      <c r="AD6276" s="37">
        <v>3.1621277829814498</v>
      </c>
    </row>
    <row r="6277" spans="27:30" x14ac:dyDescent="0.3">
      <c r="AA6277" s="37">
        <v>6257</v>
      </c>
      <c r="AB6277" s="37">
        <v>1.8852197618301061</v>
      </c>
      <c r="AC6277" s="37">
        <v>2.7891757779813089</v>
      </c>
      <c r="AD6277" s="37">
        <v>3.2418778769563534</v>
      </c>
    </row>
    <row r="6278" spans="27:30" x14ac:dyDescent="0.3">
      <c r="AA6278" s="37">
        <v>6258</v>
      </c>
      <c r="AB6278" s="37">
        <v>1.697305689658511</v>
      </c>
      <c r="AC6278" s="37">
        <v>2.6653595530540377</v>
      </c>
      <c r="AD6278" s="37">
        <v>3.3743584380282239</v>
      </c>
    </row>
    <row r="6279" spans="27:30" x14ac:dyDescent="0.3">
      <c r="AA6279" s="37">
        <v>6259</v>
      </c>
      <c r="AB6279" s="37">
        <v>1.8484362816855855</v>
      </c>
      <c r="AC6279" s="37">
        <v>2.7969991962533935</v>
      </c>
      <c r="AD6279" s="37">
        <v>3.4386886688195042</v>
      </c>
    </row>
    <row r="6280" spans="27:30" x14ac:dyDescent="0.3">
      <c r="AA6280" s="37">
        <v>6260</v>
      </c>
      <c r="AB6280" s="37">
        <v>1.7521195631199538</v>
      </c>
      <c r="AC6280" s="37">
        <v>2.7518780702277263</v>
      </c>
      <c r="AD6280" s="37">
        <v>3.4430139364017842</v>
      </c>
    </row>
    <row r="6281" spans="27:30" x14ac:dyDescent="0.3">
      <c r="AA6281" s="37">
        <v>6261</v>
      </c>
      <c r="AB6281" s="37">
        <v>1.7389092426436408</v>
      </c>
      <c r="AC6281" s="37">
        <v>2.9375840041709518</v>
      </c>
      <c r="AD6281" s="37">
        <v>3.1267493767685899</v>
      </c>
    </row>
    <row r="6282" spans="27:30" x14ac:dyDescent="0.3">
      <c r="AA6282" s="37">
        <v>6262</v>
      </c>
      <c r="AB6282" s="37">
        <v>1.7662817830383251</v>
      </c>
      <c r="AC6282" s="37">
        <v>2.601781813936793</v>
      </c>
      <c r="AD6282" s="37">
        <v>3.2295637284413843</v>
      </c>
    </row>
    <row r="6283" spans="27:30" x14ac:dyDescent="0.3">
      <c r="AA6283" s="37">
        <v>6263</v>
      </c>
      <c r="AB6283" s="37">
        <v>1.7772511314079364</v>
      </c>
      <c r="AC6283" s="37">
        <v>2.9392698555294183</v>
      </c>
      <c r="AD6283" s="37">
        <v>3.4023664741524722</v>
      </c>
    </row>
    <row r="6284" spans="27:30" x14ac:dyDescent="0.3">
      <c r="AA6284" s="37">
        <v>6264</v>
      </c>
      <c r="AB6284" s="37">
        <v>1.8486840662584973</v>
      </c>
      <c r="AC6284" s="37">
        <v>2.9751709943582108</v>
      </c>
      <c r="AD6284" s="37">
        <v>3.4370752388587249</v>
      </c>
    </row>
    <row r="6285" spans="27:30" x14ac:dyDescent="0.3">
      <c r="AA6285" s="37">
        <v>6265</v>
      </c>
      <c r="AB6285" s="37">
        <v>1.692514796186269</v>
      </c>
      <c r="AC6285" s="37">
        <v>2.6691481081244333</v>
      </c>
      <c r="AD6285" s="37">
        <v>3.4103781833641116</v>
      </c>
    </row>
    <row r="6286" spans="27:30" x14ac:dyDescent="0.3">
      <c r="AA6286" s="37">
        <v>6266</v>
      </c>
      <c r="AB6286" s="37">
        <v>1.7622310946706519</v>
      </c>
      <c r="AC6286" s="37">
        <v>2.8388850833439743</v>
      </c>
      <c r="AD6286" s="37">
        <v>3.1584380169328736</v>
      </c>
    </row>
    <row r="6287" spans="27:30" x14ac:dyDescent="0.3">
      <c r="AA6287" s="37">
        <v>6267</v>
      </c>
      <c r="AB6287" s="37">
        <v>1.824517605169224</v>
      </c>
      <c r="AC6287" s="37">
        <v>2.8243701294456183</v>
      </c>
      <c r="AD6287" s="37">
        <v>3.2987791315755843</v>
      </c>
    </row>
    <row r="6288" spans="27:30" x14ac:dyDescent="0.3">
      <c r="AA6288" s="37">
        <v>6268</v>
      </c>
      <c r="AB6288" s="37">
        <v>1.7807831713692668</v>
      </c>
      <c r="AC6288" s="37">
        <v>2.9463311974931767</v>
      </c>
      <c r="AD6288" s="37">
        <v>3.413764876776582</v>
      </c>
    </row>
    <row r="6289" spans="27:30" x14ac:dyDescent="0.3">
      <c r="AA6289" s="37">
        <v>6269</v>
      </c>
      <c r="AB6289" s="37">
        <v>1.8253984388686375</v>
      </c>
      <c r="AC6289" s="37">
        <v>2.8325696143676233</v>
      </c>
      <c r="AD6289" s="37">
        <v>3.2602986675753844</v>
      </c>
    </row>
    <row r="6290" spans="27:30" x14ac:dyDescent="0.3">
      <c r="AA6290" s="37">
        <v>6270</v>
      </c>
      <c r="AB6290" s="37">
        <v>1.7469019534023005</v>
      </c>
      <c r="AC6290" s="37">
        <v>3.0918737201991342</v>
      </c>
      <c r="AD6290" s="37">
        <v>3.2894592318377449</v>
      </c>
    </row>
    <row r="6291" spans="27:30" x14ac:dyDescent="0.3">
      <c r="AA6291" s="37">
        <v>6271</v>
      </c>
      <c r="AB6291" s="37">
        <v>1.7604039226472725</v>
      </c>
      <c r="AC6291" s="37">
        <v>2.8351121706199618</v>
      </c>
      <c r="AD6291" s="37">
        <v>3.2789750591299764</v>
      </c>
    </row>
    <row r="6292" spans="27:30" x14ac:dyDescent="0.3">
      <c r="AA6292" s="37">
        <v>6272</v>
      </c>
      <c r="AB6292" s="37">
        <v>1.6712093790993114</v>
      </c>
      <c r="AC6292" s="37">
        <v>2.9766123277933638</v>
      </c>
      <c r="AD6292" s="37">
        <v>3.1570250025929161</v>
      </c>
    </row>
    <row r="6293" spans="27:30" x14ac:dyDescent="0.3">
      <c r="AA6293" s="37">
        <v>6273</v>
      </c>
      <c r="AB6293" s="37">
        <v>1.7906873863362014</v>
      </c>
      <c r="AC6293" s="37">
        <v>2.8655609129659902</v>
      </c>
      <c r="AD6293" s="37">
        <v>3.2471612497459867</v>
      </c>
    </row>
    <row r="6294" spans="27:30" x14ac:dyDescent="0.3">
      <c r="AA6294" s="37">
        <v>6274</v>
      </c>
      <c r="AB6294" s="37">
        <v>1.7474069033690867</v>
      </c>
      <c r="AC6294" s="37">
        <v>2.7610281347002479</v>
      </c>
      <c r="AD6294" s="37">
        <v>3.209688472345861</v>
      </c>
    </row>
    <row r="6295" spans="27:30" x14ac:dyDescent="0.3">
      <c r="AA6295" s="37">
        <v>6275</v>
      </c>
      <c r="AB6295" s="37">
        <v>1.7774503870108045</v>
      </c>
      <c r="AC6295" s="37">
        <v>2.8366709191506092</v>
      </c>
      <c r="AD6295" s="37">
        <v>3.3292839422097722</v>
      </c>
    </row>
    <row r="6296" spans="27:30" x14ac:dyDescent="0.3">
      <c r="AA6296" s="37">
        <v>6276</v>
      </c>
      <c r="AB6296" s="37">
        <v>1.8183131054596329</v>
      </c>
      <c r="AC6296" s="37">
        <v>2.9316340415416673</v>
      </c>
      <c r="AD6296" s="37">
        <v>3.3253337194365282</v>
      </c>
    </row>
    <row r="6297" spans="27:30" x14ac:dyDescent="0.3">
      <c r="AA6297" s="37">
        <v>6277</v>
      </c>
      <c r="AB6297" s="37">
        <v>1.876652605308063</v>
      </c>
      <c r="AC6297" s="37">
        <v>2.7736362753386614</v>
      </c>
      <c r="AD6297" s="37">
        <v>3.5251495576832981</v>
      </c>
    </row>
    <row r="6298" spans="27:30" x14ac:dyDescent="0.3">
      <c r="AA6298" s="37">
        <v>6278</v>
      </c>
      <c r="AB6298" s="37">
        <v>1.8159894245992472</v>
      </c>
      <c r="AC6298" s="37">
        <v>2.8814995409020865</v>
      </c>
      <c r="AD6298" s="37">
        <v>3.3114357924223681</v>
      </c>
    </row>
    <row r="6299" spans="27:30" x14ac:dyDescent="0.3">
      <c r="AA6299" s="37">
        <v>6279</v>
      </c>
      <c r="AB6299" s="37">
        <v>1.7887051216649699</v>
      </c>
      <c r="AC6299" s="37">
        <v>2.7419494064414875</v>
      </c>
      <c r="AD6299" s="37">
        <v>3.3747595999477387</v>
      </c>
    </row>
    <row r="6300" spans="27:30" x14ac:dyDescent="0.3">
      <c r="AA6300" s="37">
        <v>6280</v>
      </c>
      <c r="AB6300" s="37">
        <v>1.7417430791875264</v>
      </c>
      <c r="AC6300" s="37">
        <v>2.5720318499607484</v>
      </c>
      <c r="AD6300" s="37">
        <v>3.2558764211900155</v>
      </c>
    </row>
    <row r="6301" spans="27:30" x14ac:dyDescent="0.3">
      <c r="AA6301" s="37">
        <v>6281</v>
      </c>
      <c r="AB6301" s="37">
        <v>1.7464045745351142</v>
      </c>
      <c r="AC6301" s="37">
        <v>3.0277910581238796</v>
      </c>
      <c r="AD6301" s="37">
        <v>3.3070600677665878</v>
      </c>
    </row>
    <row r="6302" spans="27:30" x14ac:dyDescent="0.3">
      <c r="AA6302" s="37">
        <v>6282</v>
      </c>
      <c r="AB6302" s="37">
        <v>1.752987893884387</v>
      </c>
      <c r="AC6302" s="37">
        <v>2.9563915321262035</v>
      </c>
      <c r="AD6302" s="37">
        <v>3.1727250939804335</v>
      </c>
    </row>
    <row r="6303" spans="27:30" x14ac:dyDescent="0.3">
      <c r="AA6303" s="37">
        <v>6283</v>
      </c>
      <c r="AB6303" s="37">
        <v>1.8008971187288882</v>
      </c>
      <c r="AC6303" s="37">
        <v>2.8140913085917227</v>
      </c>
      <c r="AD6303" s="37">
        <v>3.2209316617400034</v>
      </c>
    </row>
    <row r="6304" spans="27:30" x14ac:dyDescent="0.3">
      <c r="AA6304" s="37">
        <v>6284</v>
      </c>
      <c r="AB6304" s="37">
        <v>1.7656518445502498</v>
      </c>
      <c r="AC6304" s="37">
        <v>2.8516714075265268</v>
      </c>
      <c r="AD6304" s="37">
        <v>3.599361993468241</v>
      </c>
    </row>
    <row r="6305" spans="27:30" x14ac:dyDescent="0.3">
      <c r="AA6305" s="37">
        <v>6285</v>
      </c>
      <c r="AB6305" s="37">
        <v>1.7330865209078918</v>
      </c>
      <c r="AC6305" s="37">
        <v>2.7960672304222682</v>
      </c>
      <c r="AD6305" s="37">
        <v>3.3580938830776907</v>
      </c>
    </row>
    <row r="6306" spans="27:30" x14ac:dyDescent="0.3">
      <c r="AA6306" s="37">
        <v>6286</v>
      </c>
      <c r="AB6306" s="37">
        <v>1.7013908600863605</v>
      </c>
      <c r="AC6306" s="37">
        <v>2.691860135164613</v>
      </c>
      <c r="AD6306" s="37">
        <v>3.334397436480665</v>
      </c>
    </row>
    <row r="6307" spans="27:30" x14ac:dyDescent="0.3">
      <c r="AA6307" s="37">
        <v>6287</v>
      </c>
      <c r="AB6307" s="37">
        <v>1.7625874596838498</v>
      </c>
      <c r="AC6307" s="37">
        <v>2.9125376438534865</v>
      </c>
      <c r="AD6307" s="37">
        <v>3.250242624112555</v>
      </c>
    </row>
    <row r="6308" spans="27:30" x14ac:dyDescent="0.3">
      <c r="AA6308" s="37">
        <v>6288</v>
      </c>
      <c r="AB6308" s="37">
        <v>1.7315931932058013</v>
      </c>
      <c r="AC6308" s="37">
        <v>2.8256854711944888</v>
      </c>
      <c r="AD6308" s="37">
        <v>3.2393226642317359</v>
      </c>
    </row>
    <row r="6309" spans="27:30" x14ac:dyDescent="0.3">
      <c r="AA6309" s="37">
        <v>6289</v>
      </c>
      <c r="AB6309" s="37">
        <v>1.7473978327656949</v>
      </c>
      <c r="AC6309" s="37">
        <v>2.8655222171933898</v>
      </c>
      <c r="AD6309" s="37">
        <v>3.3123428815417943</v>
      </c>
    </row>
    <row r="6310" spans="27:30" x14ac:dyDescent="0.3">
      <c r="AA6310" s="37">
        <v>6290</v>
      </c>
      <c r="AB6310" s="37">
        <v>1.7606894078510904</v>
      </c>
      <c r="AC6310" s="37">
        <v>2.7095504610238006</v>
      </c>
      <c r="AD6310" s="37">
        <v>3.3468999360709728</v>
      </c>
    </row>
    <row r="6311" spans="27:30" x14ac:dyDescent="0.3">
      <c r="AA6311" s="37">
        <v>6291</v>
      </c>
      <c r="AB6311" s="37">
        <v>1.7656695307182566</v>
      </c>
      <c r="AC6311" s="37">
        <v>2.857280617185729</v>
      </c>
      <c r="AD6311" s="37">
        <v>3.3934955868883638</v>
      </c>
    </row>
    <row r="6312" spans="27:30" x14ac:dyDescent="0.3">
      <c r="AA6312" s="37">
        <v>6292</v>
      </c>
      <c r="AB6312" s="37">
        <v>1.7440111139506427</v>
      </c>
      <c r="AC6312" s="37">
        <v>2.8601493865727345</v>
      </c>
      <c r="AD6312" s="37">
        <v>3.1140903454557489</v>
      </c>
    </row>
    <row r="6313" spans="27:30" x14ac:dyDescent="0.3">
      <c r="AA6313" s="37">
        <v>6293</v>
      </c>
      <c r="AB6313" s="37">
        <v>1.9539741482416899</v>
      </c>
      <c r="AC6313" s="37">
        <v>2.6129961300611826</v>
      </c>
      <c r="AD6313" s="37">
        <v>3.5507565951061806</v>
      </c>
    </row>
    <row r="6314" spans="27:30" x14ac:dyDescent="0.3">
      <c r="AA6314" s="37">
        <v>6294</v>
      </c>
      <c r="AB6314" s="37">
        <v>1.6456041098446239</v>
      </c>
      <c r="AC6314" s="37">
        <v>2.9378130533236742</v>
      </c>
      <c r="AD6314" s="37">
        <v>3.3167730761442935</v>
      </c>
    </row>
    <row r="6315" spans="27:30" x14ac:dyDescent="0.3">
      <c r="AA6315" s="37">
        <v>6295</v>
      </c>
      <c r="AB6315" s="37">
        <v>1.8372237138054479</v>
      </c>
      <c r="AC6315" s="37">
        <v>2.7646611739658193</v>
      </c>
      <c r="AD6315" s="37">
        <v>3.4610241591281627</v>
      </c>
    </row>
    <row r="6316" spans="27:30" x14ac:dyDescent="0.3">
      <c r="AA6316" s="37">
        <v>6296</v>
      </c>
      <c r="AB6316" s="37">
        <v>1.7187891774785666</v>
      </c>
      <c r="AC6316" s="37">
        <v>2.9885859225462621</v>
      </c>
      <c r="AD6316" s="37">
        <v>3.4259435240593663</v>
      </c>
    </row>
    <row r="6317" spans="27:30" x14ac:dyDescent="0.3">
      <c r="AA6317" s="37">
        <v>6297</v>
      </c>
      <c r="AB6317" s="37">
        <v>1.8652293281867403</v>
      </c>
      <c r="AC6317" s="37">
        <v>2.9708547520612325</v>
      </c>
      <c r="AD6317" s="37">
        <v>3.67575238509969</v>
      </c>
    </row>
    <row r="6318" spans="27:30" x14ac:dyDescent="0.3">
      <c r="AA6318" s="37">
        <v>6298</v>
      </c>
      <c r="AB6318" s="37">
        <v>1.7923968473100629</v>
      </c>
      <c r="AC6318" s="37">
        <v>2.7997781027135238</v>
      </c>
      <c r="AD6318" s="37">
        <v>3.472255562335631</v>
      </c>
    </row>
    <row r="6319" spans="27:30" x14ac:dyDescent="0.3">
      <c r="AA6319" s="37">
        <v>6299</v>
      </c>
      <c r="AB6319" s="37">
        <v>1.7441279219904116</v>
      </c>
      <c r="AC6319" s="37">
        <v>2.8088909081508984</v>
      </c>
      <c r="AD6319" s="37">
        <v>3.3141522080877133</v>
      </c>
    </row>
    <row r="6320" spans="27:30" x14ac:dyDescent="0.3">
      <c r="AA6320" s="37">
        <v>6300</v>
      </c>
      <c r="AB6320" s="37">
        <v>1.81306185782108</v>
      </c>
      <c r="AC6320" s="37">
        <v>2.7701816680902773</v>
      </c>
      <c r="AD6320" s="37">
        <v>3.2627234724778096</v>
      </c>
    </row>
    <row r="6321" spans="27:30" x14ac:dyDescent="0.3">
      <c r="AA6321" s="37">
        <v>6301</v>
      </c>
      <c r="AB6321" s="37">
        <v>1.7240853869879813</v>
      </c>
      <c r="AC6321" s="37">
        <v>2.7976518185151451</v>
      </c>
      <c r="AD6321" s="37">
        <v>3.1858286723447158</v>
      </c>
    </row>
    <row r="6322" spans="27:30" x14ac:dyDescent="0.3">
      <c r="AA6322" s="37">
        <v>6302</v>
      </c>
      <c r="AB6322" s="37">
        <v>1.7533617708228313</v>
      </c>
      <c r="AC6322" s="37">
        <v>2.6963151137837578</v>
      </c>
      <c r="AD6322" s="37">
        <v>3.2548832451994558</v>
      </c>
    </row>
    <row r="6323" spans="27:30" x14ac:dyDescent="0.3">
      <c r="AA6323" s="37">
        <v>6303</v>
      </c>
      <c r="AB6323" s="37">
        <v>1.7662366074752285</v>
      </c>
      <c r="AC6323" s="37">
        <v>2.8626082917123257</v>
      </c>
      <c r="AD6323" s="37">
        <v>3.2152291490020968</v>
      </c>
    </row>
    <row r="6324" spans="27:30" x14ac:dyDescent="0.3">
      <c r="AA6324" s="37">
        <v>6304</v>
      </c>
      <c r="AB6324" s="37">
        <v>1.7023102580934821</v>
      </c>
      <c r="AC6324" s="37">
        <v>2.7067330014687205</v>
      </c>
      <c r="AD6324" s="37">
        <v>3.3994665140854865</v>
      </c>
    </row>
    <row r="6325" spans="27:30" x14ac:dyDescent="0.3">
      <c r="AA6325" s="37">
        <v>6305</v>
      </c>
      <c r="AB6325" s="37">
        <v>1.654695842075937</v>
      </c>
      <c r="AC6325" s="37">
        <v>2.8228776837491605</v>
      </c>
      <c r="AD6325" s="37">
        <v>3.2258134694720524</v>
      </c>
    </row>
    <row r="6326" spans="27:30" x14ac:dyDescent="0.3">
      <c r="AA6326" s="37">
        <v>6306</v>
      </c>
      <c r="AB6326" s="37">
        <v>1.8407995470279255</v>
      </c>
      <c r="AC6326" s="37">
        <v>2.6122420129759827</v>
      </c>
      <c r="AD6326" s="37">
        <v>3.1953981350987002</v>
      </c>
    </row>
    <row r="6327" spans="27:30" x14ac:dyDescent="0.3">
      <c r="AA6327" s="37">
        <v>6307</v>
      </c>
      <c r="AB6327" s="37">
        <v>1.6842435374931737</v>
      </c>
      <c r="AC6327" s="37">
        <v>2.8926529224372097</v>
      </c>
      <c r="AD6327" s="37">
        <v>3.2394652230626564</v>
      </c>
    </row>
    <row r="6328" spans="27:30" x14ac:dyDescent="0.3">
      <c r="AA6328" s="37">
        <v>6308</v>
      </c>
      <c r="AB6328" s="37">
        <v>1.7991660820967916</v>
      </c>
      <c r="AC6328" s="37">
        <v>2.8024324350984395</v>
      </c>
      <c r="AD6328" s="37">
        <v>3.3529035118096737</v>
      </c>
    </row>
    <row r="6329" spans="27:30" x14ac:dyDescent="0.3">
      <c r="AA6329" s="37">
        <v>6309</v>
      </c>
      <c r="AB6329" s="37">
        <v>1.7260149375471368</v>
      </c>
      <c r="AC6329" s="37">
        <v>2.9954107712030384</v>
      </c>
      <c r="AD6329" s="37">
        <v>3.6289922132135448</v>
      </c>
    </row>
    <row r="6330" spans="27:30" x14ac:dyDescent="0.3">
      <c r="AA6330" s="37">
        <v>6310</v>
      </c>
      <c r="AB6330" s="37">
        <v>1.7915874000769367</v>
      </c>
      <c r="AC6330" s="37">
        <v>2.8441901125994469</v>
      </c>
      <c r="AD6330" s="37">
        <v>3.4591054883266827</v>
      </c>
    </row>
    <row r="6331" spans="27:30" x14ac:dyDescent="0.3">
      <c r="AA6331" s="37">
        <v>6311</v>
      </c>
      <c r="AB6331" s="37">
        <v>1.6453393928853319</v>
      </c>
      <c r="AC6331" s="37">
        <v>3.2366413670970657</v>
      </c>
      <c r="AD6331" s="37">
        <v>3.4174311392992536</v>
      </c>
    </row>
    <row r="6332" spans="27:30" x14ac:dyDescent="0.3">
      <c r="AA6332" s="37">
        <v>6312</v>
      </c>
      <c r="AB6332" s="37">
        <v>1.6948846237671067</v>
      </c>
      <c r="AC6332" s="37">
        <v>2.8743024652067097</v>
      </c>
      <c r="AD6332" s="37">
        <v>3.2373129634555085</v>
      </c>
    </row>
    <row r="6333" spans="27:30" x14ac:dyDescent="0.3">
      <c r="AA6333" s="37">
        <v>6313</v>
      </c>
      <c r="AB6333" s="37">
        <v>1.7520834275567032</v>
      </c>
      <c r="AC6333" s="37">
        <v>2.9433086839407165</v>
      </c>
      <c r="AD6333" s="37">
        <v>3.3881515517383929</v>
      </c>
    </row>
    <row r="6334" spans="27:30" x14ac:dyDescent="0.3">
      <c r="AA6334" s="37">
        <v>6314</v>
      </c>
      <c r="AB6334" s="37">
        <v>1.7401495079052087</v>
      </c>
      <c r="AC6334" s="37">
        <v>2.9275999336101495</v>
      </c>
      <c r="AD6334" s="37">
        <v>3.0040579945702981</v>
      </c>
    </row>
    <row r="6335" spans="27:30" x14ac:dyDescent="0.3">
      <c r="AA6335" s="37">
        <v>6315</v>
      </c>
      <c r="AB6335" s="37">
        <v>1.7085583394837678</v>
      </c>
      <c r="AC6335" s="37">
        <v>2.8496543595058244</v>
      </c>
      <c r="AD6335" s="37">
        <v>3.3224931412767265</v>
      </c>
    </row>
    <row r="6336" spans="27:30" x14ac:dyDescent="0.3">
      <c r="AA6336" s="37">
        <v>6316</v>
      </c>
      <c r="AB6336" s="37">
        <v>1.8382150239588675</v>
      </c>
      <c r="AC6336" s="37">
        <v>2.8372562707588869</v>
      </c>
      <c r="AD6336" s="37">
        <v>3.2593604357315131</v>
      </c>
    </row>
    <row r="6337" spans="27:30" x14ac:dyDescent="0.3">
      <c r="AA6337" s="37">
        <v>6317</v>
      </c>
      <c r="AB6337" s="37">
        <v>1.9228732517695184</v>
      </c>
      <c r="AC6337" s="37">
        <v>2.7134621896265867</v>
      </c>
      <c r="AD6337" s="37">
        <v>3.3715167195324649</v>
      </c>
    </row>
    <row r="6338" spans="27:30" x14ac:dyDescent="0.3">
      <c r="AA6338" s="37">
        <v>6318</v>
      </c>
      <c r="AB6338" s="37">
        <v>1.7783170964735899</v>
      </c>
      <c r="AC6338" s="37">
        <v>2.9106218392937375</v>
      </c>
      <c r="AD6338" s="37">
        <v>3.4309711539547982</v>
      </c>
    </row>
    <row r="6339" spans="27:30" x14ac:dyDescent="0.3">
      <c r="AA6339" s="37">
        <v>6319</v>
      </c>
      <c r="AB6339" s="37">
        <v>1.8635783382560682</v>
      </c>
      <c r="AC6339" s="37">
        <v>2.971725279355995</v>
      </c>
      <c r="AD6339" s="37">
        <v>3.3656627894224078</v>
      </c>
    </row>
    <row r="6340" spans="27:30" x14ac:dyDescent="0.3">
      <c r="AA6340" s="37">
        <v>6320</v>
      </c>
      <c r="AB6340" s="37">
        <v>1.7030147066401125</v>
      </c>
      <c r="AC6340" s="37">
        <v>2.8033319591934709</v>
      </c>
      <c r="AD6340" s="37">
        <v>3.3311047266424412</v>
      </c>
    </row>
    <row r="6341" spans="27:30" x14ac:dyDescent="0.3">
      <c r="AA6341" s="37">
        <v>6321</v>
      </c>
      <c r="AB6341" s="37">
        <v>1.7102328138657095</v>
      </c>
      <c r="AC6341" s="37">
        <v>2.9216901215037305</v>
      </c>
      <c r="AD6341" s="37">
        <v>3.0971853019372286</v>
      </c>
    </row>
    <row r="6342" spans="27:30" x14ac:dyDescent="0.3">
      <c r="AA6342" s="37">
        <v>6322</v>
      </c>
      <c r="AB6342" s="37">
        <v>1.6926597813965882</v>
      </c>
      <c r="AC6342" s="37">
        <v>2.8450759948215927</v>
      </c>
      <c r="AD6342" s="37">
        <v>3.2371212080033533</v>
      </c>
    </row>
    <row r="6343" spans="27:30" x14ac:dyDescent="0.3">
      <c r="AA6343" s="37">
        <v>6323</v>
      </c>
      <c r="AB6343" s="37">
        <v>1.7485336047688522</v>
      </c>
      <c r="AC6343" s="37">
        <v>2.9377693130426179</v>
      </c>
      <c r="AD6343" s="37">
        <v>3.2008141912260255</v>
      </c>
    </row>
    <row r="6344" spans="27:30" x14ac:dyDescent="0.3">
      <c r="AA6344" s="37">
        <v>6324</v>
      </c>
      <c r="AB6344" s="37">
        <v>1.7141691908351437</v>
      </c>
      <c r="AC6344" s="37">
        <v>2.778663032660289</v>
      </c>
      <c r="AD6344" s="37">
        <v>3.2674609925808604</v>
      </c>
    </row>
    <row r="6345" spans="27:30" x14ac:dyDescent="0.3">
      <c r="AA6345" s="37">
        <v>6325</v>
      </c>
      <c r="AB6345" s="37">
        <v>1.6814007041402312</v>
      </c>
      <c r="AC6345" s="37">
        <v>2.774315879789234</v>
      </c>
      <c r="AD6345" s="37">
        <v>3.4321150105199161</v>
      </c>
    </row>
    <row r="6346" spans="27:30" x14ac:dyDescent="0.3">
      <c r="AA6346" s="37">
        <v>6326</v>
      </c>
      <c r="AB6346" s="37">
        <v>1.7172102016447985</v>
      </c>
      <c r="AC6346" s="37">
        <v>2.8022317828173708</v>
      </c>
      <c r="AD6346" s="37">
        <v>3.5181661183119841</v>
      </c>
    </row>
    <row r="6347" spans="27:30" x14ac:dyDescent="0.3">
      <c r="AA6347" s="37">
        <v>6327</v>
      </c>
      <c r="AB6347" s="37">
        <v>1.7389626703052299</v>
      </c>
      <c r="AC6347" s="37">
        <v>3.0388594405675158</v>
      </c>
      <c r="AD6347" s="37">
        <v>3.5033537023264207</v>
      </c>
    </row>
    <row r="6348" spans="27:30" x14ac:dyDescent="0.3">
      <c r="AA6348" s="37">
        <v>6328</v>
      </c>
      <c r="AB6348" s="37">
        <v>1.8487697801792</v>
      </c>
      <c r="AC6348" s="37">
        <v>2.9382033876355291</v>
      </c>
      <c r="AD6348" s="37">
        <v>3.4454064487602749</v>
      </c>
    </row>
    <row r="6349" spans="27:30" x14ac:dyDescent="0.3">
      <c r="AA6349" s="37">
        <v>6329</v>
      </c>
      <c r="AB6349" s="37">
        <v>1.7653409359990972</v>
      </c>
      <c r="AC6349" s="37">
        <v>2.756304452497282</v>
      </c>
      <c r="AD6349" s="37">
        <v>3.3119558242307692</v>
      </c>
    </row>
    <row r="6350" spans="27:30" x14ac:dyDescent="0.3">
      <c r="AA6350" s="37">
        <v>6330</v>
      </c>
      <c r="AB6350" s="37">
        <v>1.7758032236833621</v>
      </c>
      <c r="AC6350" s="37">
        <v>2.7256721326602871</v>
      </c>
      <c r="AD6350" s="37">
        <v>3.308053403028834</v>
      </c>
    </row>
    <row r="6351" spans="27:30" x14ac:dyDescent="0.3">
      <c r="AA6351" s="37">
        <v>6331</v>
      </c>
      <c r="AB6351" s="37">
        <v>1.8237076864584072</v>
      </c>
      <c r="AC6351" s="37">
        <v>2.8394109346382006</v>
      </c>
      <c r="AD6351" s="37">
        <v>3.1865455844339325</v>
      </c>
    </row>
    <row r="6352" spans="27:30" x14ac:dyDescent="0.3">
      <c r="AA6352" s="37">
        <v>6332</v>
      </c>
      <c r="AB6352" s="37">
        <v>1.7659270785574284</v>
      </c>
      <c r="AC6352" s="37">
        <v>2.7113452867713845</v>
      </c>
      <c r="AD6352" s="37">
        <v>3.2950643183849264</v>
      </c>
    </row>
    <row r="6353" spans="27:30" x14ac:dyDescent="0.3">
      <c r="AA6353" s="37">
        <v>6333</v>
      </c>
      <c r="AB6353" s="37">
        <v>1.9258037018501297</v>
      </c>
      <c r="AC6353" s="37">
        <v>2.9486522600523513</v>
      </c>
      <c r="AD6353" s="37">
        <v>3.2789863611849679</v>
      </c>
    </row>
    <row r="6354" spans="27:30" x14ac:dyDescent="0.3">
      <c r="AA6354" s="37">
        <v>6334</v>
      </c>
      <c r="AB6354" s="37">
        <v>1.8095186530589031</v>
      </c>
      <c r="AC6354" s="37">
        <v>2.9651816055440237</v>
      </c>
      <c r="AD6354" s="37">
        <v>3.2674539696894307</v>
      </c>
    </row>
    <row r="6355" spans="27:30" x14ac:dyDescent="0.3">
      <c r="AA6355" s="37">
        <v>6335</v>
      </c>
      <c r="AB6355" s="37">
        <v>1.9589396948499651</v>
      </c>
      <c r="AC6355" s="37">
        <v>3.0085373722754323</v>
      </c>
      <c r="AD6355" s="37">
        <v>3.3995011997255049</v>
      </c>
    </row>
    <row r="6356" spans="27:30" x14ac:dyDescent="0.3">
      <c r="AA6356" s="37">
        <v>6336</v>
      </c>
      <c r="AB6356" s="37">
        <v>1.8427098915308679</v>
      </c>
      <c r="AC6356" s="37">
        <v>2.7939238509541409</v>
      </c>
      <c r="AD6356" s="37">
        <v>3.327091510490372</v>
      </c>
    </row>
    <row r="6357" spans="27:30" x14ac:dyDescent="0.3">
      <c r="AA6357" s="37">
        <v>6337</v>
      </c>
      <c r="AB6357" s="37">
        <v>1.8149484929495783</v>
      </c>
      <c r="AC6357" s="37">
        <v>2.8329948488096859</v>
      </c>
      <c r="AD6357" s="37">
        <v>3.2970779534264634</v>
      </c>
    </row>
    <row r="6358" spans="27:30" x14ac:dyDescent="0.3">
      <c r="AA6358" s="37">
        <v>6338</v>
      </c>
      <c r="AB6358" s="37">
        <v>1.7439513970382057</v>
      </c>
      <c r="AC6358" s="37">
        <v>2.8155678489734739</v>
      </c>
      <c r="AD6358" s="37">
        <v>3.3248597784304761</v>
      </c>
    </row>
    <row r="6359" spans="27:30" x14ac:dyDescent="0.3">
      <c r="AA6359" s="37">
        <v>6339</v>
      </c>
      <c r="AB6359" s="37">
        <v>1.778543293931828</v>
      </c>
      <c r="AC6359" s="37">
        <v>2.8251707695018147</v>
      </c>
      <c r="AD6359" s="37">
        <v>3.3202375066035179</v>
      </c>
    </row>
    <row r="6360" spans="27:30" x14ac:dyDescent="0.3">
      <c r="AA6360" s="37">
        <v>6340</v>
      </c>
      <c r="AB6360" s="37">
        <v>1.8058994080324919</v>
      </c>
      <c r="AC6360" s="37">
        <v>2.6427213251193575</v>
      </c>
      <c r="AD6360" s="37">
        <v>3.1728482398454374</v>
      </c>
    </row>
    <row r="6361" spans="27:30" x14ac:dyDescent="0.3">
      <c r="AA6361" s="37">
        <v>6341</v>
      </c>
      <c r="AB6361" s="37">
        <v>1.7422088745365243</v>
      </c>
      <c r="AC6361" s="37">
        <v>2.8670371527987246</v>
      </c>
      <c r="AD6361" s="37">
        <v>3.30182894383992</v>
      </c>
    </row>
    <row r="6362" spans="27:30" x14ac:dyDescent="0.3">
      <c r="AA6362" s="37">
        <v>6342</v>
      </c>
      <c r="AB6362" s="37">
        <v>1.7087620568301265</v>
      </c>
      <c r="AC6362" s="37">
        <v>2.8783224682546771</v>
      </c>
      <c r="AD6362" s="37">
        <v>3.1037544239163521</v>
      </c>
    </row>
    <row r="6363" spans="27:30" x14ac:dyDescent="0.3">
      <c r="AA6363" s="37">
        <v>6343</v>
      </c>
      <c r="AB6363" s="37">
        <v>1.8001269444266597</v>
      </c>
      <c r="AC6363" s="37">
        <v>3.0481416704160336</v>
      </c>
      <c r="AD6363" s="37">
        <v>3.2970923730684989</v>
      </c>
    </row>
    <row r="6364" spans="27:30" x14ac:dyDescent="0.3">
      <c r="AA6364" s="37">
        <v>6344</v>
      </c>
      <c r="AB6364" s="37">
        <v>1.6144946316814672</v>
      </c>
      <c r="AC6364" s="37">
        <v>2.8314598692590942</v>
      </c>
      <c r="AD6364" s="37">
        <v>3.2829437041406706</v>
      </c>
    </row>
    <row r="6365" spans="27:30" x14ac:dyDescent="0.3">
      <c r="AA6365" s="37">
        <v>6345</v>
      </c>
      <c r="AB6365" s="37">
        <v>1.741425551836659</v>
      </c>
      <c r="AC6365" s="37">
        <v>2.7638004421334106</v>
      </c>
      <c r="AD6365" s="37">
        <v>3.2988928491762817</v>
      </c>
    </row>
    <row r="6366" spans="27:30" x14ac:dyDescent="0.3">
      <c r="AA6366" s="37">
        <v>6346</v>
      </c>
      <c r="AB6366" s="37">
        <v>1.7989124853347858</v>
      </c>
      <c r="AC6366" s="37">
        <v>2.8141121738638755</v>
      </c>
      <c r="AD6366" s="37">
        <v>3.441109789450663</v>
      </c>
    </row>
    <row r="6367" spans="27:30" x14ac:dyDescent="0.3">
      <c r="AA6367" s="37">
        <v>6347</v>
      </c>
      <c r="AB6367" s="37">
        <v>1.7557629254530431</v>
      </c>
      <c r="AC6367" s="37">
        <v>2.9209074999937483</v>
      </c>
      <c r="AD6367" s="37">
        <v>3.3196333745851523</v>
      </c>
    </row>
    <row r="6368" spans="27:30" x14ac:dyDescent="0.3">
      <c r="AA6368" s="37">
        <v>6348</v>
      </c>
      <c r="AB6368" s="37">
        <v>1.918269468110718</v>
      </c>
      <c r="AC6368" s="37">
        <v>2.8871071436335667</v>
      </c>
      <c r="AD6368" s="37">
        <v>3.1474362810514296</v>
      </c>
    </row>
    <row r="6369" spans="27:30" x14ac:dyDescent="0.3">
      <c r="AA6369" s="37">
        <v>6349</v>
      </c>
      <c r="AB6369" s="37">
        <v>1.8566096457616525</v>
      </c>
      <c r="AC6369" s="37">
        <v>2.8504223633178092</v>
      </c>
      <c r="AD6369" s="37">
        <v>3.357895384757303</v>
      </c>
    </row>
    <row r="6370" spans="27:30" x14ac:dyDescent="0.3">
      <c r="AA6370" s="37">
        <v>6350</v>
      </c>
      <c r="AB6370" s="37">
        <v>1.764874014376226</v>
      </c>
      <c r="AC6370" s="37">
        <v>3.0013925072240304</v>
      </c>
      <c r="AD6370" s="37">
        <v>3.3995089056331662</v>
      </c>
    </row>
    <row r="6371" spans="27:30" x14ac:dyDescent="0.3">
      <c r="AA6371" s="37">
        <v>6351</v>
      </c>
      <c r="AB6371" s="37">
        <v>1.6120453285366407</v>
      </c>
      <c r="AC6371" s="37">
        <v>3.1011322561010517</v>
      </c>
      <c r="AD6371" s="37">
        <v>3.4013340692636707</v>
      </c>
    </row>
    <row r="6372" spans="27:30" x14ac:dyDescent="0.3">
      <c r="AA6372" s="37">
        <v>6352</v>
      </c>
      <c r="AB6372" s="37">
        <v>1.7256387920974394</v>
      </c>
      <c r="AC6372" s="37">
        <v>2.8431494390984824</v>
      </c>
      <c r="AD6372" s="37">
        <v>3.4196305613718074</v>
      </c>
    </row>
    <row r="6373" spans="27:30" x14ac:dyDescent="0.3">
      <c r="AA6373" s="37">
        <v>6353</v>
      </c>
      <c r="AB6373" s="37">
        <v>1.8276787176325817</v>
      </c>
      <c r="AC6373" s="37">
        <v>2.8308516696854813</v>
      </c>
      <c r="AD6373" s="37">
        <v>3.345631657431837</v>
      </c>
    </row>
    <row r="6374" spans="27:30" x14ac:dyDescent="0.3">
      <c r="AA6374" s="37">
        <v>6354</v>
      </c>
      <c r="AB6374" s="37">
        <v>1.7111831225990155</v>
      </c>
      <c r="AC6374" s="37">
        <v>2.9091063600122116</v>
      </c>
      <c r="AD6374" s="37">
        <v>3.4479557827086147</v>
      </c>
    </row>
    <row r="6375" spans="27:30" x14ac:dyDescent="0.3">
      <c r="AA6375" s="37">
        <v>6355</v>
      </c>
      <c r="AB6375" s="37">
        <v>1.7390002449730331</v>
      </c>
      <c r="AC6375" s="37">
        <v>2.8959399533717387</v>
      </c>
      <c r="AD6375" s="37">
        <v>3.409116279012073</v>
      </c>
    </row>
    <row r="6376" spans="27:30" x14ac:dyDescent="0.3">
      <c r="AA6376" s="37">
        <v>6356</v>
      </c>
      <c r="AB6376" s="37">
        <v>1.7544857083651941</v>
      </c>
      <c r="AC6376" s="37">
        <v>2.7976460235630412</v>
      </c>
      <c r="AD6376" s="37">
        <v>3.348859173322936</v>
      </c>
    </row>
    <row r="6377" spans="27:30" x14ac:dyDescent="0.3">
      <c r="AA6377" s="37">
        <v>6357</v>
      </c>
      <c r="AB6377" s="37">
        <v>1.7753360223113837</v>
      </c>
      <c r="AC6377" s="37">
        <v>3.0208940830955964</v>
      </c>
      <c r="AD6377" s="37">
        <v>3.3024630870362981</v>
      </c>
    </row>
    <row r="6378" spans="27:30" x14ac:dyDescent="0.3">
      <c r="AA6378" s="37">
        <v>6358</v>
      </c>
      <c r="AB6378" s="37">
        <v>1.7600247113083083</v>
      </c>
      <c r="AC6378" s="37">
        <v>2.8347925645349021</v>
      </c>
      <c r="AD6378" s="37">
        <v>3.2031014721448243</v>
      </c>
    </row>
    <row r="6379" spans="27:30" x14ac:dyDescent="0.3">
      <c r="AA6379" s="37">
        <v>6359</v>
      </c>
      <c r="AB6379" s="37">
        <v>1.8942950193337416</v>
      </c>
      <c r="AC6379" s="37">
        <v>2.8882011432775405</v>
      </c>
      <c r="AD6379" s="37">
        <v>3.3515833443334988</v>
      </c>
    </row>
    <row r="6380" spans="27:30" x14ac:dyDescent="0.3">
      <c r="AA6380" s="37">
        <v>6360</v>
      </c>
      <c r="AB6380" s="37">
        <v>1.7570187638672934</v>
      </c>
      <c r="AC6380" s="37">
        <v>2.9556634159458715</v>
      </c>
      <c r="AD6380" s="37">
        <v>3.3100734945885568</v>
      </c>
    </row>
    <row r="6381" spans="27:30" x14ac:dyDescent="0.3">
      <c r="AA6381" s="37">
        <v>6361</v>
      </c>
      <c r="AB6381" s="37">
        <v>1.7982005217978609</v>
      </c>
      <c r="AC6381" s="37">
        <v>2.9854667094789273</v>
      </c>
      <c r="AD6381" s="37">
        <v>3.3248134763485928</v>
      </c>
    </row>
    <row r="6382" spans="27:30" x14ac:dyDescent="0.3">
      <c r="AA6382" s="37">
        <v>6362</v>
      </c>
      <c r="AB6382" s="37">
        <v>1.9006660256952954</v>
      </c>
      <c r="AC6382" s="37">
        <v>2.8502735172415852</v>
      </c>
      <c r="AD6382" s="37">
        <v>3.3266758322658703</v>
      </c>
    </row>
    <row r="6383" spans="27:30" x14ac:dyDescent="0.3">
      <c r="AA6383" s="37">
        <v>6363</v>
      </c>
      <c r="AB6383" s="37">
        <v>1.8229234221800867</v>
      </c>
      <c r="AC6383" s="37">
        <v>2.8042314095331555</v>
      </c>
      <c r="AD6383" s="37">
        <v>3.2535584783280278</v>
      </c>
    </row>
    <row r="6384" spans="27:30" x14ac:dyDescent="0.3">
      <c r="AA6384" s="37">
        <v>6364</v>
      </c>
      <c r="AB6384" s="37">
        <v>1.6553082456941963</v>
      </c>
      <c r="AC6384" s="37">
        <v>3.0047217438830929</v>
      </c>
      <c r="AD6384" s="37">
        <v>3.5243503278786594</v>
      </c>
    </row>
    <row r="6385" spans="27:30" x14ac:dyDescent="0.3">
      <c r="AA6385" s="37">
        <v>6365</v>
      </c>
      <c r="AB6385" s="37">
        <v>1.7296396028984822</v>
      </c>
      <c r="AC6385" s="37">
        <v>2.7699884860121684</v>
      </c>
      <c r="AD6385" s="37">
        <v>3.3833857577356459</v>
      </c>
    </row>
    <row r="6386" spans="27:30" x14ac:dyDescent="0.3">
      <c r="AA6386" s="37">
        <v>6366</v>
      </c>
      <c r="AB6386" s="37">
        <v>1.8133327346306747</v>
      </c>
      <c r="AC6386" s="37">
        <v>2.8810777058056174</v>
      </c>
      <c r="AD6386" s="37">
        <v>3.4418637374500736</v>
      </c>
    </row>
    <row r="6387" spans="27:30" x14ac:dyDescent="0.3">
      <c r="AA6387" s="37">
        <v>6367</v>
      </c>
      <c r="AB6387" s="37">
        <v>1.7445921093673007</v>
      </c>
      <c r="AC6387" s="37">
        <v>2.7777422332860309</v>
      </c>
      <c r="AD6387" s="37">
        <v>3.3560007644080887</v>
      </c>
    </row>
    <row r="6388" spans="27:30" x14ac:dyDescent="0.3">
      <c r="AA6388" s="37">
        <v>6368</v>
      </c>
      <c r="AB6388" s="37">
        <v>1.8423084507534029</v>
      </c>
      <c r="AC6388" s="37">
        <v>2.8460070001567956</v>
      </c>
      <c r="AD6388" s="37">
        <v>3.3048519370046865</v>
      </c>
    </row>
    <row r="6389" spans="27:30" x14ac:dyDescent="0.3">
      <c r="AA6389" s="37">
        <v>6369</v>
      </c>
      <c r="AB6389" s="37">
        <v>1.7171370210382966</v>
      </c>
      <c r="AC6389" s="37">
        <v>2.8011829886670387</v>
      </c>
      <c r="AD6389" s="37">
        <v>3.4341462736702364</v>
      </c>
    </row>
    <row r="6390" spans="27:30" x14ac:dyDescent="0.3">
      <c r="AA6390" s="37">
        <v>6370</v>
      </c>
      <c r="AB6390" s="37">
        <v>1.6796993271887912</v>
      </c>
      <c r="AC6390" s="37">
        <v>2.9203359765501102</v>
      </c>
      <c r="AD6390" s="37">
        <v>3.3648712475126525</v>
      </c>
    </row>
    <row r="6391" spans="27:30" x14ac:dyDescent="0.3">
      <c r="AA6391" s="37">
        <v>6371</v>
      </c>
      <c r="AB6391" s="37">
        <v>1.809259576528935</v>
      </c>
      <c r="AC6391" s="37">
        <v>2.7717549873200196</v>
      </c>
      <c r="AD6391" s="37">
        <v>3.5086845845657586</v>
      </c>
    </row>
    <row r="6392" spans="27:30" x14ac:dyDescent="0.3">
      <c r="AA6392" s="37">
        <v>6372</v>
      </c>
      <c r="AB6392" s="37">
        <v>1.8130518140448781</v>
      </c>
      <c r="AC6392" s="37">
        <v>2.9239604135782384</v>
      </c>
      <c r="AD6392" s="37">
        <v>3.6844582775124342</v>
      </c>
    </row>
    <row r="6393" spans="27:30" x14ac:dyDescent="0.3">
      <c r="AA6393" s="37">
        <v>6373</v>
      </c>
      <c r="AB6393" s="37">
        <v>1.8133344969564491</v>
      </c>
      <c r="AC6393" s="37">
        <v>2.8158479401592995</v>
      </c>
      <c r="AD6393" s="37">
        <v>3.3397155607974169</v>
      </c>
    </row>
    <row r="6394" spans="27:30" x14ac:dyDescent="0.3">
      <c r="AA6394" s="37">
        <v>6374</v>
      </c>
      <c r="AB6394" s="37">
        <v>1.9027104293161647</v>
      </c>
      <c r="AC6394" s="37">
        <v>3.0668210941660812</v>
      </c>
      <c r="AD6394" s="37">
        <v>3.3293143543936647</v>
      </c>
    </row>
    <row r="6395" spans="27:30" x14ac:dyDescent="0.3">
      <c r="AA6395" s="37">
        <v>6375</v>
      </c>
      <c r="AB6395" s="37">
        <v>1.8208441297134934</v>
      </c>
      <c r="AC6395" s="37">
        <v>2.8409092588413278</v>
      </c>
      <c r="AD6395" s="37">
        <v>3.3603216719474744</v>
      </c>
    </row>
    <row r="6396" spans="27:30" x14ac:dyDescent="0.3">
      <c r="AA6396" s="37">
        <v>6376</v>
      </c>
      <c r="AB6396" s="37">
        <v>1.7548645367921087</v>
      </c>
      <c r="AC6396" s="37">
        <v>2.7841164654326964</v>
      </c>
      <c r="AD6396" s="37">
        <v>3.1869062326098736</v>
      </c>
    </row>
    <row r="6397" spans="27:30" x14ac:dyDescent="0.3">
      <c r="AA6397" s="37">
        <v>6377</v>
      </c>
      <c r="AB6397" s="37">
        <v>1.6815303346472301</v>
      </c>
      <c r="AC6397" s="37">
        <v>2.8227977737393299</v>
      </c>
      <c r="AD6397" s="37">
        <v>3.3872739924053215</v>
      </c>
    </row>
    <row r="6398" spans="27:30" x14ac:dyDescent="0.3">
      <c r="AA6398" s="37">
        <v>6378</v>
      </c>
      <c r="AB6398" s="37">
        <v>1.8464627658630688</v>
      </c>
      <c r="AC6398" s="37">
        <v>2.8765090254963996</v>
      </c>
      <c r="AD6398" s="37">
        <v>3.2974440050195475</v>
      </c>
    </row>
    <row r="6399" spans="27:30" x14ac:dyDescent="0.3">
      <c r="AA6399" s="37">
        <v>6379</v>
      </c>
      <c r="AB6399" s="37">
        <v>1.7488003353351298</v>
      </c>
      <c r="AC6399" s="37">
        <v>2.8509782225619618</v>
      </c>
      <c r="AD6399" s="37">
        <v>3.4000928949583549</v>
      </c>
    </row>
    <row r="6400" spans="27:30" x14ac:dyDescent="0.3">
      <c r="AA6400" s="37">
        <v>6380</v>
      </c>
      <c r="AB6400" s="37">
        <v>1.6555270936673472</v>
      </c>
      <c r="AC6400" s="37">
        <v>2.8664542967936284</v>
      </c>
      <c r="AD6400" s="37">
        <v>3.3017485996207387</v>
      </c>
    </row>
    <row r="6401" spans="27:30" x14ac:dyDescent="0.3">
      <c r="AA6401" s="37">
        <v>6381</v>
      </c>
      <c r="AB6401" s="37">
        <v>1.8177179998058153</v>
      </c>
      <c r="AC6401" s="37">
        <v>2.7422751020732434</v>
      </c>
      <c r="AD6401" s="37">
        <v>3.3400683116992624</v>
      </c>
    </row>
    <row r="6402" spans="27:30" x14ac:dyDescent="0.3">
      <c r="AA6402" s="37">
        <v>6382</v>
      </c>
      <c r="AB6402" s="37">
        <v>1.7736471523913009</v>
      </c>
      <c r="AC6402" s="37">
        <v>2.9059883934232604</v>
      </c>
      <c r="AD6402" s="37">
        <v>3.0959361160041441</v>
      </c>
    </row>
    <row r="6403" spans="27:30" x14ac:dyDescent="0.3">
      <c r="AA6403" s="37">
        <v>6383</v>
      </c>
      <c r="AB6403" s="37">
        <v>1.7241702019187113</v>
      </c>
      <c r="AC6403" s="37">
        <v>2.7679743963763599</v>
      </c>
      <c r="AD6403" s="37">
        <v>3.4420371194762618</v>
      </c>
    </row>
    <row r="6404" spans="27:30" x14ac:dyDescent="0.3">
      <c r="AA6404" s="37">
        <v>6384</v>
      </c>
      <c r="AB6404" s="37">
        <v>1.7083165129063158</v>
      </c>
      <c r="AC6404" s="37">
        <v>2.8569035222334547</v>
      </c>
      <c r="AD6404" s="37">
        <v>3.4298662914748039</v>
      </c>
    </row>
    <row r="6405" spans="27:30" x14ac:dyDescent="0.3">
      <c r="AA6405" s="37">
        <v>6385</v>
      </c>
      <c r="AB6405" s="37">
        <v>1.8185279575908944</v>
      </c>
      <c r="AC6405" s="37">
        <v>2.8436794808626145</v>
      </c>
      <c r="AD6405" s="37">
        <v>3.3665154896246574</v>
      </c>
    </row>
    <row r="6406" spans="27:30" x14ac:dyDescent="0.3">
      <c r="AA6406" s="37">
        <v>6386</v>
      </c>
      <c r="AB6406" s="37">
        <v>1.6798289060817435</v>
      </c>
      <c r="AC6406" s="37">
        <v>2.8161342484225695</v>
      </c>
      <c r="AD6406" s="37">
        <v>3.1771892024749402</v>
      </c>
    </row>
    <row r="6407" spans="27:30" x14ac:dyDescent="0.3">
      <c r="AA6407" s="37">
        <v>6387</v>
      </c>
      <c r="AB6407" s="37">
        <v>1.7816785847563976</v>
      </c>
      <c r="AC6407" s="37">
        <v>2.9346501811334642</v>
      </c>
      <c r="AD6407" s="37">
        <v>3.3145841082811383</v>
      </c>
    </row>
    <row r="6408" spans="27:30" x14ac:dyDescent="0.3">
      <c r="AA6408" s="37">
        <v>6388</v>
      </c>
      <c r="AB6408" s="37">
        <v>1.7963254537846922</v>
      </c>
      <c r="AC6408" s="37">
        <v>2.9627280502965978</v>
      </c>
      <c r="AD6408" s="37">
        <v>3.4915278405222088</v>
      </c>
    </row>
    <row r="6409" spans="27:30" x14ac:dyDescent="0.3">
      <c r="AA6409" s="37">
        <v>6389</v>
      </c>
      <c r="AB6409" s="37">
        <v>1.8603405854951973</v>
      </c>
      <c r="AC6409" s="37">
        <v>2.822320537622145</v>
      </c>
      <c r="AD6409" s="37">
        <v>3.4077906565918794</v>
      </c>
    </row>
    <row r="6410" spans="27:30" x14ac:dyDescent="0.3">
      <c r="AA6410" s="37">
        <v>6390</v>
      </c>
      <c r="AB6410" s="37">
        <v>1.7980564282707738</v>
      </c>
      <c r="AC6410" s="37">
        <v>2.6505204174809283</v>
      </c>
      <c r="AD6410" s="37">
        <v>3.2955084587595889</v>
      </c>
    </row>
    <row r="6411" spans="27:30" x14ac:dyDescent="0.3">
      <c r="AA6411" s="37">
        <v>6391</v>
      </c>
      <c r="AB6411" s="37">
        <v>1.7577587502936776</v>
      </c>
      <c r="AC6411" s="37">
        <v>3.0248894081171938</v>
      </c>
      <c r="AD6411" s="37">
        <v>3.2653913424989316</v>
      </c>
    </row>
    <row r="6412" spans="27:30" x14ac:dyDescent="0.3">
      <c r="AA6412" s="37">
        <v>6392</v>
      </c>
      <c r="AB6412" s="37">
        <v>1.7326555652741329</v>
      </c>
      <c r="AC6412" s="37">
        <v>2.7104069070389669</v>
      </c>
      <c r="AD6412" s="37">
        <v>3.380108188700802</v>
      </c>
    </row>
    <row r="6413" spans="27:30" x14ac:dyDescent="0.3">
      <c r="AA6413" s="37">
        <v>6393</v>
      </c>
      <c r="AB6413" s="37">
        <v>1.7875479319254775</v>
      </c>
      <c r="AC6413" s="37">
        <v>3.0323733313298828</v>
      </c>
      <c r="AD6413" s="37">
        <v>3.4382446685377621</v>
      </c>
    </row>
    <row r="6414" spans="27:30" x14ac:dyDescent="0.3">
      <c r="AA6414" s="37">
        <v>6394</v>
      </c>
      <c r="AB6414" s="37">
        <v>1.8668477961181715</v>
      </c>
      <c r="AC6414" s="37">
        <v>2.8528206273364978</v>
      </c>
      <c r="AD6414" s="37">
        <v>3.3095798721525225</v>
      </c>
    </row>
    <row r="6415" spans="27:30" x14ac:dyDescent="0.3">
      <c r="AA6415" s="37">
        <v>6395</v>
      </c>
      <c r="AB6415" s="37">
        <v>1.7606163771860024</v>
      </c>
      <c r="AC6415" s="37">
        <v>2.7361345095167406</v>
      </c>
      <c r="AD6415" s="37">
        <v>3.2841445589860467</v>
      </c>
    </row>
    <row r="6416" spans="27:30" x14ac:dyDescent="0.3">
      <c r="AA6416" s="37">
        <v>6396</v>
      </c>
      <c r="AB6416" s="37">
        <v>1.8283430892061381</v>
      </c>
      <c r="AC6416" s="37">
        <v>2.9308889224585042</v>
      </c>
      <c r="AD6416" s="37">
        <v>3.2868389588993381</v>
      </c>
    </row>
    <row r="6417" spans="27:30" x14ac:dyDescent="0.3">
      <c r="AA6417" s="37">
        <v>6397</v>
      </c>
      <c r="AB6417" s="37">
        <v>1.7804747639735374</v>
      </c>
      <c r="AC6417" s="37">
        <v>2.6534487076042397</v>
      </c>
      <c r="AD6417" s="37">
        <v>3.3305758141412158</v>
      </c>
    </row>
    <row r="6418" spans="27:30" x14ac:dyDescent="0.3">
      <c r="AA6418" s="37">
        <v>6398</v>
      </c>
      <c r="AB6418" s="37">
        <v>1.765271209898339</v>
      </c>
      <c r="AC6418" s="37">
        <v>2.8087382322799539</v>
      </c>
      <c r="AD6418" s="37">
        <v>3.1714710325936832</v>
      </c>
    </row>
    <row r="6419" spans="27:30" x14ac:dyDescent="0.3">
      <c r="AA6419" s="37">
        <v>6399</v>
      </c>
      <c r="AB6419" s="37">
        <v>1.7881144257722019</v>
      </c>
      <c r="AC6419" s="37">
        <v>2.854145047006182</v>
      </c>
      <c r="AD6419" s="37">
        <v>3.4221798123475895</v>
      </c>
    </row>
    <row r="6420" spans="27:30" x14ac:dyDescent="0.3">
      <c r="AA6420" s="37">
        <v>6400</v>
      </c>
      <c r="AB6420" s="37">
        <v>1.8517964726315088</v>
      </c>
      <c r="AC6420" s="37">
        <v>2.8754481551509863</v>
      </c>
      <c r="AD6420" s="37">
        <v>3.4411325661484646</v>
      </c>
    </row>
    <row r="6421" spans="27:30" x14ac:dyDescent="0.3">
      <c r="AA6421" s="37">
        <v>6401</v>
      </c>
      <c r="AB6421" s="37">
        <v>1.9410930296968338</v>
      </c>
      <c r="AC6421" s="37">
        <v>2.9088074411284688</v>
      </c>
      <c r="AD6421" s="37">
        <v>3.410121388177632</v>
      </c>
    </row>
    <row r="6422" spans="27:30" x14ac:dyDescent="0.3">
      <c r="AA6422" s="37">
        <v>6402</v>
      </c>
      <c r="AB6422" s="37">
        <v>1.7858676527503583</v>
      </c>
      <c r="AC6422" s="37">
        <v>2.6958859662255463</v>
      </c>
      <c r="AD6422" s="37">
        <v>3.182369133072815</v>
      </c>
    </row>
    <row r="6423" spans="27:30" x14ac:dyDescent="0.3">
      <c r="AA6423" s="37">
        <v>6403</v>
      </c>
      <c r="AB6423" s="37">
        <v>1.7284868110122142</v>
      </c>
      <c r="AC6423" s="37">
        <v>2.8966111023092611</v>
      </c>
      <c r="AD6423" s="37">
        <v>2.9993597535621439</v>
      </c>
    </row>
    <row r="6424" spans="27:30" x14ac:dyDescent="0.3">
      <c r="AA6424" s="37">
        <v>6404</v>
      </c>
      <c r="AB6424" s="37">
        <v>1.732053902588147</v>
      </c>
      <c r="AC6424" s="37">
        <v>2.8996118508331494</v>
      </c>
      <c r="AD6424" s="37">
        <v>3.1903584248379517</v>
      </c>
    </row>
    <row r="6425" spans="27:30" x14ac:dyDescent="0.3">
      <c r="AA6425" s="37">
        <v>6405</v>
      </c>
      <c r="AB6425" s="37">
        <v>1.8776376467419726</v>
      </c>
      <c r="AC6425" s="37">
        <v>2.7314055198555334</v>
      </c>
      <c r="AD6425" s="37">
        <v>3.3225863776267075</v>
      </c>
    </row>
    <row r="6426" spans="27:30" x14ac:dyDescent="0.3">
      <c r="AA6426" s="37">
        <v>6406</v>
      </c>
      <c r="AB6426" s="37">
        <v>1.8442632484736279</v>
      </c>
      <c r="AC6426" s="37">
        <v>2.7581115055166401</v>
      </c>
      <c r="AD6426" s="37">
        <v>3.2644661650601732</v>
      </c>
    </row>
    <row r="6427" spans="27:30" x14ac:dyDescent="0.3">
      <c r="AA6427" s="37">
        <v>6407</v>
      </c>
      <c r="AB6427" s="37">
        <v>1.7419046080862863</v>
      </c>
      <c r="AC6427" s="37">
        <v>2.9496799888612002</v>
      </c>
      <c r="AD6427" s="37">
        <v>3.1899715529905297</v>
      </c>
    </row>
    <row r="6428" spans="27:30" x14ac:dyDescent="0.3">
      <c r="AA6428" s="37">
        <v>6408</v>
      </c>
      <c r="AB6428" s="37">
        <v>1.7895911152188004</v>
      </c>
      <c r="AC6428" s="37">
        <v>2.8841495439642983</v>
      </c>
      <c r="AD6428" s="37">
        <v>3.3584756408689387</v>
      </c>
    </row>
    <row r="6429" spans="27:30" x14ac:dyDescent="0.3">
      <c r="AA6429" s="37">
        <v>6409</v>
      </c>
      <c r="AB6429" s="37">
        <v>2.0465905912347622</v>
      </c>
      <c r="AC6429" s="37">
        <v>2.8333438131579984</v>
      </c>
      <c r="AD6429" s="37">
        <v>3.2683925066186581</v>
      </c>
    </row>
    <row r="6430" spans="27:30" x14ac:dyDescent="0.3">
      <c r="AA6430" s="37">
        <v>6410</v>
      </c>
      <c r="AB6430" s="37">
        <v>1.7652716844236223</v>
      </c>
      <c r="AC6430" s="37">
        <v>2.7790631145076854</v>
      </c>
      <c r="AD6430" s="37">
        <v>3.3465792523351388</v>
      </c>
    </row>
    <row r="6431" spans="27:30" x14ac:dyDescent="0.3">
      <c r="AA6431" s="37">
        <v>6411</v>
      </c>
      <c r="AB6431" s="37">
        <v>1.8053422465100224</v>
      </c>
      <c r="AC6431" s="37">
        <v>2.9094460745860156</v>
      </c>
      <c r="AD6431" s="37">
        <v>3.3288832301927891</v>
      </c>
    </row>
    <row r="6432" spans="27:30" x14ac:dyDescent="0.3">
      <c r="AA6432" s="37">
        <v>6412</v>
      </c>
      <c r="AB6432" s="37">
        <v>1.9234423273261887</v>
      </c>
      <c r="AC6432" s="37">
        <v>3.0280801631367429</v>
      </c>
      <c r="AD6432" s="37">
        <v>3.3736059155422322</v>
      </c>
    </row>
    <row r="6433" spans="27:30" x14ac:dyDescent="0.3">
      <c r="AA6433" s="37">
        <v>6413</v>
      </c>
      <c r="AB6433" s="37">
        <v>1.7516632504987395</v>
      </c>
      <c r="AC6433" s="37">
        <v>2.7441438638782167</v>
      </c>
      <c r="AD6433" s="37">
        <v>3.3840078054030416</v>
      </c>
    </row>
    <row r="6434" spans="27:30" x14ac:dyDescent="0.3">
      <c r="AA6434" s="37">
        <v>6414</v>
      </c>
      <c r="AB6434" s="37">
        <v>1.723459474198771</v>
      </c>
      <c r="AC6434" s="37">
        <v>2.6489026437777876</v>
      </c>
      <c r="AD6434" s="37">
        <v>3.3607691792008789</v>
      </c>
    </row>
    <row r="6435" spans="27:30" x14ac:dyDescent="0.3">
      <c r="AA6435" s="37">
        <v>6415</v>
      </c>
      <c r="AB6435" s="37">
        <v>1.6567696816007287</v>
      </c>
      <c r="AC6435" s="37">
        <v>3.0209851302424924</v>
      </c>
      <c r="AD6435" s="37">
        <v>3.313495586994994</v>
      </c>
    </row>
    <row r="6436" spans="27:30" x14ac:dyDescent="0.3">
      <c r="AA6436" s="37">
        <v>6416</v>
      </c>
      <c r="AB6436" s="37">
        <v>1.7588493263776077</v>
      </c>
      <c r="AC6436" s="37">
        <v>3.0563451508720458</v>
      </c>
      <c r="AD6436" s="37">
        <v>3.6211113923335279</v>
      </c>
    </row>
    <row r="6437" spans="27:30" x14ac:dyDescent="0.3">
      <c r="AA6437" s="37">
        <v>6417</v>
      </c>
      <c r="AB6437" s="37">
        <v>1.7975781658005854</v>
      </c>
      <c r="AC6437" s="37">
        <v>2.8175442170404867</v>
      </c>
      <c r="AD6437" s="37">
        <v>3.29727618248956</v>
      </c>
    </row>
    <row r="6438" spans="27:30" x14ac:dyDescent="0.3">
      <c r="AA6438" s="37">
        <v>6418</v>
      </c>
      <c r="AB6438" s="37">
        <v>1.7792177525282673</v>
      </c>
      <c r="AC6438" s="37">
        <v>2.8384644543786446</v>
      </c>
      <c r="AD6438" s="37">
        <v>3.1799621965106848</v>
      </c>
    </row>
    <row r="6439" spans="27:30" x14ac:dyDescent="0.3">
      <c r="AA6439" s="37">
        <v>6419</v>
      </c>
      <c r="AB6439" s="37">
        <v>1.7671352235919187</v>
      </c>
      <c r="AC6439" s="37">
        <v>2.8135528769503972</v>
      </c>
      <c r="AD6439" s="37">
        <v>3.5911353211137991</v>
      </c>
    </row>
    <row r="6440" spans="27:30" x14ac:dyDescent="0.3">
      <c r="AA6440" s="37">
        <v>6420</v>
      </c>
      <c r="AB6440" s="37">
        <v>1.7262606862697867</v>
      </c>
      <c r="AC6440" s="37">
        <v>2.8928644435457485</v>
      </c>
      <c r="AD6440" s="37">
        <v>3.5059381781978298</v>
      </c>
    </row>
    <row r="6441" spans="27:30" x14ac:dyDescent="0.3">
      <c r="AA6441" s="37">
        <v>6421</v>
      </c>
      <c r="AB6441" s="37">
        <v>1.8049798451786592</v>
      </c>
      <c r="AC6441" s="37">
        <v>2.7209058847116649</v>
      </c>
      <c r="AD6441" s="37">
        <v>3.2798496409511761</v>
      </c>
    </row>
    <row r="6442" spans="27:30" x14ac:dyDescent="0.3">
      <c r="AA6442" s="37">
        <v>6422</v>
      </c>
      <c r="AB6442" s="37">
        <v>1.7055291290763186</v>
      </c>
      <c r="AC6442" s="37">
        <v>2.9571692543734476</v>
      </c>
      <c r="AD6442" s="37">
        <v>3.7178120452703127</v>
      </c>
    </row>
    <row r="6443" spans="27:30" x14ac:dyDescent="0.3">
      <c r="AA6443" s="37">
        <v>6423</v>
      </c>
      <c r="AB6443" s="37">
        <v>1.7205800858803206</v>
      </c>
      <c r="AC6443" s="37">
        <v>2.7809788471762982</v>
      </c>
      <c r="AD6443" s="37">
        <v>3.4315968986341026</v>
      </c>
    </row>
    <row r="6444" spans="27:30" x14ac:dyDescent="0.3">
      <c r="AA6444" s="37">
        <v>6424</v>
      </c>
      <c r="AB6444" s="37">
        <v>1.7600358297611989</v>
      </c>
      <c r="AC6444" s="37">
        <v>2.76482415306082</v>
      </c>
      <c r="AD6444" s="37">
        <v>3.2677698225561662</v>
      </c>
    </row>
    <row r="6445" spans="27:30" x14ac:dyDescent="0.3">
      <c r="AA6445" s="37">
        <v>6425</v>
      </c>
      <c r="AB6445" s="37">
        <v>1.8621829843553948</v>
      </c>
      <c r="AC6445" s="37">
        <v>2.9633445614108456</v>
      </c>
      <c r="AD6445" s="37">
        <v>3.1707565726608977</v>
      </c>
    </row>
    <row r="6446" spans="27:30" x14ac:dyDescent="0.3">
      <c r="AA6446" s="37">
        <v>6426</v>
      </c>
      <c r="AB6446" s="37">
        <v>1.7038602662668834</v>
      </c>
      <c r="AC6446" s="37">
        <v>2.9440380791170035</v>
      </c>
      <c r="AD6446" s="37">
        <v>3.3352658809779419</v>
      </c>
    </row>
    <row r="6447" spans="27:30" x14ac:dyDescent="0.3">
      <c r="AA6447" s="37">
        <v>6427</v>
      </c>
      <c r="AB6447" s="37">
        <v>1.7166638994887808</v>
      </c>
      <c r="AC6447" s="37">
        <v>2.7278010335898837</v>
      </c>
      <c r="AD6447" s="37">
        <v>3.0344798912889086</v>
      </c>
    </row>
    <row r="6448" spans="27:30" x14ac:dyDescent="0.3">
      <c r="AA6448" s="37">
        <v>6428</v>
      </c>
      <c r="AB6448" s="37">
        <v>1.7655186354139702</v>
      </c>
      <c r="AC6448" s="37">
        <v>2.6997196332136806</v>
      </c>
      <c r="AD6448" s="37">
        <v>3.2745093652555828</v>
      </c>
    </row>
    <row r="6449" spans="27:30" x14ac:dyDescent="0.3">
      <c r="AA6449" s="37">
        <v>6429</v>
      </c>
      <c r="AB6449" s="37">
        <v>1.8712544988348914</v>
      </c>
      <c r="AC6449" s="37">
        <v>2.7856955858124635</v>
      </c>
      <c r="AD6449" s="37">
        <v>3.5163499740665056</v>
      </c>
    </row>
    <row r="6450" spans="27:30" x14ac:dyDescent="0.3">
      <c r="AA6450" s="37">
        <v>6430</v>
      </c>
      <c r="AB6450" s="37">
        <v>1.7312547788274</v>
      </c>
      <c r="AC6450" s="37">
        <v>2.8558686100326276</v>
      </c>
      <c r="AD6450" s="37">
        <v>3.4885977549772957</v>
      </c>
    </row>
    <row r="6451" spans="27:30" x14ac:dyDescent="0.3">
      <c r="AA6451" s="37">
        <v>6431</v>
      </c>
      <c r="AB6451" s="37">
        <v>1.7198914842182929</v>
      </c>
      <c r="AC6451" s="37">
        <v>2.6645291683657817</v>
      </c>
      <c r="AD6451" s="37">
        <v>3.1613968498145879</v>
      </c>
    </row>
    <row r="6452" spans="27:30" x14ac:dyDescent="0.3">
      <c r="AA6452" s="37">
        <v>6432</v>
      </c>
      <c r="AB6452" s="37">
        <v>1.8312933806250131</v>
      </c>
      <c r="AC6452" s="37">
        <v>2.7103550709703592</v>
      </c>
      <c r="AD6452" s="37">
        <v>3.2857050093081739</v>
      </c>
    </row>
    <row r="6453" spans="27:30" x14ac:dyDescent="0.3">
      <c r="AA6453" s="37">
        <v>6433</v>
      </c>
      <c r="AB6453" s="37">
        <v>1.7884791990398186</v>
      </c>
      <c r="AC6453" s="37">
        <v>2.8313716623365308</v>
      </c>
      <c r="AD6453" s="37">
        <v>3.4496952742174485</v>
      </c>
    </row>
    <row r="6454" spans="27:30" x14ac:dyDescent="0.3">
      <c r="AA6454" s="37">
        <v>6434</v>
      </c>
      <c r="AB6454" s="37">
        <v>1.7998605666318217</v>
      </c>
      <c r="AC6454" s="37">
        <v>2.9337024014457507</v>
      </c>
      <c r="AD6454" s="37">
        <v>3.2125025358152692</v>
      </c>
    </row>
    <row r="6455" spans="27:30" x14ac:dyDescent="0.3">
      <c r="AA6455" s="37">
        <v>6435</v>
      </c>
      <c r="AB6455" s="37">
        <v>1.7320204035388427</v>
      </c>
      <c r="AC6455" s="37">
        <v>2.8562079495609529</v>
      </c>
      <c r="AD6455" s="37">
        <v>3.2262311054614075</v>
      </c>
    </row>
    <row r="6456" spans="27:30" x14ac:dyDescent="0.3">
      <c r="AA6456" s="37">
        <v>6436</v>
      </c>
      <c r="AB6456" s="37">
        <v>1.8256813411282422</v>
      </c>
      <c r="AC6456" s="37">
        <v>2.926357629925711</v>
      </c>
      <c r="AD6456" s="37">
        <v>3.3928454005346302</v>
      </c>
    </row>
    <row r="6457" spans="27:30" x14ac:dyDescent="0.3">
      <c r="AA6457" s="37">
        <v>6437</v>
      </c>
      <c r="AB6457" s="37">
        <v>1.8434982298231801</v>
      </c>
      <c r="AC6457" s="37">
        <v>2.794089861963263</v>
      </c>
      <c r="AD6457" s="37">
        <v>3.3288577828545405</v>
      </c>
    </row>
    <row r="6458" spans="27:30" x14ac:dyDescent="0.3">
      <c r="AA6458" s="37">
        <v>6438</v>
      </c>
      <c r="AB6458" s="37">
        <v>1.8209121306750471</v>
      </c>
      <c r="AC6458" s="37">
        <v>2.8354277127276188</v>
      </c>
      <c r="AD6458" s="37">
        <v>3.3399168761587994</v>
      </c>
    </row>
    <row r="6459" spans="27:30" x14ac:dyDescent="0.3">
      <c r="AA6459" s="37">
        <v>6439</v>
      </c>
      <c r="AB6459" s="37">
        <v>1.6612769355717965</v>
      </c>
      <c r="AC6459" s="37">
        <v>2.777951589020379</v>
      </c>
      <c r="AD6459" s="37">
        <v>3.3783403547035435</v>
      </c>
    </row>
    <row r="6460" spans="27:30" x14ac:dyDescent="0.3">
      <c r="AA6460" s="37">
        <v>6440</v>
      </c>
      <c r="AB6460" s="37">
        <v>1.8612379305463251</v>
      </c>
      <c r="AC6460" s="37">
        <v>2.7621579794931157</v>
      </c>
      <c r="AD6460" s="37">
        <v>3.3816326549444153</v>
      </c>
    </row>
    <row r="6461" spans="27:30" x14ac:dyDescent="0.3">
      <c r="AA6461" s="37">
        <v>6441</v>
      </c>
      <c r="AB6461" s="37">
        <v>1.8008903030116841</v>
      </c>
      <c r="AC6461" s="37">
        <v>2.8311387477490175</v>
      </c>
      <c r="AD6461" s="37">
        <v>3.2422983766040563</v>
      </c>
    </row>
    <row r="6462" spans="27:30" x14ac:dyDescent="0.3">
      <c r="AA6462" s="37">
        <v>6442</v>
      </c>
      <c r="AB6462" s="37">
        <v>1.7527522337689514</v>
      </c>
      <c r="AC6462" s="37">
        <v>2.8207627619698892</v>
      </c>
      <c r="AD6462" s="37">
        <v>3.565775676435297</v>
      </c>
    </row>
    <row r="6463" spans="27:30" x14ac:dyDescent="0.3">
      <c r="AA6463" s="37">
        <v>6443</v>
      </c>
      <c r="AB6463" s="37">
        <v>1.7127110793701801</v>
      </c>
      <c r="AC6463" s="37">
        <v>2.8345500735051963</v>
      </c>
      <c r="AD6463" s="37">
        <v>3.4317817872468801</v>
      </c>
    </row>
    <row r="6464" spans="27:30" x14ac:dyDescent="0.3">
      <c r="AA6464" s="37">
        <v>6444</v>
      </c>
      <c r="AB6464" s="37">
        <v>1.8464066808629871</v>
      </c>
      <c r="AC6464" s="37">
        <v>2.899281945952445</v>
      </c>
      <c r="AD6464" s="37">
        <v>3.450474070246182</v>
      </c>
    </row>
    <row r="6465" spans="27:30" x14ac:dyDescent="0.3">
      <c r="AA6465" s="37">
        <v>6445</v>
      </c>
      <c r="AB6465" s="37">
        <v>1.7107462010641623</v>
      </c>
      <c r="AC6465" s="37">
        <v>2.948873871899329</v>
      </c>
      <c r="AD6465" s="37">
        <v>3.6236804256343964</v>
      </c>
    </row>
    <row r="6466" spans="27:30" x14ac:dyDescent="0.3">
      <c r="AA6466" s="37">
        <v>6446</v>
      </c>
      <c r="AB6466" s="37">
        <v>1.7909791133080835</v>
      </c>
      <c r="AC6466" s="37">
        <v>2.8053285596984634</v>
      </c>
      <c r="AD6466" s="37">
        <v>3.4463435786610286</v>
      </c>
    </row>
    <row r="6467" spans="27:30" x14ac:dyDescent="0.3">
      <c r="AA6467" s="37">
        <v>6447</v>
      </c>
      <c r="AB6467" s="37">
        <v>1.8549063792196478</v>
      </c>
      <c r="AC6467" s="37">
        <v>2.8233067509861747</v>
      </c>
      <c r="AD6467" s="37">
        <v>3.3398250717248921</v>
      </c>
    </row>
    <row r="6468" spans="27:30" x14ac:dyDescent="0.3">
      <c r="AA6468" s="37">
        <v>6448</v>
      </c>
      <c r="AB6468" s="37">
        <v>1.7165889068289018</v>
      </c>
      <c r="AC6468" s="37">
        <v>2.8988482995501199</v>
      </c>
      <c r="AD6468" s="37">
        <v>3.1407377995282473</v>
      </c>
    </row>
    <row r="6469" spans="27:30" x14ac:dyDescent="0.3">
      <c r="AA6469" s="37">
        <v>6449</v>
      </c>
      <c r="AB6469" s="37">
        <v>1.7407045699431751</v>
      </c>
      <c r="AC6469" s="37">
        <v>2.7250825610947311</v>
      </c>
      <c r="AD6469" s="37">
        <v>3.3506324301684756</v>
      </c>
    </row>
    <row r="6470" spans="27:30" x14ac:dyDescent="0.3">
      <c r="AA6470" s="37">
        <v>6450</v>
      </c>
      <c r="AB6470" s="37">
        <v>1.7983270494501862</v>
      </c>
      <c r="AC6470" s="37">
        <v>2.8901632932845542</v>
      </c>
      <c r="AD6470" s="37">
        <v>3.4488074824028794</v>
      </c>
    </row>
    <row r="6471" spans="27:30" x14ac:dyDescent="0.3">
      <c r="AA6471" s="37">
        <v>6451</v>
      </c>
      <c r="AB6471" s="37">
        <v>1.7631224579403741</v>
      </c>
      <c r="AC6471" s="37">
        <v>2.8931776131913902</v>
      </c>
      <c r="AD6471" s="37">
        <v>3.2447701160672757</v>
      </c>
    </row>
    <row r="6472" spans="27:30" x14ac:dyDescent="0.3">
      <c r="AA6472" s="37">
        <v>6452</v>
      </c>
      <c r="AB6472" s="37">
        <v>1.62551919426081</v>
      </c>
      <c r="AC6472" s="37">
        <v>2.8177416813682368</v>
      </c>
      <c r="AD6472" s="37">
        <v>3.4201707195324915</v>
      </c>
    </row>
    <row r="6473" spans="27:30" x14ac:dyDescent="0.3">
      <c r="AA6473" s="37">
        <v>6453</v>
      </c>
      <c r="AB6473" s="37">
        <v>1.8351330960054033</v>
      </c>
      <c r="AC6473" s="37">
        <v>2.9818067665297834</v>
      </c>
      <c r="AD6473" s="37">
        <v>3.2467380052578991</v>
      </c>
    </row>
    <row r="6474" spans="27:30" x14ac:dyDescent="0.3">
      <c r="AA6474" s="37">
        <v>6454</v>
      </c>
      <c r="AB6474" s="37">
        <v>1.7593603318485909</v>
      </c>
      <c r="AC6474" s="37">
        <v>2.9332682644134906</v>
      </c>
      <c r="AD6474" s="37">
        <v>3.4158648700061827</v>
      </c>
    </row>
    <row r="6475" spans="27:30" x14ac:dyDescent="0.3">
      <c r="AA6475" s="37">
        <v>6455</v>
      </c>
      <c r="AB6475" s="37">
        <v>1.7934700737610176</v>
      </c>
      <c r="AC6475" s="37">
        <v>2.7960602374717767</v>
      </c>
      <c r="AD6475" s="37">
        <v>3.4518578969139577</v>
      </c>
    </row>
    <row r="6476" spans="27:30" x14ac:dyDescent="0.3">
      <c r="AA6476" s="37">
        <v>6456</v>
      </c>
      <c r="AB6476" s="37">
        <v>1.797517731207894</v>
      </c>
      <c r="AC6476" s="37">
        <v>2.8715639061369309</v>
      </c>
      <c r="AD6476" s="37">
        <v>3.5492665564032526</v>
      </c>
    </row>
    <row r="6477" spans="27:30" x14ac:dyDescent="0.3">
      <c r="AA6477" s="37">
        <v>6457</v>
      </c>
      <c r="AB6477" s="37">
        <v>1.8407079895807144</v>
      </c>
      <c r="AC6477" s="37">
        <v>2.8791841093286719</v>
      </c>
      <c r="AD6477" s="37">
        <v>3.1644980438586372</v>
      </c>
    </row>
    <row r="6478" spans="27:30" x14ac:dyDescent="0.3">
      <c r="AA6478" s="37">
        <v>6458</v>
      </c>
      <c r="AB6478" s="37">
        <v>1.89061738083269</v>
      </c>
      <c r="AC6478" s="37">
        <v>2.8286118250764845</v>
      </c>
      <c r="AD6478" s="37">
        <v>3.304692656051115</v>
      </c>
    </row>
    <row r="6479" spans="27:30" x14ac:dyDescent="0.3">
      <c r="AA6479" s="37">
        <v>6459</v>
      </c>
      <c r="AB6479" s="37">
        <v>1.7568821729326178</v>
      </c>
      <c r="AC6479" s="37">
        <v>2.9048564573435338</v>
      </c>
      <c r="AD6479" s="37">
        <v>3.3424559187081639</v>
      </c>
    </row>
    <row r="6480" spans="27:30" x14ac:dyDescent="0.3">
      <c r="AA6480" s="37">
        <v>6460</v>
      </c>
      <c r="AB6480" s="37">
        <v>1.6454596661415231</v>
      </c>
      <c r="AC6480" s="37">
        <v>2.8310285581701646</v>
      </c>
      <c r="AD6480" s="37">
        <v>3.2979150929669192</v>
      </c>
    </row>
    <row r="6481" spans="27:30" x14ac:dyDescent="0.3">
      <c r="AA6481" s="37">
        <v>6461</v>
      </c>
      <c r="AB6481" s="37">
        <v>1.9297967112464354</v>
      </c>
      <c r="AC6481" s="37">
        <v>2.9155356407778368</v>
      </c>
      <c r="AD6481" s="37">
        <v>3.3922068460813781</v>
      </c>
    </row>
    <row r="6482" spans="27:30" x14ac:dyDescent="0.3">
      <c r="AA6482" s="37">
        <v>6462</v>
      </c>
      <c r="AB6482" s="37">
        <v>1.7585456014864944</v>
      </c>
      <c r="AC6482" s="37">
        <v>2.8650597228952881</v>
      </c>
      <c r="AD6482" s="37">
        <v>3.1389089360480247</v>
      </c>
    </row>
    <row r="6483" spans="27:30" x14ac:dyDescent="0.3">
      <c r="AA6483" s="37">
        <v>6463</v>
      </c>
      <c r="AB6483" s="37">
        <v>1.8587624001239134</v>
      </c>
      <c r="AC6483" s="37">
        <v>2.7901562831158935</v>
      </c>
      <c r="AD6483" s="37">
        <v>3.256262723976457</v>
      </c>
    </row>
    <row r="6484" spans="27:30" x14ac:dyDescent="0.3">
      <c r="AA6484" s="37">
        <v>6464</v>
      </c>
      <c r="AB6484" s="37">
        <v>1.7671358106887158</v>
      </c>
      <c r="AC6484" s="37">
        <v>2.9693369272965993</v>
      </c>
      <c r="AD6484" s="37">
        <v>3.2656254099572535</v>
      </c>
    </row>
    <row r="6485" spans="27:30" x14ac:dyDescent="0.3">
      <c r="AA6485" s="37">
        <v>6465</v>
      </c>
      <c r="AB6485" s="37">
        <v>1.7547722466817308</v>
      </c>
      <c r="AC6485" s="37">
        <v>2.9554373009886588</v>
      </c>
      <c r="AD6485" s="37">
        <v>3.2910948210324942</v>
      </c>
    </row>
    <row r="6486" spans="27:30" x14ac:dyDescent="0.3">
      <c r="AA6486" s="37">
        <v>6466</v>
      </c>
      <c r="AB6486" s="37">
        <v>1.6971222718228176</v>
      </c>
      <c r="AC6486" s="37">
        <v>2.8802956054571607</v>
      </c>
      <c r="AD6486" s="37">
        <v>3.359195929471571</v>
      </c>
    </row>
    <row r="6487" spans="27:30" x14ac:dyDescent="0.3">
      <c r="AA6487" s="37">
        <v>6467</v>
      </c>
      <c r="AB6487" s="37">
        <v>1.78718874954177</v>
      </c>
      <c r="AC6487" s="37">
        <v>2.6087493625187461</v>
      </c>
      <c r="AD6487" s="37">
        <v>3.4555078548087126</v>
      </c>
    </row>
    <row r="6488" spans="27:30" x14ac:dyDescent="0.3">
      <c r="AA6488" s="37">
        <v>6468</v>
      </c>
      <c r="AB6488" s="37">
        <v>1.7383364800971333</v>
      </c>
      <c r="AC6488" s="37">
        <v>2.8256920472122018</v>
      </c>
      <c r="AD6488" s="37">
        <v>3.4730856151217564</v>
      </c>
    </row>
    <row r="6489" spans="27:30" x14ac:dyDescent="0.3">
      <c r="AA6489" s="37">
        <v>6469</v>
      </c>
      <c r="AB6489" s="37">
        <v>1.7501327398166153</v>
      </c>
      <c r="AC6489" s="37">
        <v>2.744279905113939</v>
      </c>
      <c r="AD6489" s="37">
        <v>3.4449070943763105</v>
      </c>
    </row>
    <row r="6490" spans="27:30" x14ac:dyDescent="0.3">
      <c r="AA6490" s="37">
        <v>6470</v>
      </c>
      <c r="AB6490" s="37">
        <v>1.7433840664357736</v>
      </c>
      <c r="AC6490" s="37">
        <v>2.8536309065720955</v>
      </c>
      <c r="AD6490" s="37">
        <v>3.294719953809361</v>
      </c>
    </row>
    <row r="6491" spans="27:30" x14ac:dyDescent="0.3">
      <c r="AA6491" s="37">
        <v>6471</v>
      </c>
      <c r="AB6491" s="37">
        <v>1.7028308317071277</v>
      </c>
      <c r="AC6491" s="37">
        <v>2.7733410718276952</v>
      </c>
      <c r="AD6491" s="37">
        <v>3.3426628289524958</v>
      </c>
    </row>
    <row r="6492" spans="27:30" x14ac:dyDescent="0.3">
      <c r="AA6492" s="37">
        <v>6472</v>
      </c>
      <c r="AB6492" s="37">
        <v>1.7353089945132267</v>
      </c>
      <c r="AC6492" s="37">
        <v>2.8762304043649136</v>
      </c>
      <c r="AD6492" s="37">
        <v>3.4049680971782679</v>
      </c>
    </row>
    <row r="6493" spans="27:30" x14ac:dyDescent="0.3">
      <c r="AA6493" s="37">
        <v>6473</v>
      </c>
      <c r="AB6493" s="37">
        <v>1.6781171531940591</v>
      </c>
      <c r="AC6493" s="37">
        <v>2.7512713600295444</v>
      </c>
      <c r="AD6493" s="37">
        <v>3.3879439855602107</v>
      </c>
    </row>
    <row r="6494" spans="27:30" x14ac:dyDescent="0.3">
      <c r="AA6494" s="37">
        <v>6474</v>
      </c>
      <c r="AB6494" s="37">
        <v>1.7739662495853636</v>
      </c>
      <c r="AC6494" s="37">
        <v>2.737784792352481</v>
      </c>
      <c r="AD6494" s="37">
        <v>3.4074352635221512</v>
      </c>
    </row>
    <row r="6495" spans="27:30" x14ac:dyDescent="0.3">
      <c r="AA6495" s="37">
        <v>6475</v>
      </c>
      <c r="AB6495" s="37">
        <v>1.7186407607721128</v>
      </c>
      <c r="AC6495" s="37">
        <v>2.9160869261528783</v>
      </c>
      <c r="AD6495" s="37">
        <v>3.4335458768780907</v>
      </c>
    </row>
    <row r="6496" spans="27:30" x14ac:dyDescent="0.3">
      <c r="AA6496" s="37">
        <v>6476</v>
      </c>
      <c r="AB6496" s="37">
        <v>1.6888434400577628</v>
      </c>
      <c r="AC6496" s="37">
        <v>2.8639711952477152</v>
      </c>
      <c r="AD6496" s="37">
        <v>3.2506863725951156</v>
      </c>
    </row>
    <row r="6497" spans="27:30" x14ac:dyDescent="0.3">
      <c r="AA6497" s="37">
        <v>6477</v>
      </c>
      <c r="AB6497" s="37">
        <v>1.8195333841023249</v>
      </c>
      <c r="AC6497" s="37">
        <v>2.8330238011901949</v>
      </c>
      <c r="AD6497" s="37">
        <v>3.4049498667590807</v>
      </c>
    </row>
    <row r="6498" spans="27:30" x14ac:dyDescent="0.3">
      <c r="AA6498" s="37">
        <v>6478</v>
      </c>
      <c r="AB6498" s="37">
        <v>1.7187333772237638</v>
      </c>
      <c r="AC6498" s="37">
        <v>2.9459719833091094</v>
      </c>
      <c r="AD6498" s="37">
        <v>3.348795548634445</v>
      </c>
    </row>
    <row r="6499" spans="27:30" x14ac:dyDescent="0.3">
      <c r="AA6499" s="37">
        <v>6479</v>
      </c>
      <c r="AB6499" s="37">
        <v>1.7895413085621275</v>
      </c>
      <c r="AC6499" s="37">
        <v>2.8965804904188155</v>
      </c>
      <c r="AD6499" s="37">
        <v>3.3446218761456725</v>
      </c>
    </row>
    <row r="6500" spans="27:30" x14ac:dyDescent="0.3">
      <c r="AA6500" s="37">
        <v>6480</v>
      </c>
      <c r="AB6500" s="37">
        <v>1.7559680791947099</v>
      </c>
      <c r="AC6500" s="37">
        <v>2.8805949371897341</v>
      </c>
      <c r="AD6500" s="37">
        <v>3.4874806255393076</v>
      </c>
    </row>
    <row r="6501" spans="27:30" x14ac:dyDescent="0.3">
      <c r="AA6501" s="37">
        <v>6481</v>
      </c>
      <c r="AB6501" s="37">
        <v>1.7958570187228153</v>
      </c>
      <c r="AC6501" s="37">
        <v>2.819249530108114</v>
      </c>
      <c r="AD6501" s="37">
        <v>3.0622019062524513</v>
      </c>
    </row>
    <row r="6502" spans="27:30" x14ac:dyDescent="0.3">
      <c r="AA6502" s="37">
        <v>6482</v>
      </c>
      <c r="AB6502" s="37">
        <v>1.8147306904549263</v>
      </c>
      <c r="AC6502" s="37">
        <v>2.9047513331716552</v>
      </c>
      <c r="AD6502" s="37">
        <v>3.2300835285374583</v>
      </c>
    </row>
    <row r="6503" spans="27:30" x14ac:dyDescent="0.3">
      <c r="AA6503" s="37">
        <v>6483</v>
      </c>
      <c r="AB6503" s="37">
        <v>1.8936230569205454</v>
      </c>
      <c r="AC6503" s="37">
        <v>2.875665657936183</v>
      </c>
      <c r="AD6503" s="37">
        <v>3.1297696721737154</v>
      </c>
    </row>
    <row r="6504" spans="27:30" x14ac:dyDescent="0.3">
      <c r="AA6504" s="37">
        <v>6484</v>
      </c>
      <c r="AB6504" s="37">
        <v>1.8196708580717611</v>
      </c>
      <c r="AC6504" s="37">
        <v>2.9051265025241726</v>
      </c>
      <c r="AD6504" s="37">
        <v>3.3488938016011476</v>
      </c>
    </row>
    <row r="6505" spans="27:30" x14ac:dyDescent="0.3">
      <c r="AA6505" s="37">
        <v>6485</v>
      </c>
      <c r="AB6505" s="37">
        <v>1.8068708784822616</v>
      </c>
      <c r="AC6505" s="37">
        <v>2.6683227581107922</v>
      </c>
      <c r="AD6505" s="37">
        <v>3.3710037922591156</v>
      </c>
    </row>
    <row r="6506" spans="27:30" x14ac:dyDescent="0.3">
      <c r="AA6506" s="37">
        <v>6486</v>
      </c>
      <c r="AB6506" s="37">
        <v>1.7477275318697756</v>
      </c>
      <c r="AC6506" s="37">
        <v>2.6828251047697758</v>
      </c>
      <c r="AD6506" s="37">
        <v>3.2317247408374548</v>
      </c>
    </row>
    <row r="6507" spans="27:30" x14ac:dyDescent="0.3">
      <c r="AA6507" s="37">
        <v>6487</v>
      </c>
      <c r="AB6507" s="37">
        <v>1.7730248818545296</v>
      </c>
      <c r="AC6507" s="37">
        <v>2.6789623733414638</v>
      </c>
      <c r="AD6507" s="37">
        <v>3.1748885760417314</v>
      </c>
    </row>
    <row r="6508" spans="27:30" x14ac:dyDescent="0.3">
      <c r="AA6508" s="37">
        <v>6488</v>
      </c>
      <c r="AB6508" s="37">
        <v>1.7971015326573043</v>
      </c>
      <c r="AC6508" s="37">
        <v>2.70115651323409</v>
      </c>
      <c r="AD6508" s="37">
        <v>3.5161939588082736</v>
      </c>
    </row>
    <row r="6509" spans="27:30" x14ac:dyDescent="0.3">
      <c r="AA6509" s="37">
        <v>6489</v>
      </c>
      <c r="AB6509" s="37">
        <v>1.7774760209395459</v>
      </c>
      <c r="AC6509" s="37">
        <v>2.7274885319779854</v>
      </c>
      <c r="AD6509" s="37">
        <v>3.3374869163012209</v>
      </c>
    </row>
    <row r="6510" spans="27:30" x14ac:dyDescent="0.3">
      <c r="AA6510" s="37">
        <v>6490</v>
      </c>
      <c r="AB6510" s="37">
        <v>1.822210120407892</v>
      </c>
      <c r="AC6510" s="37">
        <v>2.8290230228019722</v>
      </c>
      <c r="AD6510" s="37">
        <v>3.3496060729300972</v>
      </c>
    </row>
    <row r="6511" spans="27:30" x14ac:dyDescent="0.3">
      <c r="AA6511" s="37">
        <v>6491</v>
      </c>
      <c r="AB6511" s="37">
        <v>1.8926774039166008</v>
      </c>
      <c r="AC6511" s="37">
        <v>2.7338195821095765</v>
      </c>
      <c r="AD6511" s="37">
        <v>3.1772554001575797</v>
      </c>
    </row>
    <row r="6512" spans="27:30" x14ac:dyDescent="0.3">
      <c r="AA6512" s="37">
        <v>6492</v>
      </c>
      <c r="AB6512" s="37">
        <v>1.7210686035733771</v>
      </c>
      <c r="AC6512" s="37">
        <v>2.7575402954823161</v>
      </c>
      <c r="AD6512" s="37">
        <v>3.347599188476496</v>
      </c>
    </row>
    <row r="6513" spans="27:30" x14ac:dyDescent="0.3">
      <c r="AA6513" s="37">
        <v>6493</v>
      </c>
      <c r="AB6513" s="37">
        <v>1.6975509439503782</v>
      </c>
      <c r="AC6513" s="37">
        <v>2.7888921860715867</v>
      </c>
      <c r="AD6513" s="37">
        <v>3.3260958988102809</v>
      </c>
    </row>
    <row r="6514" spans="27:30" x14ac:dyDescent="0.3">
      <c r="AA6514" s="37">
        <v>6494</v>
      </c>
      <c r="AB6514" s="37">
        <v>1.7406004003433728</v>
      </c>
      <c r="AC6514" s="37">
        <v>2.8763255487796098</v>
      </c>
      <c r="AD6514" s="37">
        <v>3.1548025878119708</v>
      </c>
    </row>
    <row r="6515" spans="27:30" x14ac:dyDescent="0.3">
      <c r="AA6515" s="37">
        <v>6495</v>
      </c>
      <c r="AB6515" s="37">
        <v>1.8313303607639069</v>
      </c>
      <c r="AC6515" s="37">
        <v>3.0071688496769737</v>
      </c>
      <c r="AD6515" s="37">
        <v>3.2222266466973051</v>
      </c>
    </row>
    <row r="6516" spans="27:30" x14ac:dyDescent="0.3">
      <c r="AA6516" s="37">
        <v>6496</v>
      </c>
      <c r="AB6516" s="37">
        <v>1.6805388465371673</v>
      </c>
      <c r="AC6516" s="37">
        <v>2.735914794456157</v>
      </c>
      <c r="AD6516" s="37">
        <v>3.3311994592816059</v>
      </c>
    </row>
    <row r="6517" spans="27:30" x14ac:dyDescent="0.3">
      <c r="AA6517" s="37">
        <v>6497</v>
      </c>
      <c r="AB6517" s="37">
        <v>1.8287867160956777</v>
      </c>
      <c r="AC6517" s="37">
        <v>2.7776399737341704</v>
      </c>
      <c r="AD6517" s="37">
        <v>3.3638766596120213</v>
      </c>
    </row>
    <row r="6518" spans="27:30" x14ac:dyDescent="0.3">
      <c r="AA6518" s="37">
        <v>6498</v>
      </c>
      <c r="AB6518" s="37">
        <v>1.6629653540243992</v>
      </c>
      <c r="AC6518" s="37">
        <v>2.7586149838182683</v>
      </c>
      <c r="AD6518" s="37">
        <v>3.5147475881784214</v>
      </c>
    </row>
    <row r="6519" spans="27:30" x14ac:dyDescent="0.3">
      <c r="AA6519" s="37">
        <v>6499</v>
      </c>
      <c r="AB6519" s="37">
        <v>1.7825232901796042</v>
      </c>
      <c r="AC6519" s="37">
        <v>2.706613623196799</v>
      </c>
      <c r="AD6519" s="37">
        <v>3.3649997213948604</v>
      </c>
    </row>
    <row r="6520" spans="27:30" x14ac:dyDescent="0.3">
      <c r="AA6520" s="37">
        <v>6500</v>
      </c>
      <c r="AB6520" s="37">
        <v>1.8167781234302087</v>
      </c>
      <c r="AC6520" s="37">
        <v>3.0248157068177273</v>
      </c>
      <c r="AD6520" s="37">
        <v>3.2930906847126669</v>
      </c>
    </row>
    <row r="6521" spans="27:30" x14ac:dyDescent="0.3">
      <c r="AA6521" s="37">
        <v>6501</v>
      </c>
      <c r="AB6521" s="37">
        <v>1.7336690205100977</v>
      </c>
      <c r="AC6521" s="37">
        <v>2.9060159124077969</v>
      </c>
      <c r="AD6521" s="37">
        <v>3.3184766746486831</v>
      </c>
    </row>
    <row r="6522" spans="27:30" x14ac:dyDescent="0.3">
      <c r="AA6522" s="37">
        <v>6502</v>
      </c>
      <c r="AB6522" s="37">
        <v>1.8348842670250507</v>
      </c>
      <c r="AC6522" s="37">
        <v>2.823103032645919</v>
      </c>
      <c r="AD6522" s="37">
        <v>3.1465185044584039</v>
      </c>
    </row>
    <row r="6523" spans="27:30" x14ac:dyDescent="0.3">
      <c r="AA6523" s="37">
        <v>6503</v>
      </c>
      <c r="AB6523" s="37">
        <v>1.6956248229088562</v>
      </c>
      <c r="AC6523" s="37">
        <v>2.8150442276341621</v>
      </c>
      <c r="AD6523" s="37">
        <v>3.4915539813452279</v>
      </c>
    </row>
    <row r="6524" spans="27:30" x14ac:dyDescent="0.3">
      <c r="AA6524" s="37">
        <v>6504</v>
      </c>
      <c r="AB6524" s="37">
        <v>1.7640468897933566</v>
      </c>
      <c r="AC6524" s="37">
        <v>2.9176498177797709</v>
      </c>
      <c r="AD6524" s="37">
        <v>3.0918827040867467</v>
      </c>
    </row>
    <row r="6525" spans="27:30" x14ac:dyDescent="0.3">
      <c r="AA6525" s="37">
        <v>6505</v>
      </c>
      <c r="AB6525" s="37">
        <v>1.7305289945212179</v>
      </c>
      <c r="AC6525" s="37">
        <v>2.7243558542313622</v>
      </c>
      <c r="AD6525" s="37">
        <v>3.3605755874612737</v>
      </c>
    </row>
    <row r="6526" spans="27:30" x14ac:dyDescent="0.3">
      <c r="AA6526" s="37">
        <v>6506</v>
      </c>
      <c r="AB6526" s="37">
        <v>1.8412892589989809</v>
      </c>
      <c r="AC6526" s="37">
        <v>3.0308717342755105</v>
      </c>
      <c r="AD6526" s="37">
        <v>3.4537807841153305</v>
      </c>
    </row>
    <row r="6527" spans="27:30" x14ac:dyDescent="0.3">
      <c r="AA6527" s="37">
        <v>6507</v>
      </c>
      <c r="AB6527" s="37">
        <v>1.7929641658203357</v>
      </c>
      <c r="AC6527" s="37">
        <v>2.7890325524272668</v>
      </c>
      <c r="AD6527" s="37">
        <v>3.5132171101468819</v>
      </c>
    </row>
    <row r="6528" spans="27:30" x14ac:dyDescent="0.3">
      <c r="AA6528" s="37">
        <v>6508</v>
      </c>
      <c r="AB6528" s="37">
        <v>2.0091468120932765</v>
      </c>
      <c r="AC6528" s="37">
        <v>2.5684737505595674</v>
      </c>
      <c r="AD6528" s="37">
        <v>3.4385914848736125</v>
      </c>
    </row>
    <row r="6529" spans="27:30" x14ac:dyDescent="0.3">
      <c r="AA6529" s="37">
        <v>6509</v>
      </c>
      <c r="AB6529" s="37">
        <v>1.7697378976286295</v>
      </c>
      <c r="AC6529" s="37">
        <v>3.0126228328052496</v>
      </c>
      <c r="AD6529" s="37">
        <v>3.2905126664596498</v>
      </c>
    </row>
    <row r="6530" spans="27:30" x14ac:dyDescent="0.3">
      <c r="AA6530" s="37">
        <v>6510</v>
      </c>
      <c r="AB6530" s="37">
        <v>1.7905960033326491</v>
      </c>
      <c r="AC6530" s="37">
        <v>2.8733148000506659</v>
      </c>
      <c r="AD6530" s="37">
        <v>3.3585256308157145</v>
      </c>
    </row>
    <row r="6531" spans="27:30" x14ac:dyDescent="0.3">
      <c r="AA6531" s="37">
        <v>6511</v>
      </c>
      <c r="AB6531" s="37">
        <v>1.6872286318227976</v>
      </c>
      <c r="AC6531" s="37">
        <v>2.8034305972467646</v>
      </c>
      <c r="AD6531" s="37">
        <v>3.4269567976379252</v>
      </c>
    </row>
    <row r="6532" spans="27:30" x14ac:dyDescent="0.3">
      <c r="AA6532" s="37">
        <v>6512</v>
      </c>
      <c r="AB6532" s="37">
        <v>1.8299919690831514</v>
      </c>
      <c r="AC6532" s="37">
        <v>2.9213527111649547</v>
      </c>
      <c r="AD6532" s="37">
        <v>3.4186698648789999</v>
      </c>
    </row>
    <row r="6533" spans="27:30" x14ac:dyDescent="0.3">
      <c r="AA6533" s="37">
        <v>6513</v>
      </c>
      <c r="AB6533" s="37">
        <v>1.6850532632803386</v>
      </c>
      <c r="AC6533" s="37">
        <v>2.8466241156917107</v>
      </c>
      <c r="AD6533" s="37">
        <v>3.3958049841047813</v>
      </c>
    </row>
    <row r="6534" spans="27:30" x14ac:dyDescent="0.3">
      <c r="AA6534" s="37">
        <v>6514</v>
      </c>
      <c r="AB6534" s="37">
        <v>1.8026757519203798</v>
      </c>
      <c r="AC6534" s="37">
        <v>3.0194784750342261</v>
      </c>
      <c r="AD6534" s="37">
        <v>3.5012031755290987</v>
      </c>
    </row>
    <row r="6535" spans="27:30" x14ac:dyDescent="0.3">
      <c r="AA6535" s="37">
        <v>6515</v>
      </c>
      <c r="AB6535" s="37">
        <v>1.851301196741266</v>
      </c>
      <c r="AC6535" s="37">
        <v>2.7604835609668252</v>
      </c>
      <c r="AD6535" s="37">
        <v>3.3538629553224437</v>
      </c>
    </row>
    <row r="6536" spans="27:30" x14ac:dyDescent="0.3">
      <c r="AA6536" s="37">
        <v>6516</v>
      </c>
      <c r="AB6536" s="37">
        <v>1.8577952663203872</v>
      </c>
      <c r="AC6536" s="37">
        <v>2.984655821858726</v>
      </c>
      <c r="AD6536" s="37">
        <v>3.4480148588655459</v>
      </c>
    </row>
    <row r="6537" spans="27:30" x14ac:dyDescent="0.3">
      <c r="AA6537" s="37">
        <v>6517</v>
      </c>
      <c r="AB6537" s="37">
        <v>1.7303063040071902</v>
      </c>
      <c r="AC6537" s="37">
        <v>2.8159899450436745</v>
      </c>
      <c r="AD6537" s="37">
        <v>3.4118198388555219</v>
      </c>
    </row>
    <row r="6538" spans="27:30" x14ac:dyDescent="0.3">
      <c r="AA6538" s="37">
        <v>6518</v>
      </c>
      <c r="AB6538" s="37">
        <v>1.7777898137563972</v>
      </c>
      <c r="AC6538" s="37">
        <v>2.7529448196498181</v>
      </c>
      <c r="AD6538" s="37">
        <v>3.4256269469013012</v>
      </c>
    </row>
    <row r="6539" spans="27:30" x14ac:dyDescent="0.3">
      <c r="AA6539" s="37">
        <v>6519</v>
      </c>
      <c r="AB6539" s="37">
        <v>1.842768390381843</v>
      </c>
      <c r="AC6539" s="37">
        <v>2.8281129104836014</v>
      </c>
      <c r="AD6539" s="37">
        <v>3.5434295757420871</v>
      </c>
    </row>
    <row r="6540" spans="27:30" x14ac:dyDescent="0.3">
      <c r="AA6540" s="37">
        <v>6520</v>
      </c>
      <c r="AB6540" s="37">
        <v>1.7401008460773897</v>
      </c>
      <c r="AC6540" s="37">
        <v>2.9906074321984391</v>
      </c>
      <c r="AD6540" s="37">
        <v>3.5359490391431461</v>
      </c>
    </row>
    <row r="6541" spans="27:30" x14ac:dyDescent="0.3">
      <c r="AA6541" s="37">
        <v>6521</v>
      </c>
      <c r="AB6541" s="37">
        <v>1.7827715727399016</v>
      </c>
      <c r="AC6541" s="37">
        <v>2.7122640546275232</v>
      </c>
      <c r="AD6541" s="37">
        <v>3.4059078248609223</v>
      </c>
    </row>
    <row r="6542" spans="27:30" x14ac:dyDescent="0.3">
      <c r="AA6542" s="37">
        <v>6522</v>
      </c>
      <c r="AB6542" s="37">
        <v>1.7592127983613879</v>
      </c>
      <c r="AC6542" s="37">
        <v>2.7301323158323196</v>
      </c>
      <c r="AD6542" s="37">
        <v>3.3073042143535423</v>
      </c>
    </row>
    <row r="6543" spans="27:30" x14ac:dyDescent="0.3">
      <c r="AA6543" s="37">
        <v>6523</v>
      </c>
      <c r="AB6543" s="37">
        <v>1.8543734434443122</v>
      </c>
      <c r="AC6543" s="37">
        <v>2.7750906939983584</v>
      </c>
      <c r="AD6543" s="37">
        <v>3.2749651948106924</v>
      </c>
    </row>
    <row r="6544" spans="27:30" x14ac:dyDescent="0.3">
      <c r="AA6544" s="37">
        <v>6524</v>
      </c>
      <c r="AB6544" s="37">
        <v>1.8271423782150569</v>
      </c>
      <c r="AC6544" s="37">
        <v>3.0277776570595605</v>
      </c>
      <c r="AD6544" s="37">
        <v>3.3007410153406145</v>
      </c>
    </row>
    <row r="6545" spans="27:30" x14ac:dyDescent="0.3">
      <c r="AA6545" s="37">
        <v>6525</v>
      </c>
      <c r="AB6545" s="37">
        <v>1.736909617628055</v>
      </c>
      <c r="AC6545" s="37">
        <v>2.8706386525659764</v>
      </c>
      <c r="AD6545" s="37">
        <v>3.3249723191228338</v>
      </c>
    </row>
    <row r="6546" spans="27:30" x14ac:dyDescent="0.3">
      <c r="AA6546" s="37">
        <v>6526</v>
      </c>
      <c r="AB6546" s="37">
        <v>1.7865362489607994</v>
      </c>
      <c r="AC6546" s="37">
        <v>2.7887735146887578</v>
      </c>
      <c r="AD6546" s="37">
        <v>3.4577350686205683</v>
      </c>
    </row>
    <row r="6547" spans="27:30" x14ac:dyDescent="0.3">
      <c r="AA6547" s="37">
        <v>6527</v>
      </c>
      <c r="AB6547" s="37">
        <v>1.7304241760357404</v>
      </c>
      <c r="AC6547" s="37">
        <v>2.9543407212161359</v>
      </c>
      <c r="AD6547" s="37">
        <v>3.3795507951490489</v>
      </c>
    </row>
    <row r="6548" spans="27:30" x14ac:dyDescent="0.3">
      <c r="AA6548" s="37">
        <v>6528</v>
      </c>
      <c r="AB6548" s="37">
        <v>1.7569647221119411</v>
      </c>
      <c r="AC6548" s="37">
        <v>2.7303184719074718</v>
      </c>
      <c r="AD6548" s="37">
        <v>3.0981404081747725</v>
      </c>
    </row>
    <row r="6549" spans="27:30" x14ac:dyDescent="0.3">
      <c r="AA6549" s="37">
        <v>6529</v>
      </c>
      <c r="AB6549" s="37">
        <v>1.765692380560266</v>
      </c>
      <c r="AC6549" s="37">
        <v>2.8095205626598414</v>
      </c>
      <c r="AD6549" s="37">
        <v>3.5523927720154651</v>
      </c>
    </row>
    <row r="6550" spans="27:30" x14ac:dyDescent="0.3">
      <c r="AA6550" s="37">
        <v>6530</v>
      </c>
      <c r="AB6550" s="37">
        <v>1.8248595141787418</v>
      </c>
      <c r="AC6550" s="37">
        <v>2.8618135939097429</v>
      </c>
      <c r="AD6550" s="37">
        <v>3.3738570487477149</v>
      </c>
    </row>
    <row r="6551" spans="27:30" x14ac:dyDescent="0.3">
      <c r="AA6551" s="37">
        <v>6531</v>
      </c>
      <c r="AB6551" s="37">
        <v>1.8595411420420778</v>
      </c>
      <c r="AC6551" s="37">
        <v>3.145332811211198</v>
      </c>
      <c r="AD6551" s="37">
        <v>3.3708469584060667</v>
      </c>
    </row>
    <row r="6552" spans="27:30" x14ac:dyDescent="0.3">
      <c r="AA6552" s="37">
        <v>6532</v>
      </c>
      <c r="AB6552" s="37">
        <v>1.8000225095813864</v>
      </c>
      <c r="AC6552" s="37">
        <v>2.6377221598236487</v>
      </c>
      <c r="AD6552" s="37">
        <v>3.3988218870424478</v>
      </c>
    </row>
    <row r="6553" spans="27:30" x14ac:dyDescent="0.3">
      <c r="AA6553" s="37">
        <v>6533</v>
      </c>
      <c r="AB6553" s="37">
        <v>1.7606403807311088</v>
      </c>
      <c r="AC6553" s="37">
        <v>2.726817427544908</v>
      </c>
      <c r="AD6553" s="37">
        <v>3.3908738461067092</v>
      </c>
    </row>
    <row r="6554" spans="27:30" x14ac:dyDescent="0.3">
      <c r="AA6554" s="37">
        <v>6534</v>
      </c>
      <c r="AB6554" s="37">
        <v>1.7537813862871061</v>
      </c>
      <c r="AC6554" s="37">
        <v>2.957602051194435</v>
      </c>
      <c r="AD6554" s="37">
        <v>3.4844267058146778</v>
      </c>
    </row>
    <row r="6555" spans="27:30" x14ac:dyDescent="0.3">
      <c r="AA6555" s="37">
        <v>6535</v>
      </c>
      <c r="AB6555" s="37">
        <v>1.6537877200786844</v>
      </c>
      <c r="AC6555" s="37">
        <v>2.9384007167649537</v>
      </c>
      <c r="AD6555" s="37">
        <v>3.382919787048527</v>
      </c>
    </row>
    <row r="6556" spans="27:30" x14ac:dyDescent="0.3">
      <c r="AA6556" s="37">
        <v>6536</v>
      </c>
      <c r="AB6556" s="37">
        <v>1.8080452749639335</v>
      </c>
      <c r="AC6556" s="37">
        <v>2.8749487562620417</v>
      </c>
      <c r="AD6556" s="37">
        <v>3.2988825396857138</v>
      </c>
    </row>
    <row r="6557" spans="27:30" x14ac:dyDescent="0.3">
      <c r="AA6557" s="37">
        <v>6537</v>
      </c>
      <c r="AB6557" s="37">
        <v>1.7621291211566206</v>
      </c>
      <c r="AC6557" s="37">
        <v>2.8191067781392087</v>
      </c>
      <c r="AD6557" s="37">
        <v>3.2864095594028178</v>
      </c>
    </row>
    <row r="6558" spans="27:30" x14ac:dyDescent="0.3">
      <c r="AA6558" s="37">
        <v>6538</v>
      </c>
      <c r="AB6558" s="37">
        <v>1.8336569113892527</v>
      </c>
      <c r="AC6558" s="37">
        <v>2.8187572219138906</v>
      </c>
      <c r="AD6558" s="37">
        <v>3.1606320771679499</v>
      </c>
    </row>
    <row r="6559" spans="27:30" x14ac:dyDescent="0.3">
      <c r="AA6559" s="37">
        <v>6539</v>
      </c>
      <c r="AB6559" s="37">
        <v>1.7893825823084923</v>
      </c>
      <c r="AC6559" s="37">
        <v>2.9417785896152857</v>
      </c>
      <c r="AD6559" s="37">
        <v>3.2660313556569562</v>
      </c>
    </row>
    <row r="6560" spans="27:30" x14ac:dyDescent="0.3">
      <c r="AA6560" s="37">
        <v>6540</v>
      </c>
      <c r="AB6560" s="37">
        <v>1.8888322536543209</v>
      </c>
      <c r="AC6560" s="37">
        <v>2.8786911104910189</v>
      </c>
      <c r="AD6560" s="37">
        <v>3.5708512760791904</v>
      </c>
    </row>
    <row r="6561" spans="27:30" x14ac:dyDescent="0.3">
      <c r="AA6561" s="37">
        <v>6541</v>
      </c>
      <c r="AB6561" s="37">
        <v>1.7680293127071955</v>
      </c>
      <c r="AC6561" s="37">
        <v>2.9452415989890062</v>
      </c>
      <c r="AD6561" s="37">
        <v>3.3179965753048117</v>
      </c>
    </row>
    <row r="6562" spans="27:30" x14ac:dyDescent="0.3">
      <c r="AA6562" s="37">
        <v>6542</v>
      </c>
      <c r="AB6562" s="37">
        <v>1.7741359288746659</v>
      </c>
      <c r="AC6562" s="37">
        <v>2.8721006855904889</v>
      </c>
      <c r="AD6562" s="37">
        <v>3.1032557755879737</v>
      </c>
    </row>
    <row r="6563" spans="27:30" x14ac:dyDescent="0.3">
      <c r="AA6563" s="37">
        <v>6543</v>
      </c>
      <c r="AB6563" s="37">
        <v>1.76553671600522</v>
      </c>
      <c r="AC6563" s="37">
        <v>2.7829690844849151</v>
      </c>
      <c r="AD6563" s="37">
        <v>3.4108641594842517</v>
      </c>
    </row>
    <row r="6564" spans="27:30" x14ac:dyDescent="0.3">
      <c r="AA6564" s="37">
        <v>6544</v>
      </c>
      <c r="AB6564" s="37">
        <v>1.7495210091231226</v>
      </c>
      <c r="AC6564" s="37">
        <v>2.9798514523923512</v>
      </c>
      <c r="AD6564" s="37">
        <v>3.2484125398561257</v>
      </c>
    </row>
    <row r="6565" spans="27:30" x14ac:dyDescent="0.3">
      <c r="AA6565" s="37">
        <v>6545</v>
      </c>
      <c r="AB6565" s="37">
        <v>1.8042059111476074</v>
      </c>
      <c r="AC6565" s="37">
        <v>2.995719060699785</v>
      </c>
      <c r="AD6565" s="37">
        <v>3.253300564897379</v>
      </c>
    </row>
    <row r="6566" spans="27:30" x14ac:dyDescent="0.3">
      <c r="AA6566" s="37">
        <v>6546</v>
      </c>
      <c r="AB6566" s="37">
        <v>1.806819660737778</v>
      </c>
      <c r="AC6566" s="37">
        <v>3.1350262461301694</v>
      </c>
      <c r="AD6566" s="37">
        <v>3.2266762447479707</v>
      </c>
    </row>
    <row r="6567" spans="27:30" x14ac:dyDescent="0.3">
      <c r="AA6567" s="37">
        <v>6547</v>
      </c>
      <c r="AB6567" s="37">
        <v>1.8438354881874663</v>
      </c>
      <c r="AC6567" s="37">
        <v>2.9190808992109725</v>
      </c>
      <c r="AD6567" s="37">
        <v>3.4525321723078393</v>
      </c>
    </row>
    <row r="6568" spans="27:30" x14ac:dyDescent="0.3">
      <c r="AA6568" s="37">
        <v>6548</v>
      </c>
      <c r="AB6568" s="37">
        <v>1.756534201176436</v>
      </c>
      <c r="AC6568" s="37">
        <v>2.909275536182049</v>
      </c>
      <c r="AD6568" s="37">
        <v>3.1646411032167974</v>
      </c>
    </row>
    <row r="6569" spans="27:30" x14ac:dyDescent="0.3">
      <c r="AA6569" s="37">
        <v>6549</v>
      </c>
      <c r="AB6569" s="37">
        <v>1.7334532045210074</v>
      </c>
      <c r="AC6569" s="37">
        <v>2.8007989776831597</v>
      </c>
      <c r="AD6569" s="37">
        <v>3.4536339973716816</v>
      </c>
    </row>
    <row r="6570" spans="27:30" x14ac:dyDescent="0.3">
      <c r="AA6570" s="37">
        <v>6550</v>
      </c>
      <c r="AB6570" s="37">
        <v>1.8161594422072915</v>
      </c>
      <c r="AC6570" s="37">
        <v>2.7785366459167662</v>
      </c>
      <c r="AD6570" s="37">
        <v>3.3513925559179349</v>
      </c>
    </row>
    <row r="6571" spans="27:30" x14ac:dyDescent="0.3">
      <c r="AA6571" s="37">
        <v>6551</v>
      </c>
      <c r="AB6571" s="37">
        <v>1.8278742699457002</v>
      </c>
      <c r="AC6571" s="37">
        <v>2.9153453349782108</v>
      </c>
      <c r="AD6571" s="37">
        <v>3.2364174360468425</v>
      </c>
    </row>
    <row r="6572" spans="27:30" x14ac:dyDescent="0.3">
      <c r="AA6572" s="37">
        <v>6552</v>
      </c>
      <c r="AB6572" s="37">
        <v>1.7990888624424761</v>
      </c>
      <c r="AC6572" s="37">
        <v>2.937607626810113</v>
      </c>
      <c r="AD6572" s="37">
        <v>3.396860528643197</v>
      </c>
    </row>
    <row r="6573" spans="27:30" x14ac:dyDescent="0.3">
      <c r="AA6573" s="37">
        <v>6553</v>
      </c>
      <c r="AB6573" s="37">
        <v>1.8609399675259009</v>
      </c>
      <c r="AC6573" s="37">
        <v>2.8185037350294975</v>
      </c>
      <c r="AD6573" s="37">
        <v>3.4725448102687024</v>
      </c>
    </row>
    <row r="6574" spans="27:30" x14ac:dyDescent="0.3">
      <c r="AA6574" s="37">
        <v>6554</v>
      </c>
      <c r="AB6574" s="37">
        <v>1.828534961269521</v>
      </c>
      <c r="AC6574" s="37">
        <v>3.01320916162988</v>
      </c>
      <c r="AD6574" s="37">
        <v>3.3046489523729878</v>
      </c>
    </row>
    <row r="6575" spans="27:30" x14ac:dyDescent="0.3">
      <c r="AA6575" s="37">
        <v>6555</v>
      </c>
      <c r="AB6575" s="37">
        <v>1.7771878803283054</v>
      </c>
      <c r="AC6575" s="37">
        <v>2.7638805455006601</v>
      </c>
      <c r="AD6575" s="37">
        <v>3.2332054882715187</v>
      </c>
    </row>
    <row r="6576" spans="27:30" x14ac:dyDescent="0.3">
      <c r="AA6576" s="37">
        <v>6556</v>
      </c>
      <c r="AB6576" s="37">
        <v>1.8752263413208192</v>
      </c>
      <c r="AC6576" s="37">
        <v>2.9329097313645338</v>
      </c>
      <c r="AD6576" s="37">
        <v>3.3576386931610758</v>
      </c>
    </row>
    <row r="6577" spans="27:30" x14ac:dyDescent="0.3">
      <c r="AA6577" s="37">
        <v>6557</v>
      </c>
      <c r="AB6577" s="37">
        <v>1.6771179787456827</v>
      </c>
      <c r="AC6577" s="37">
        <v>2.8061745990887603</v>
      </c>
      <c r="AD6577" s="37">
        <v>3.1354118354772624</v>
      </c>
    </row>
    <row r="6578" spans="27:30" x14ac:dyDescent="0.3">
      <c r="AA6578" s="37">
        <v>6558</v>
      </c>
      <c r="AB6578" s="37">
        <v>1.6633335892550865</v>
      </c>
      <c r="AC6578" s="37">
        <v>2.8219793068934926</v>
      </c>
      <c r="AD6578" s="37">
        <v>3.2134697076674348</v>
      </c>
    </row>
    <row r="6579" spans="27:30" x14ac:dyDescent="0.3">
      <c r="AA6579" s="37">
        <v>6559</v>
      </c>
      <c r="AB6579" s="37">
        <v>1.6759881040040991</v>
      </c>
      <c r="AC6579" s="37">
        <v>2.7859342530070856</v>
      </c>
      <c r="AD6579" s="37">
        <v>3.2199697515934131</v>
      </c>
    </row>
    <row r="6580" spans="27:30" x14ac:dyDescent="0.3">
      <c r="AA6580" s="37">
        <v>6560</v>
      </c>
      <c r="AB6580" s="37">
        <v>1.7083284831954084</v>
      </c>
      <c r="AC6580" s="37">
        <v>2.8889775371957294</v>
      </c>
      <c r="AD6580" s="37">
        <v>3.4798333864816526</v>
      </c>
    </row>
    <row r="6581" spans="27:30" x14ac:dyDescent="0.3">
      <c r="AA6581" s="37">
        <v>6561</v>
      </c>
      <c r="AB6581" s="37">
        <v>1.7299171189994296</v>
      </c>
      <c r="AC6581" s="37">
        <v>2.7961576596895328</v>
      </c>
      <c r="AD6581" s="37">
        <v>3.2216281961748261</v>
      </c>
    </row>
    <row r="6582" spans="27:30" x14ac:dyDescent="0.3">
      <c r="AA6582" s="37">
        <v>6562</v>
      </c>
      <c r="AB6582" s="37">
        <v>1.9058919879469811</v>
      </c>
      <c r="AC6582" s="37">
        <v>2.8027382970218122</v>
      </c>
      <c r="AD6582" s="37">
        <v>3.2329770824016406</v>
      </c>
    </row>
    <row r="6583" spans="27:30" x14ac:dyDescent="0.3">
      <c r="AA6583" s="37">
        <v>6563</v>
      </c>
      <c r="AB6583" s="37">
        <v>1.8633412281680575</v>
      </c>
      <c r="AC6583" s="37">
        <v>2.8858947682829057</v>
      </c>
      <c r="AD6583" s="37">
        <v>3.3459820226751735</v>
      </c>
    </row>
    <row r="6584" spans="27:30" x14ac:dyDescent="0.3">
      <c r="AA6584" s="37">
        <v>6564</v>
      </c>
      <c r="AB6584" s="37">
        <v>1.7528845171688874</v>
      </c>
      <c r="AC6584" s="37">
        <v>2.9503443988673443</v>
      </c>
      <c r="AD6584" s="37">
        <v>3.3059070596998144</v>
      </c>
    </row>
    <row r="6585" spans="27:30" x14ac:dyDescent="0.3">
      <c r="AA6585" s="37">
        <v>6565</v>
      </c>
      <c r="AB6585" s="37">
        <v>1.8309117824140515</v>
      </c>
      <c r="AC6585" s="37">
        <v>2.7210326252502299</v>
      </c>
      <c r="AD6585" s="37">
        <v>3.4581055966771328</v>
      </c>
    </row>
    <row r="6586" spans="27:30" x14ac:dyDescent="0.3">
      <c r="AA6586" s="37">
        <v>6566</v>
      </c>
      <c r="AB6586" s="37">
        <v>1.8007844631985246</v>
      </c>
      <c r="AC6586" s="37">
        <v>2.8530334405411004</v>
      </c>
      <c r="AD6586" s="37">
        <v>3.3438058112340632</v>
      </c>
    </row>
    <row r="6587" spans="27:30" x14ac:dyDescent="0.3">
      <c r="AA6587" s="37">
        <v>6567</v>
      </c>
      <c r="AB6587" s="37">
        <v>1.7892654890198243</v>
      </c>
      <c r="AC6587" s="37">
        <v>2.9326852800476861</v>
      </c>
      <c r="AD6587" s="37">
        <v>3.5322710956297918</v>
      </c>
    </row>
    <row r="6588" spans="27:30" x14ac:dyDescent="0.3">
      <c r="AA6588" s="37">
        <v>6568</v>
      </c>
      <c r="AB6588" s="37">
        <v>1.7418910026405188</v>
      </c>
      <c r="AC6588" s="37">
        <v>2.7453191582202803</v>
      </c>
      <c r="AD6588" s="37">
        <v>3.3067577006040567</v>
      </c>
    </row>
    <row r="6589" spans="27:30" x14ac:dyDescent="0.3">
      <c r="AA6589" s="37">
        <v>6569</v>
      </c>
      <c r="AB6589" s="37">
        <v>1.8225671672312274</v>
      </c>
      <c r="AC6589" s="37">
        <v>2.804563353875491</v>
      </c>
      <c r="AD6589" s="37">
        <v>3.2976547364402076</v>
      </c>
    </row>
    <row r="6590" spans="27:30" x14ac:dyDescent="0.3">
      <c r="AA6590" s="37">
        <v>6570</v>
      </c>
      <c r="AB6590" s="37">
        <v>1.8044959830784104</v>
      </c>
      <c r="AC6590" s="37">
        <v>2.7228927018924041</v>
      </c>
      <c r="AD6590" s="37">
        <v>3.2701705309727811</v>
      </c>
    </row>
    <row r="6591" spans="27:30" x14ac:dyDescent="0.3">
      <c r="AA6591" s="37">
        <v>6571</v>
      </c>
      <c r="AB6591" s="37">
        <v>1.7539297592589891</v>
      </c>
      <c r="AC6591" s="37">
        <v>2.9561585724684947</v>
      </c>
      <c r="AD6591" s="37">
        <v>3.2316102856407425</v>
      </c>
    </row>
    <row r="6592" spans="27:30" x14ac:dyDescent="0.3">
      <c r="AA6592" s="37">
        <v>6572</v>
      </c>
      <c r="AB6592" s="37">
        <v>1.8116137804274619</v>
      </c>
      <c r="AC6592" s="37">
        <v>2.9542037448156262</v>
      </c>
      <c r="AD6592" s="37">
        <v>3.5081336391194413</v>
      </c>
    </row>
    <row r="6593" spans="27:30" x14ac:dyDescent="0.3">
      <c r="AA6593" s="37">
        <v>6573</v>
      </c>
      <c r="AB6593" s="37">
        <v>1.7931155462472341</v>
      </c>
      <c r="AC6593" s="37">
        <v>3.0129523451649716</v>
      </c>
      <c r="AD6593" s="37">
        <v>3.2006234671888394</v>
      </c>
    </row>
    <row r="6594" spans="27:30" x14ac:dyDescent="0.3">
      <c r="AA6594" s="37">
        <v>6574</v>
      </c>
      <c r="AB6594" s="37">
        <v>1.8067631503869654</v>
      </c>
      <c r="AC6594" s="37">
        <v>2.8675332563289184</v>
      </c>
      <c r="AD6594" s="37">
        <v>3.3774457509828411</v>
      </c>
    </row>
    <row r="6595" spans="27:30" x14ac:dyDescent="0.3">
      <c r="AA6595" s="37">
        <v>6575</v>
      </c>
      <c r="AB6595" s="37">
        <v>1.8378949564661566</v>
      </c>
      <c r="AC6595" s="37">
        <v>2.8221858673631255</v>
      </c>
      <c r="AD6595" s="37">
        <v>3.3162138992720074</v>
      </c>
    </row>
    <row r="6596" spans="27:30" x14ac:dyDescent="0.3">
      <c r="AA6596" s="37">
        <v>6576</v>
      </c>
      <c r="AB6596" s="37">
        <v>1.7501202836783318</v>
      </c>
      <c r="AC6596" s="37">
        <v>2.9714596940291509</v>
      </c>
      <c r="AD6596" s="37">
        <v>3.4031923832875828</v>
      </c>
    </row>
    <row r="6597" spans="27:30" x14ac:dyDescent="0.3">
      <c r="AA6597" s="37">
        <v>6577</v>
      </c>
      <c r="AB6597" s="37">
        <v>1.7256383126139963</v>
      </c>
      <c r="AC6597" s="37">
        <v>2.828602015083892</v>
      </c>
      <c r="AD6597" s="37">
        <v>3.4149901509629781</v>
      </c>
    </row>
    <row r="6598" spans="27:30" x14ac:dyDescent="0.3">
      <c r="AA6598" s="37">
        <v>6578</v>
      </c>
      <c r="AB6598" s="37">
        <v>1.8260857122020511</v>
      </c>
      <c r="AC6598" s="37">
        <v>2.5775293665102179</v>
      </c>
      <c r="AD6598" s="37">
        <v>3.1656989695022801</v>
      </c>
    </row>
    <row r="6599" spans="27:30" x14ac:dyDescent="0.3">
      <c r="AA6599" s="37">
        <v>6579</v>
      </c>
      <c r="AB6599" s="37">
        <v>1.7080254444306333</v>
      </c>
      <c r="AC6599" s="37">
        <v>2.8747208202584869</v>
      </c>
      <c r="AD6599" s="37">
        <v>3.6993765159631025</v>
      </c>
    </row>
    <row r="6600" spans="27:30" x14ac:dyDescent="0.3">
      <c r="AA6600" s="37">
        <v>6580</v>
      </c>
      <c r="AB6600" s="37">
        <v>1.7339442340827538</v>
      </c>
      <c r="AC6600" s="37">
        <v>2.7049811361397014</v>
      </c>
      <c r="AD6600" s="37">
        <v>3.3236984351044296</v>
      </c>
    </row>
    <row r="6601" spans="27:30" x14ac:dyDescent="0.3">
      <c r="AA6601" s="37">
        <v>6581</v>
      </c>
      <c r="AB6601" s="37">
        <v>1.7881582662203477</v>
      </c>
      <c r="AC6601" s="37">
        <v>2.8033192766332529</v>
      </c>
      <c r="AD6601" s="37">
        <v>3.4319910464317922</v>
      </c>
    </row>
    <row r="6602" spans="27:30" x14ac:dyDescent="0.3">
      <c r="AA6602" s="37">
        <v>6582</v>
      </c>
      <c r="AB6602" s="37">
        <v>1.799183104271713</v>
      </c>
      <c r="AC6602" s="37">
        <v>2.8306313356260584</v>
      </c>
      <c r="AD6602" s="37">
        <v>3.2673991919718937</v>
      </c>
    </row>
    <row r="6603" spans="27:30" x14ac:dyDescent="0.3">
      <c r="AA6603" s="37">
        <v>6583</v>
      </c>
      <c r="AB6603" s="37">
        <v>1.8173397151335129</v>
      </c>
      <c r="AC6603" s="37">
        <v>2.8351351284111037</v>
      </c>
      <c r="AD6603" s="37">
        <v>3.2847314094083706</v>
      </c>
    </row>
    <row r="6604" spans="27:30" x14ac:dyDescent="0.3">
      <c r="AA6604" s="37">
        <v>6584</v>
      </c>
      <c r="AB6604" s="37">
        <v>1.6474923230943224</v>
      </c>
      <c r="AC6604" s="37">
        <v>3.0046632905097614</v>
      </c>
      <c r="AD6604" s="37">
        <v>3.1318492165092331</v>
      </c>
    </row>
    <row r="6605" spans="27:30" x14ac:dyDescent="0.3">
      <c r="AA6605" s="37">
        <v>6585</v>
      </c>
      <c r="AB6605" s="37">
        <v>1.7634330379186089</v>
      </c>
      <c r="AC6605" s="37">
        <v>2.9783953475223233</v>
      </c>
      <c r="AD6605" s="37">
        <v>3.276044254820428</v>
      </c>
    </row>
    <row r="6606" spans="27:30" x14ac:dyDescent="0.3">
      <c r="AA6606" s="37">
        <v>6586</v>
      </c>
      <c r="AB6606" s="37">
        <v>1.6498446354166501</v>
      </c>
      <c r="AC6606" s="37">
        <v>2.8407238574276139</v>
      </c>
      <c r="AD6606" s="37">
        <v>3.5207354614547675</v>
      </c>
    </row>
    <row r="6607" spans="27:30" x14ac:dyDescent="0.3">
      <c r="AA6607" s="37">
        <v>6587</v>
      </c>
      <c r="AB6607" s="37">
        <v>1.9121862591374701</v>
      </c>
      <c r="AC6607" s="37">
        <v>2.9450380390881388</v>
      </c>
      <c r="AD6607" s="37">
        <v>3.330675331525967</v>
      </c>
    </row>
    <row r="6608" spans="27:30" x14ac:dyDescent="0.3">
      <c r="AA6608" s="37">
        <v>6588</v>
      </c>
      <c r="AB6608" s="37">
        <v>1.9120761545977121</v>
      </c>
      <c r="AC6608" s="37">
        <v>2.9485629309006907</v>
      </c>
      <c r="AD6608" s="37">
        <v>3.3139317664871961</v>
      </c>
    </row>
    <row r="6609" spans="27:30" x14ac:dyDescent="0.3">
      <c r="AA6609" s="37">
        <v>6589</v>
      </c>
      <c r="AB6609" s="37">
        <v>1.726551792427637</v>
      </c>
      <c r="AC6609" s="37">
        <v>2.8109666638155915</v>
      </c>
      <c r="AD6609" s="37">
        <v>3.399299577425551</v>
      </c>
    </row>
    <row r="6610" spans="27:30" x14ac:dyDescent="0.3">
      <c r="AA6610" s="37">
        <v>6590</v>
      </c>
      <c r="AB6610" s="37">
        <v>1.8195807978833982</v>
      </c>
      <c r="AC6610" s="37">
        <v>2.818322344925035</v>
      </c>
      <c r="AD6610" s="37">
        <v>3.386574376731708</v>
      </c>
    </row>
    <row r="6611" spans="27:30" x14ac:dyDescent="0.3">
      <c r="AA6611" s="37">
        <v>6591</v>
      </c>
      <c r="AB6611" s="37">
        <v>1.8159022101562505</v>
      </c>
      <c r="AC6611" s="37">
        <v>2.9016280571164814</v>
      </c>
      <c r="AD6611" s="37">
        <v>3.3731178071663614</v>
      </c>
    </row>
    <row r="6612" spans="27:30" x14ac:dyDescent="0.3">
      <c r="AA6612" s="37">
        <v>6592</v>
      </c>
      <c r="AB6612" s="37">
        <v>1.7158377275010819</v>
      </c>
      <c r="AC6612" s="37">
        <v>2.8597466969845509</v>
      </c>
      <c r="AD6612" s="37">
        <v>3.5286106626109217</v>
      </c>
    </row>
    <row r="6613" spans="27:30" x14ac:dyDescent="0.3">
      <c r="AA6613" s="37">
        <v>6593</v>
      </c>
      <c r="AB6613" s="37">
        <v>1.77611954742108</v>
      </c>
      <c r="AC6613" s="37">
        <v>3.0328868588308193</v>
      </c>
      <c r="AD6613" s="37">
        <v>3.1281800366109631</v>
      </c>
    </row>
    <row r="6614" spans="27:30" x14ac:dyDescent="0.3">
      <c r="AA6614" s="37">
        <v>6594</v>
      </c>
      <c r="AB6614" s="37">
        <v>1.8499002896502945</v>
      </c>
      <c r="AC6614" s="37">
        <v>2.9945788241680544</v>
      </c>
      <c r="AD6614" s="37">
        <v>3.4220389060559135</v>
      </c>
    </row>
    <row r="6615" spans="27:30" x14ac:dyDescent="0.3">
      <c r="AA6615" s="37">
        <v>6595</v>
      </c>
      <c r="AB6615" s="37">
        <v>1.8376506790588392</v>
      </c>
      <c r="AC6615" s="37">
        <v>2.7505465993721572</v>
      </c>
      <c r="AD6615" s="37">
        <v>3.3133533340953885</v>
      </c>
    </row>
    <row r="6616" spans="27:30" x14ac:dyDescent="0.3">
      <c r="AA6616" s="37">
        <v>6596</v>
      </c>
      <c r="AB6616" s="37">
        <v>1.7473691185426914</v>
      </c>
      <c r="AC6616" s="37">
        <v>2.8037412248169455</v>
      </c>
      <c r="AD6616" s="37">
        <v>3.3022641520818077</v>
      </c>
    </row>
    <row r="6617" spans="27:30" x14ac:dyDescent="0.3">
      <c r="AA6617" s="37">
        <v>6597</v>
      </c>
      <c r="AB6617" s="37">
        <v>1.8125900401483939</v>
      </c>
      <c r="AC6617" s="37">
        <v>3.0114364868031753</v>
      </c>
      <c r="AD6617" s="37">
        <v>3.4349826971071749</v>
      </c>
    </row>
    <row r="6618" spans="27:30" x14ac:dyDescent="0.3">
      <c r="AA6618" s="37">
        <v>6598</v>
      </c>
      <c r="AB6618" s="37">
        <v>1.7351268801074389</v>
      </c>
      <c r="AC6618" s="37">
        <v>2.7254784394574538</v>
      </c>
      <c r="AD6618" s="37">
        <v>3.5578018687405986</v>
      </c>
    </row>
    <row r="6619" spans="27:30" x14ac:dyDescent="0.3">
      <c r="AA6619" s="37">
        <v>6599</v>
      </c>
      <c r="AB6619" s="37">
        <v>1.7487640292519844</v>
      </c>
      <c r="AC6619" s="37">
        <v>2.7065920687330363</v>
      </c>
      <c r="AD6619" s="37">
        <v>3.3155813074241687</v>
      </c>
    </row>
    <row r="6620" spans="27:30" x14ac:dyDescent="0.3">
      <c r="AA6620" s="37">
        <v>6600</v>
      </c>
      <c r="AB6620" s="37">
        <v>1.7451033558249049</v>
      </c>
      <c r="AC6620" s="37">
        <v>2.8660329690579007</v>
      </c>
      <c r="AD6620" s="37">
        <v>3.4307734378200334</v>
      </c>
    </row>
    <row r="6621" spans="27:30" x14ac:dyDescent="0.3">
      <c r="AA6621" s="37">
        <v>6601</v>
      </c>
      <c r="AB6621" s="37">
        <v>1.7268349058279659</v>
      </c>
      <c r="AC6621" s="37">
        <v>2.7958952310379548</v>
      </c>
      <c r="AD6621" s="37">
        <v>3.1418798704542521</v>
      </c>
    </row>
    <row r="6622" spans="27:30" x14ac:dyDescent="0.3">
      <c r="AA6622" s="37">
        <v>6602</v>
      </c>
      <c r="AB6622" s="37">
        <v>1.8668759179208589</v>
      </c>
      <c r="AC6622" s="37">
        <v>2.8053540675767032</v>
      </c>
      <c r="AD6622" s="37">
        <v>3.0647651065003783</v>
      </c>
    </row>
    <row r="6623" spans="27:30" x14ac:dyDescent="0.3">
      <c r="AA6623" s="37">
        <v>6603</v>
      </c>
      <c r="AB6623" s="37">
        <v>1.7886643351903813</v>
      </c>
      <c r="AC6623" s="37">
        <v>2.8637414333817781</v>
      </c>
      <c r="AD6623" s="37">
        <v>3.5228181068743809</v>
      </c>
    </row>
    <row r="6624" spans="27:30" x14ac:dyDescent="0.3">
      <c r="AA6624" s="37">
        <v>6604</v>
      </c>
      <c r="AB6624" s="37">
        <v>1.7595887777630124</v>
      </c>
      <c r="AC6624" s="37">
        <v>2.8492334506617936</v>
      </c>
      <c r="AD6624" s="37">
        <v>3.2419357421780157</v>
      </c>
    </row>
    <row r="6625" spans="27:30" x14ac:dyDescent="0.3">
      <c r="AA6625" s="37">
        <v>6605</v>
      </c>
      <c r="AB6625" s="37">
        <v>1.763540310418849</v>
      </c>
      <c r="AC6625" s="37">
        <v>2.7275275616496044</v>
      </c>
      <c r="AD6625" s="37">
        <v>3.4806767818087749</v>
      </c>
    </row>
    <row r="6626" spans="27:30" x14ac:dyDescent="0.3">
      <c r="AA6626" s="37">
        <v>6606</v>
      </c>
      <c r="AB6626" s="37">
        <v>1.7362359438256794</v>
      </c>
      <c r="AC6626" s="37">
        <v>2.5988593466346686</v>
      </c>
      <c r="AD6626" s="37">
        <v>3.3823301283040168</v>
      </c>
    </row>
    <row r="6627" spans="27:30" x14ac:dyDescent="0.3">
      <c r="AA6627" s="37">
        <v>6607</v>
      </c>
      <c r="AB6627" s="37">
        <v>1.720087016113794</v>
      </c>
      <c r="AC6627" s="37">
        <v>2.9546106423481535</v>
      </c>
      <c r="AD6627" s="37">
        <v>3.3698525201637985</v>
      </c>
    </row>
    <row r="6628" spans="27:30" x14ac:dyDescent="0.3">
      <c r="AA6628" s="37">
        <v>6608</v>
      </c>
      <c r="AB6628" s="37">
        <v>1.9213896305004958</v>
      </c>
      <c r="AC6628" s="37">
        <v>2.8558061154159047</v>
      </c>
      <c r="AD6628" s="37">
        <v>3.3789091567649225</v>
      </c>
    </row>
    <row r="6629" spans="27:30" x14ac:dyDescent="0.3">
      <c r="AA6629" s="37">
        <v>6609</v>
      </c>
      <c r="AB6629" s="37">
        <v>1.7537857614880699</v>
      </c>
      <c r="AC6629" s="37">
        <v>3.1228222040927083</v>
      </c>
      <c r="AD6629" s="37">
        <v>3.4090559084063212</v>
      </c>
    </row>
    <row r="6630" spans="27:30" x14ac:dyDescent="0.3">
      <c r="AA6630" s="37">
        <v>6610</v>
      </c>
      <c r="AB6630" s="37">
        <v>1.7336486838156504</v>
      </c>
      <c r="AC6630" s="37">
        <v>2.8755663184487146</v>
      </c>
      <c r="AD6630" s="37">
        <v>3.4712417447405404</v>
      </c>
    </row>
    <row r="6631" spans="27:30" x14ac:dyDescent="0.3">
      <c r="AA6631" s="37">
        <v>6611</v>
      </c>
      <c r="AB6631" s="37">
        <v>1.8797936781435238</v>
      </c>
      <c r="AC6631" s="37">
        <v>2.6257344383296313</v>
      </c>
      <c r="AD6631" s="37">
        <v>3.4862858814288362</v>
      </c>
    </row>
    <row r="6632" spans="27:30" x14ac:dyDescent="0.3">
      <c r="AA6632" s="37">
        <v>6612</v>
      </c>
      <c r="AB6632" s="37">
        <v>1.7221054964919253</v>
      </c>
      <c r="AC6632" s="37">
        <v>2.7344971171633348</v>
      </c>
      <c r="AD6632" s="37">
        <v>3.2774899706026095</v>
      </c>
    </row>
    <row r="6633" spans="27:30" x14ac:dyDescent="0.3">
      <c r="AA6633" s="37">
        <v>6613</v>
      </c>
      <c r="AB6633" s="37">
        <v>1.7363003132045292</v>
      </c>
      <c r="AC6633" s="37">
        <v>2.8481051623252096</v>
      </c>
      <c r="AD6633" s="37">
        <v>3.4728148458305621</v>
      </c>
    </row>
    <row r="6634" spans="27:30" x14ac:dyDescent="0.3">
      <c r="AA6634" s="37">
        <v>6614</v>
      </c>
      <c r="AB6634" s="37">
        <v>1.7680823013774767</v>
      </c>
      <c r="AC6634" s="37">
        <v>2.7672627824234737</v>
      </c>
      <c r="AD6634" s="37">
        <v>3.2736990416038694</v>
      </c>
    </row>
    <row r="6635" spans="27:30" x14ac:dyDescent="0.3">
      <c r="AA6635" s="37">
        <v>6615</v>
      </c>
      <c r="AB6635" s="37">
        <v>1.7566968993393537</v>
      </c>
      <c r="AC6635" s="37">
        <v>2.772638783701713</v>
      </c>
      <c r="AD6635" s="37">
        <v>3.4057105533089151</v>
      </c>
    </row>
    <row r="6636" spans="27:30" x14ac:dyDescent="0.3">
      <c r="AA6636" s="37">
        <v>6616</v>
      </c>
      <c r="AB6636" s="37">
        <v>1.8864038063056832</v>
      </c>
      <c r="AC6636" s="37">
        <v>2.9307461205310501</v>
      </c>
      <c r="AD6636" s="37">
        <v>3.4918790528087045</v>
      </c>
    </row>
    <row r="6637" spans="27:30" x14ac:dyDescent="0.3">
      <c r="AA6637" s="37">
        <v>6617</v>
      </c>
      <c r="AB6637" s="37">
        <v>1.7681521689598041</v>
      </c>
      <c r="AC6637" s="37">
        <v>2.8890563919210321</v>
      </c>
      <c r="AD6637" s="37">
        <v>3.3867337719432542</v>
      </c>
    </row>
    <row r="6638" spans="27:30" x14ac:dyDescent="0.3">
      <c r="AA6638" s="37">
        <v>6618</v>
      </c>
      <c r="AB6638" s="37">
        <v>1.771146159478058</v>
      </c>
      <c r="AC6638" s="37">
        <v>2.9991911158761919</v>
      </c>
      <c r="AD6638" s="37">
        <v>3.1043995192206406</v>
      </c>
    </row>
    <row r="6639" spans="27:30" x14ac:dyDescent="0.3">
      <c r="AA6639" s="37">
        <v>6619</v>
      </c>
      <c r="AB6639" s="37">
        <v>1.808858788850251</v>
      </c>
      <c r="AC6639" s="37">
        <v>3.0081899191492298</v>
      </c>
      <c r="AD6639" s="37">
        <v>3.4187783676660906</v>
      </c>
    </row>
    <row r="6640" spans="27:30" x14ac:dyDescent="0.3">
      <c r="AA6640" s="37">
        <v>6620</v>
      </c>
      <c r="AB6640" s="37">
        <v>1.7954068013697655</v>
      </c>
      <c r="AC6640" s="37">
        <v>2.7257383200284884</v>
      </c>
      <c r="AD6640" s="37">
        <v>3.1958544470352419</v>
      </c>
    </row>
    <row r="6641" spans="27:30" x14ac:dyDescent="0.3">
      <c r="AA6641" s="37">
        <v>6621</v>
      </c>
      <c r="AB6641" s="37">
        <v>1.8237613068037071</v>
      </c>
      <c r="AC6641" s="37">
        <v>2.8886948430431185</v>
      </c>
      <c r="AD6641" s="37">
        <v>3.2144801543487236</v>
      </c>
    </row>
    <row r="6642" spans="27:30" x14ac:dyDescent="0.3">
      <c r="AA6642" s="37">
        <v>6622</v>
      </c>
      <c r="AB6642" s="37">
        <v>1.8445048496577363</v>
      </c>
      <c r="AC6642" s="37">
        <v>2.8864451354696987</v>
      </c>
      <c r="AD6642" s="37">
        <v>3.5380357146855794</v>
      </c>
    </row>
    <row r="6643" spans="27:30" x14ac:dyDescent="0.3">
      <c r="AA6643" s="37">
        <v>6623</v>
      </c>
      <c r="AB6643" s="37">
        <v>1.8721193985971842</v>
      </c>
      <c r="AC6643" s="37">
        <v>2.7799773987876457</v>
      </c>
      <c r="AD6643" s="37">
        <v>3.4247894674922823</v>
      </c>
    </row>
    <row r="6644" spans="27:30" x14ac:dyDescent="0.3">
      <c r="AA6644" s="37">
        <v>6624</v>
      </c>
      <c r="AB6644" s="37">
        <v>1.8064456219860219</v>
      </c>
      <c r="AC6644" s="37">
        <v>2.7946833712699002</v>
      </c>
      <c r="AD6644" s="37">
        <v>3.0966587474823046</v>
      </c>
    </row>
    <row r="6645" spans="27:30" x14ac:dyDescent="0.3">
      <c r="AA6645" s="37">
        <v>6625</v>
      </c>
      <c r="AB6645" s="37">
        <v>1.7638348422420314</v>
      </c>
      <c r="AC6645" s="37">
        <v>2.8226079813405374</v>
      </c>
      <c r="AD6645" s="37">
        <v>3.3631446871260438</v>
      </c>
    </row>
    <row r="6646" spans="27:30" x14ac:dyDescent="0.3">
      <c r="AA6646" s="37">
        <v>6626</v>
      </c>
      <c r="AB6646" s="37">
        <v>1.8817080972747497</v>
      </c>
      <c r="AC6646" s="37">
        <v>3.0022203471299602</v>
      </c>
      <c r="AD6646" s="37">
        <v>3.3002612593215845</v>
      </c>
    </row>
    <row r="6647" spans="27:30" x14ac:dyDescent="0.3">
      <c r="AA6647" s="37">
        <v>6627</v>
      </c>
      <c r="AB6647" s="37">
        <v>1.8382755260081733</v>
      </c>
      <c r="AC6647" s="37">
        <v>2.7695398696948925</v>
      </c>
      <c r="AD6647" s="37">
        <v>3.4821606752906051</v>
      </c>
    </row>
    <row r="6648" spans="27:30" x14ac:dyDescent="0.3">
      <c r="AA6648" s="37">
        <v>6628</v>
      </c>
      <c r="AB6648" s="37">
        <v>1.7039957345396146</v>
      </c>
      <c r="AC6648" s="37">
        <v>2.7729988160765355</v>
      </c>
      <c r="AD6648" s="37">
        <v>3.7732894834599411</v>
      </c>
    </row>
    <row r="6649" spans="27:30" x14ac:dyDescent="0.3">
      <c r="AA6649" s="37">
        <v>6629</v>
      </c>
      <c r="AB6649" s="37">
        <v>1.7171763739301367</v>
      </c>
      <c r="AC6649" s="37">
        <v>2.902805935900107</v>
      </c>
      <c r="AD6649" s="37">
        <v>3.3951574688532529</v>
      </c>
    </row>
    <row r="6650" spans="27:30" x14ac:dyDescent="0.3">
      <c r="AA6650" s="37">
        <v>6630</v>
      </c>
      <c r="AB6650" s="37">
        <v>1.7210624794585014</v>
      </c>
      <c r="AC6650" s="37">
        <v>2.704462834930129</v>
      </c>
      <c r="AD6650" s="37">
        <v>3.5105978827616453</v>
      </c>
    </row>
    <row r="6651" spans="27:30" x14ac:dyDescent="0.3">
      <c r="AA6651" s="37">
        <v>6631</v>
      </c>
      <c r="AB6651" s="37">
        <v>1.8321036252218164</v>
      </c>
      <c r="AC6651" s="37">
        <v>2.777160790080853</v>
      </c>
      <c r="AD6651" s="37">
        <v>3.4197158823809737</v>
      </c>
    </row>
    <row r="6652" spans="27:30" x14ac:dyDescent="0.3">
      <c r="AA6652" s="37">
        <v>6632</v>
      </c>
      <c r="AB6652" s="37">
        <v>1.8284724885165551</v>
      </c>
      <c r="AC6652" s="37">
        <v>2.8332855325597941</v>
      </c>
      <c r="AD6652" s="37">
        <v>3.2152058046918484</v>
      </c>
    </row>
    <row r="6653" spans="27:30" x14ac:dyDescent="0.3">
      <c r="AA6653" s="37">
        <v>6633</v>
      </c>
      <c r="AB6653" s="37">
        <v>1.7963813015083334</v>
      </c>
      <c r="AC6653" s="37">
        <v>2.8230719297379379</v>
      </c>
      <c r="AD6653" s="37">
        <v>3.2906807691257982</v>
      </c>
    </row>
    <row r="6654" spans="27:30" x14ac:dyDescent="0.3">
      <c r="AA6654" s="37">
        <v>6634</v>
      </c>
      <c r="AB6654" s="37">
        <v>1.7232602184153012</v>
      </c>
      <c r="AC6654" s="37">
        <v>2.9192835818112188</v>
      </c>
      <c r="AD6654" s="37">
        <v>3.3398989951128231</v>
      </c>
    </row>
    <row r="6655" spans="27:30" x14ac:dyDescent="0.3">
      <c r="AA6655" s="37">
        <v>6635</v>
      </c>
      <c r="AB6655" s="37">
        <v>1.7931729331493578</v>
      </c>
      <c r="AC6655" s="37">
        <v>2.8583536772238047</v>
      </c>
      <c r="AD6655" s="37">
        <v>3.170446792269304</v>
      </c>
    </row>
    <row r="6656" spans="27:30" x14ac:dyDescent="0.3">
      <c r="AA6656" s="37">
        <v>6636</v>
      </c>
      <c r="AB6656" s="37">
        <v>1.7472997712549407</v>
      </c>
      <c r="AC6656" s="37">
        <v>2.8559339333163187</v>
      </c>
      <c r="AD6656" s="37">
        <v>3.419919393539447</v>
      </c>
    </row>
    <row r="6657" spans="27:30" x14ac:dyDescent="0.3">
      <c r="AA6657" s="37">
        <v>6637</v>
      </c>
      <c r="AB6657" s="37">
        <v>1.7726447429839018</v>
      </c>
      <c r="AC6657" s="37">
        <v>2.7549237100263024</v>
      </c>
      <c r="AD6657" s="37">
        <v>3.3558070927889738</v>
      </c>
    </row>
    <row r="6658" spans="27:30" x14ac:dyDescent="0.3">
      <c r="AA6658" s="37">
        <v>6638</v>
      </c>
      <c r="AB6658" s="37">
        <v>1.8430476845038002</v>
      </c>
      <c r="AC6658" s="37">
        <v>2.9105458637638706</v>
      </c>
      <c r="AD6658" s="37">
        <v>3.4904961914663573</v>
      </c>
    </row>
    <row r="6659" spans="27:30" x14ac:dyDescent="0.3">
      <c r="AA6659" s="37">
        <v>6639</v>
      </c>
      <c r="AB6659" s="37">
        <v>1.6633932052177849</v>
      </c>
      <c r="AC6659" s="37">
        <v>3.0523609225828316</v>
      </c>
      <c r="AD6659" s="37">
        <v>3.1357617072069499</v>
      </c>
    </row>
    <row r="6660" spans="27:30" x14ac:dyDescent="0.3">
      <c r="AA6660" s="37">
        <v>6640</v>
      </c>
      <c r="AB6660" s="37">
        <v>1.8109278021319768</v>
      </c>
      <c r="AC6660" s="37">
        <v>2.6901837016027987</v>
      </c>
      <c r="AD6660" s="37">
        <v>3.372219660396405</v>
      </c>
    </row>
    <row r="6661" spans="27:30" x14ac:dyDescent="0.3">
      <c r="AA6661" s="37">
        <v>6641</v>
      </c>
      <c r="AB6661" s="37">
        <v>1.7070332392801655</v>
      </c>
      <c r="AC6661" s="37">
        <v>2.9459047401097518</v>
      </c>
      <c r="AD6661" s="37">
        <v>3.5433478847207041</v>
      </c>
    </row>
    <row r="6662" spans="27:30" x14ac:dyDescent="0.3">
      <c r="AA6662" s="37">
        <v>6642</v>
      </c>
      <c r="AB6662" s="37">
        <v>1.7771804037334977</v>
      </c>
      <c r="AC6662" s="37">
        <v>2.7498830338043798</v>
      </c>
      <c r="AD6662" s="37">
        <v>3.2859472783852386</v>
      </c>
    </row>
    <row r="6663" spans="27:30" x14ac:dyDescent="0.3">
      <c r="AA6663" s="37">
        <v>6643</v>
      </c>
      <c r="AB6663" s="37">
        <v>1.759201935881159</v>
      </c>
      <c r="AC6663" s="37">
        <v>2.7324574288620651</v>
      </c>
      <c r="AD6663" s="37">
        <v>3.4511534201454213</v>
      </c>
    </row>
    <row r="6664" spans="27:30" x14ac:dyDescent="0.3">
      <c r="AA6664" s="37">
        <v>6644</v>
      </c>
      <c r="AB6664" s="37">
        <v>1.7579728738269418</v>
      </c>
      <c r="AC6664" s="37">
        <v>2.8242767144544114</v>
      </c>
      <c r="AD6664" s="37">
        <v>3.3236612735263251</v>
      </c>
    </row>
    <row r="6665" spans="27:30" x14ac:dyDescent="0.3">
      <c r="AA6665" s="37">
        <v>6645</v>
      </c>
      <c r="AB6665" s="37">
        <v>1.7908563786134208</v>
      </c>
      <c r="AC6665" s="37">
        <v>2.904395879417204</v>
      </c>
      <c r="AD6665" s="37">
        <v>3.3775789163798131</v>
      </c>
    </row>
    <row r="6666" spans="27:30" x14ac:dyDescent="0.3">
      <c r="AA6666" s="37">
        <v>6646</v>
      </c>
      <c r="AB6666" s="37">
        <v>1.8697315632026617</v>
      </c>
      <c r="AC6666" s="37">
        <v>2.8488814403367368</v>
      </c>
      <c r="AD6666" s="37">
        <v>3.2295577367154964</v>
      </c>
    </row>
    <row r="6667" spans="27:30" x14ac:dyDescent="0.3">
      <c r="AA6667" s="37">
        <v>6647</v>
      </c>
      <c r="AB6667" s="37">
        <v>1.8365610955250666</v>
      </c>
      <c r="AC6667" s="37">
        <v>2.9005114944118953</v>
      </c>
      <c r="AD6667" s="37">
        <v>3.5380855912817442</v>
      </c>
    </row>
    <row r="6668" spans="27:30" x14ac:dyDescent="0.3">
      <c r="AA6668" s="37">
        <v>6648</v>
      </c>
      <c r="AB6668" s="37">
        <v>1.9249960025856649</v>
      </c>
      <c r="AC6668" s="37">
        <v>2.9869898217492499</v>
      </c>
      <c r="AD6668" s="37">
        <v>3.436303959604893</v>
      </c>
    </row>
    <row r="6669" spans="27:30" x14ac:dyDescent="0.3">
      <c r="AA6669" s="37">
        <v>6649</v>
      </c>
      <c r="AB6669" s="37">
        <v>1.8596477315209829</v>
      </c>
      <c r="AC6669" s="37">
        <v>2.8271184379614551</v>
      </c>
      <c r="AD6669" s="37">
        <v>3.3560622999491723</v>
      </c>
    </row>
    <row r="6670" spans="27:30" x14ac:dyDescent="0.3">
      <c r="AA6670" s="37">
        <v>6650</v>
      </c>
      <c r="AB6670" s="37">
        <v>1.8718709061152186</v>
      </c>
      <c r="AC6670" s="37">
        <v>2.9963359354430548</v>
      </c>
      <c r="AD6670" s="37">
        <v>3.4285323533223546</v>
      </c>
    </row>
    <row r="6671" spans="27:30" x14ac:dyDescent="0.3">
      <c r="AA6671" s="37">
        <v>6651</v>
      </c>
      <c r="AB6671" s="37">
        <v>1.8877103133112305</v>
      </c>
      <c r="AC6671" s="37">
        <v>2.7138717757812789</v>
      </c>
      <c r="AD6671" s="37">
        <v>3.1589240930798099</v>
      </c>
    </row>
    <row r="6672" spans="27:30" x14ac:dyDescent="0.3">
      <c r="AA6672" s="37">
        <v>6652</v>
      </c>
      <c r="AB6672" s="37">
        <v>1.7271653947671401</v>
      </c>
      <c r="AC6672" s="37">
        <v>2.9211199331160516</v>
      </c>
      <c r="AD6672" s="37">
        <v>3.3748475945110616</v>
      </c>
    </row>
    <row r="6673" spans="27:30" x14ac:dyDescent="0.3">
      <c r="AA6673" s="37">
        <v>6653</v>
      </c>
      <c r="AB6673" s="37">
        <v>1.7421263074811568</v>
      </c>
      <c r="AC6673" s="37">
        <v>2.8469068718428612</v>
      </c>
      <c r="AD6673" s="37">
        <v>3.1822202053428099</v>
      </c>
    </row>
    <row r="6674" spans="27:30" x14ac:dyDescent="0.3">
      <c r="AA6674" s="37">
        <v>6654</v>
      </c>
      <c r="AB6674" s="37">
        <v>1.8220855197632786</v>
      </c>
      <c r="AC6674" s="37">
        <v>2.9858868114377666</v>
      </c>
      <c r="AD6674" s="37">
        <v>3.2583107259324202</v>
      </c>
    </row>
    <row r="6675" spans="27:30" x14ac:dyDescent="0.3">
      <c r="AA6675" s="37">
        <v>6655</v>
      </c>
      <c r="AB6675" s="37">
        <v>1.7173520832827533</v>
      </c>
      <c r="AC6675" s="37">
        <v>2.7211200463640806</v>
      </c>
      <c r="AD6675" s="37">
        <v>3.1638649234800349</v>
      </c>
    </row>
    <row r="6676" spans="27:30" x14ac:dyDescent="0.3">
      <c r="AA6676" s="37">
        <v>6656</v>
      </c>
      <c r="AB6676" s="37">
        <v>1.7668541151321484</v>
      </c>
      <c r="AC6676" s="37">
        <v>2.9453075077449071</v>
      </c>
      <c r="AD6676" s="37">
        <v>3.3310978437106198</v>
      </c>
    </row>
    <row r="6677" spans="27:30" x14ac:dyDescent="0.3">
      <c r="AA6677" s="37">
        <v>6657</v>
      </c>
      <c r="AB6677" s="37">
        <v>1.7935909083226211</v>
      </c>
      <c r="AC6677" s="37">
        <v>2.7694039963568797</v>
      </c>
      <c r="AD6677" s="37">
        <v>3.6598574897806291</v>
      </c>
    </row>
    <row r="6678" spans="27:30" x14ac:dyDescent="0.3">
      <c r="AA6678" s="37">
        <v>6658</v>
      </c>
      <c r="AB6678" s="37">
        <v>1.8656720507169311</v>
      </c>
      <c r="AC6678" s="37">
        <v>2.8792512258184928</v>
      </c>
      <c r="AD6678" s="37">
        <v>3.5071037927133699</v>
      </c>
    </row>
    <row r="6679" spans="27:30" x14ac:dyDescent="0.3">
      <c r="AA6679" s="37">
        <v>6659</v>
      </c>
      <c r="AB6679" s="37">
        <v>1.6856784425675522</v>
      </c>
      <c r="AC6679" s="37">
        <v>2.810727051476166</v>
      </c>
      <c r="AD6679" s="37">
        <v>3.489339548413394</v>
      </c>
    </row>
    <row r="6680" spans="27:30" x14ac:dyDescent="0.3">
      <c r="AA6680" s="37">
        <v>6660</v>
      </c>
      <c r="AB6680" s="37">
        <v>1.8366979255079288</v>
      </c>
      <c r="AC6680" s="37">
        <v>2.9592356830724897</v>
      </c>
      <c r="AD6680" s="37">
        <v>3.2975369115648614</v>
      </c>
    </row>
    <row r="6681" spans="27:30" x14ac:dyDescent="0.3">
      <c r="AA6681" s="37">
        <v>6661</v>
      </c>
      <c r="AB6681" s="37">
        <v>1.8139694864012719</v>
      </c>
      <c r="AC6681" s="37">
        <v>2.8937730173014464</v>
      </c>
      <c r="AD6681" s="37">
        <v>3.2543487949248751</v>
      </c>
    </row>
    <row r="6682" spans="27:30" x14ac:dyDescent="0.3">
      <c r="AA6682" s="37">
        <v>6662</v>
      </c>
      <c r="AB6682" s="37">
        <v>1.8737196129545484</v>
      </c>
      <c r="AC6682" s="37">
        <v>2.8171176573180396</v>
      </c>
      <c r="AD6682" s="37">
        <v>3.45001039843573</v>
      </c>
    </row>
    <row r="6683" spans="27:30" x14ac:dyDescent="0.3">
      <c r="AA6683" s="37">
        <v>6663</v>
      </c>
      <c r="AB6683" s="37">
        <v>1.8065746251132437</v>
      </c>
      <c r="AC6683" s="37">
        <v>2.9554604534964932</v>
      </c>
      <c r="AD6683" s="37">
        <v>3.4588387156973543</v>
      </c>
    </row>
    <row r="6684" spans="27:30" x14ac:dyDescent="0.3">
      <c r="AA6684" s="37">
        <v>6664</v>
      </c>
      <c r="AB6684" s="37">
        <v>1.8118760409909385</v>
      </c>
      <c r="AC6684" s="37">
        <v>2.9431469937560721</v>
      </c>
      <c r="AD6684" s="37">
        <v>3.4455207061178168</v>
      </c>
    </row>
    <row r="6685" spans="27:30" x14ac:dyDescent="0.3">
      <c r="AA6685" s="37">
        <v>6665</v>
      </c>
      <c r="AB6685" s="37">
        <v>1.870672983542129</v>
      </c>
      <c r="AC6685" s="37">
        <v>2.6860396348202404</v>
      </c>
      <c r="AD6685" s="37">
        <v>3.2674810769398781</v>
      </c>
    </row>
    <row r="6686" spans="27:30" x14ac:dyDescent="0.3">
      <c r="AA6686" s="37">
        <v>6666</v>
      </c>
      <c r="AB6686" s="37">
        <v>1.6644987569306826</v>
      </c>
      <c r="AC6686" s="37">
        <v>2.8950272585878993</v>
      </c>
      <c r="AD6686" s="37">
        <v>3.314049319869405</v>
      </c>
    </row>
    <row r="6687" spans="27:30" x14ac:dyDescent="0.3">
      <c r="AA6687" s="37">
        <v>6667</v>
      </c>
      <c r="AB6687" s="37">
        <v>1.83252175143892</v>
      </c>
      <c r="AC6687" s="37">
        <v>2.8954884106324603</v>
      </c>
      <c r="AD6687" s="37">
        <v>3.3598076175728853</v>
      </c>
    </row>
    <row r="6688" spans="27:30" x14ac:dyDescent="0.3">
      <c r="AA6688" s="37">
        <v>6668</v>
      </c>
      <c r="AB6688" s="37">
        <v>1.8239149347686459</v>
      </c>
      <c r="AC6688" s="37">
        <v>2.8548353710140391</v>
      </c>
      <c r="AD6688" s="37">
        <v>3.4273660916699584</v>
      </c>
    </row>
    <row r="6689" spans="27:30" x14ac:dyDescent="0.3">
      <c r="AA6689" s="37">
        <v>6669</v>
      </c>
      <c r="AB6689" s="37">
        <v>1.8676958908813739</v>
      </c>
      <c r="AC6689" s="37">
        <v>2.955732536682151</v>
      </c>
      <c r="AD6689" s="37">
        <v>3.315107776585192</v>
      </c>
    </row>
    <row r="6690" spans="27:30" x14ac:dyDescent="0.3">
      <c r="AA6690" s="37">
        <v>6670</v>
      </c>
      <c r="AB6690" s="37">
        <v>1.8390624711892045</v>
      </c>
      <c r="AC6690" s="37">
        <v>2.622412040762228</v>
      </c>
      <c r="AD6690" s="37">
        <v>3.2898508425371449</v>
      </c>
    </row>
    <row r="6691" spans="27:30" x14ac:dyDescent="0.3">
      <c r="AA6691" s="37">
        <v>6671</v>
      </c>
      <c r="AB6691" s="37">
        <v>1.9184766933572721</v>
      </c>
      <c r="AC6691" s="37">
        <v>2.6622152325737543</v>
      </c>
      <c r="AD6691" s="37">
        <v>3.240541938180213</v>
      </c>
    </row>
    <row r="6692" spans="27:30" x14ac:dyDescent="0.3">
      <c r="AA6692" s="37">
        <v>6672</v>
      </c>
      <c r="AB6692" s="37">
        <v>1.6501828053216292</v>
      </c>
      <c r="AC6692" s="37">
        <v>2.9375919823433749</v>
      </c>
      <c r="AD6692" s="37">
        <v>3.4050167542962448</v>
      </c>
    </row>
    <row r="6693" spans="27:30" x14ac:dyDescent="0.3">
      <c r="AA6693" s="37">
        <v>6673</v>
      </c>
      <c r="AB6693" s="37">
        <v>1.7258372723531383</v>
      </c>
      <c r="AC6693" s="37">
        <v>2.8455664435477277</v>
      </c>
      <c r="AD6693" s="37">
        <v>3.4727411576754936</v>
      </c>
    </row>
    <row r="6694" spans="27:30" x14ac:dyDescent="0.3">
      <c r="AA6694" s="37">
        <v>6674</v>
      </c>
      <c r="AB6694" s="37">
        <v>1.7325603276874657</v>
      </c>
      <c r="AC6694" s="37">
        <v>2.6155346930474992</v>
      </c>
      <c r="AD6694" s="37">
        <v>3.1635181519978905</v>
      </c>
    </row>
    <row r="6695" spans="27:30" x14ac:dyDescent="0.3">
      <c r="AA6695" s="37">
        <v>6675</v>
      </c>
      <c r="AB6695" s="37">
        <v>1.8524790441705639</v>
      </c>
      <c r="AC6695" s="37">
        <v>2.9059724270048175</v>
      </c>
      <c r="AD6695" s="37">
        <v>3.3504225746797043</v>
      </c>
    </row>
    <row r="6696" spans="27:30" x14ac:dyDescent="0.3">
      <c r="AA6696" s="37">
        <v>6676</v>
      </c>
      <c r="AB6696" s="37">
        <v>1.6769444624683314</v>
      </c>
      <c r="AC6696" s="37">
        <v>2.7215861695077335</v>
      </c>
      <c r="AD6696" s="37">
        <v>3.3108980457505131</v>
      </c>
    </row>
    <row r="6697" spans="27:30" x14ac:dyDescent="0.3">
      <c r="AA6697" s="37">
        <v>6677</v>
      </c>
      <c r="AB6697" s="37">
        <v>1.690562596018939</v>
      </c>
      <c r="AC6697" s="37">
        <v>2.8437304028515324</v>
      </c>
      <c r="AD6697" s="37">
        <v>3.3168660939582035</v>
      </c>
    </row>
    <row r="6698" spans="27:30" x14ac:dyDescent="0.3">
      <c r="AA6698" s="37">
        <v>6678</v>
      </c>
      <c r="AB6698" s="37">
        <v>1.8127417068997669</v>
      </c>
      <c r="AC6698" s="37">
        <v>2.95678165382953</v>
      </c>
      <c r="AD6698" s="37">
        <v>3.4134672001292867</v>
      </c>
    </row>
    <row r="6699" spans="27:30" x14ac:dyDescent="0.3">
      <c r="AA6699" s="37">
        <v>6679</v>
      </c>
      <c r="AB6699" s="37">
        <v>1.7766013786287542</v>
      </c>
      <c r="AC6699" s="37">
        <v>2.8758557250316743</v>
      </c>
      <c r="AD6699" s="37">
        <v>3.195145910795441</v>
      </c>
    </row>
    <row r="6700" spans="27:30" x14ac:dyDescent="0.3">
      <c r="AA6700" s="37">
        <v>6680</v>
      </c>
      <c r="AB6700" s="37">
        <v>1.7601423848258266</v>
      </c>
      <c r="AC6700" s="37">
        <v>2.9157337500988612</v>
      </c>
      <c r="AD6700" s="37">
        <v>3.1754600720885535</v>
      </c>
    </row>
    <row r="6701" spans="27:30" x14ac:dyDescent="0.3">
      <c r="AA6701" s="37">
        <v>6681</v>
      </c>
      <c r="AB6701" s="37">
        <v>1.7357224413816184</v>
      </c>
      <c r="AC6701" s="37">
        <v>2.9306286132251262</v>
      </c>
      <c r="AD6701" s="37">
        <v>3.390718012816782</v>
      </c>
    </row>
    <row r="6702" spans="27:30" x14ac:dyDescent="0.3">
      <c r="AA6702" s="37">
        <v>6682</v>
      </c>
      <c r="AB6702" s="37">
        <v>1.8301200081666171</v>
      </c>
      <c r="AC6702" s="37">
        <v>2.9740560467931041</v>
      </c>
      <c r="AD6702" s="37">
        <v>3.4193662601595913</v>
      </c>
    </row>
    <row r="6703" spans="27:30" x14ac:dyDescent="0.3">
      <c r="AA6703" s="37">
        <v>6683</v>
      </c>
      <c r="AB6703" s="37">
        <v>1.8235236240829253</v>
      </c>
      <c r="AC6703" s="37">
        <v>2.9435221501847519</v>
      </c>
      <c r="AD6703" s="37">
        <v>3.4581502380834253</v>
      </c>
    </row>
    <row r="6704" spans="27:30" x14ac:dyDescent="0.3">
      <c r="AA6704" s="37">
        <v>6684</v>
      </c>
      <c r="AB6704" s="37">
        <v>1.8332938098892901</v>
      </c>
      <c r="AC6704" s="37">
        <v>2.8697665104171834</v>
      </c>
      <c r="AD6704" s="37">
        <v>3.5033640227356622</v>
      </c>
    </row>
    <row r="6705" spans="27:30" x14ac:dyDescent="0.3">
      <c r="AA6705" s="37">
        <v>6685</v>
      </c>
      <c r="AB6705" s="37">
        <v>1.8462145327133292</v>
      </c>
      <c r="AC6705" s="37">
        <v>2.7676609326952812</v>
      </c>
      <c r="AD6705" s="37">
        <v>3.4055779471599328</v>
      </c>
    </row>
    <row r="6706" spans="27:30" x14ac:dyDescent="0.3">
      <c r="AA6706" s="37">
        <v>6686</v>
      </c>
      <c r="AB6706" s="37">
        <v>1.7979945644491415</v>
      </c>
      <c r="AC6706" s="37">
        <v>3.0113148498113693</v>
      </c>
      <c r="AD6706" s="37">
        <v>3.2946857851378972</v>
      </c>
    </row>
    <row r="6707" spans="27:30" x14ac:dyDescent="0.3">
      <c r="AA6707" s="37">
        <v>6687</v>
      </c>
      <c r="AB6707" s="37">
        <v>1.7010949780986799</v>
      </c>
      <c r="AC6707" s="37">
        <v>2.9180361519207265</v>
      </c>
      <c r="AD6707" s="37">
        <v>3.3697392738724536</v>
      </c>
    </row>
    <row r="6708" spans="27:30" x14ac:dyDescent="0.3">
      <c r="AA6708" s="37">
        <v>6688</v>
      </c>
      <c r="AB6708" s="37">
        <v>1.810101400008153</v>
      </c>
      <c r="AC6708" s="37">
        <v>2.9455220842243315</v>
      </c>
      <c r="AD6708" s="37">
        <v>3.2484000146155738</v>
      </c>
    </row>
    <row r="6709" spans="27:30" x14ac:dyDescent="0.3">
      <c r="AA6709" s="37">
        <v>6689</v>
      </c>
      <c r="AB6709" s="37">
        <v>1.7878173238059876</v>
      </c>
      <c r="AC6709" s="37">
        <v>2.7544168051196958</v>
      </c>
      <c r="AD6709" s="37">
        <v>3.4073645591249391</v>
      </c>
    </row>
    <row r="6710" spans="27:30" x14ac:dyDescent="0.3">
      <c r="AA6710" s="37">
        <v>6690</v>
      </c>
      <c r="AB6710" s="37">
        <v>1.7729492713168389</v>
      </c>
      <c r="AC6710" s="37">
        <v>2.8452171596470603</v>
      </c>
      <c r="AD6710" s="37">
        <v>3.2405479040886913</v>
      </c>
    </row>
    <row r="6711" spans="27:30" x14ac:dyDescent="0.3">
      <c r="AA6711" s="37">
        <v>6691</v>
      </c>
      <c r="AB6711" s="37">
        <v>1.7398034613805653</v>
      </c>
      <c r="AC6711" s="37">
        <v>2.7381310522500613</v>
      </c>
      <c r="AD6711" s="37">
        <v>3.3007314034474367</v>
      </c>
    </row>
    <row r="6712" spans="27:30" x14ac:dyDescent="0.3">
      <c r="AA6712" s="37">
        <v>6692</v>
      </c>
      <c r="AB6712" s="37">
        <v>1.777199472645592</v>
      </c>
      <c r="AC6712" s="37">
        <v>2.6916364138271263</v>
      </c>
      <c r="AD6712" s="37">
        <v>3.3277548671817851</v>
      </c>
    </row>
    <row r="6713" spans="27:30" x14ac:dyDescent="0.3">
      <c r="AA6713" s="37">
        <v>6693</v>
      </c>
      <c r="AB6713" s="37">
        <v>1.7089579296383313</v>
      </c>
      <c r="AC6713" s="37">
        <v>2.9607158196983887</v>
      </c>
      <c r="AD6713" s="37">
        <v>3.329459571525009</v>
      </c>
    </row>
    <row r="6714" spans="27:30" x14ac:dyDescent="0.3">
      <c r="AA6714" s="37">
        <v>6694</v>
      </c>
      <c r="AB6714" s="37">
        <v>1.7122355160262477</v>
      </c>
      <c r="AC6714" s="37">
        <v>2.8007415521678252</v>
      </c>
      <c r="AD6714" s="37">
        <v>3.3211819042302246</v>
      </c>
    </row>
    <row r="6715" spans="27:30" x14ac:dyDescent="0.3">
      <c r="AA6715" s="37">
        <v>6695</v>
      </c>
      <c r="AB6715" s="37">
        <v>1.8165582068412647</v>
      </c>
      <c r="AC6715" s="37">
        <v>2.9288132361700874</v>
      </c>
      <c r="AD6715" s="37">
        <v>3.1932075121047725</v>
      </c>
    </row>
    <row r="6716" spans="27:30" x14ac:dyDescent="0.3">
      <c r="AA6716" s="37">
        <v>6696</v>
      </c>
      <c r="AB6716" s="37">
        <v>1.7652345991300491</v>
      </c>
      <c r="AC6716" s="37">
        <v>2.6403279559479693</v>
      </c>
      <c r="AD6716" s="37">
        <v>3.6469274281732309</v>
      </c>
    </row>
    <row r="6717" spans="27:30" x14ac:dyDescent="0.3">
      <c r="AA6717" s="37">
        <v>6697</v>
      </c>
      <c r="AB6717" s="37">
        <v>1.6677933708564161</v>
      </c>
      <c r="AC6717" s="37">
        <v>2.6815112369772103</v>
      </c>
      <c r="AD6717" s="37">
        <v>3.3769758888531864</v>
      </c>
    </row>
    <row r="6718" spans="27:30" x14ac:dyDescent="0.3">
      <c r="AA6718" s="37">
        <v>6698</v>
      </c>
      <c r="AB6718" s="37">
        <v>1.6801145707320895</v>
      </c>
      <c r="AC6718" s="37">
        <v>2.7317599924602329</v>
      </c>
      <c r="AD6718" s="37">
        <v>3.2690908884724701</v>
      </c>
    </row>
    <row r="6719" spans="27:30" x14ac:dyDescent="0.3">
      <c r="AA6719" s="37">
        <v>6699</v>
      </c>
      <c r="AB6719" s="37">
        <v>1.8581129657986832</v>
      </c>
      <c r="AC6719" s="37">
        <v>2.671962729818087</v>
      </c>
      <c r="AD6719" s="37">
        <v>3.4432168244466039</v>
      </c>
    </row>
    <row r="6720" spans="27:30" x14ac:dyDescent="0.3">
      <c r="AA6720" s="37">
        <v>6700</v>
      </c>
      <c r="AB6720" s="37">
        <v>1.7949078337085964</v>
      </c>
      <c r="AC6720" s="37">
        <v>2.9720403446957104</v>
      </c>
      <c r="AD6720" s="37">
        <v>3.3865530351486721</v>
      </c>
    </row>
    <row r="6721" spans="27:30" x14ac:dyDescent="0.3">
      <c r="AA6721" s="37">
        <v>6701</v>
      </c>
      <c r="AB6721" s="37">
        <v>1.77569166014076</v>
      </c>
      <c r="AC6721" s="37">
        <v>2.897009170641919</v>
      </c>
      <c r="AD6721" s="37">
        <v>3.2471868277072931</v>
      </c>
    </row>
    <row r="6722" spans="27:30" x14ac:dyDescent="0.3">
      <c r="AA6722" s="37">
        <v>6702</v>
      </c>
      <c r="AB6722" s="37">
        <v>1.773628659641439</v>
      </c>
      <c r="AC6722" s="37">
        <v>2.7736249137343125</v>
      </c>
      <c r="AD6722" s="37">
        <v>3.3495407143139464</v>
      </c>
    </row>
    <row r="6723" spans="27:30" x14ac:dyDescent="0.3">
      <c r="AA6723" s="37">
        <v>6703</v>
      </c>
      <c r="AB6723" s="37">
        <v>1.8367798148729391</v>
      </c>
      <c r="AC6723" s="37">
        <v>2.9032160387770767</v>
      </c>
      <c r="AD6723" s="37">
        <v>3.4619101343121739</v>
      </c>
    </row>
    <row r="6724" spans="27:30" x14ac:dyDescent="0.3">
      <c r="AA6724" s="37">
        <v>6704</v>
      </c>
      <c r="AB6724" s="37">
        <v>1.8542430880549472</v>
      </c>
      <c r="AC6724" s="37">
        <v>2.8591603859478862</v>
      </c>
      <c r="AD6724" s="37">
        <v>3.3620239951175916</v>
      </c>
    </row>
    <row r="6725" spans="27:30" x14ac:dyDescent="0.3">
      <c r="AA6725" s="37">
        <v>6705</v>
      </c>
      <c r="AB6725" s="37">
        <v>1.6462411167492272</v>
      </c>
      <c r="AC6725" s="37">
        <v>2.9223838622150149</v>
      </c>
      <c r="AD6725" s="37">
        <v>3.35406394105016</v>
      </c>
    </row>
    <row r="6726" spans="27:30" x14ac:dyDescent="0.3">
      <c r="AA6726" s="37">
        <v>6706</v>
      </c>
      <c r="AB6726" s="37">
        <v>1.7329923342037694</v>
      </c>
      <c r="AC6726" s="37">
        <v>2.7938872602572551</v>
      </c>
      <c r="AD6726" s="37">
        <v>3.3412145955794479</v>
      </c>
    </row>
    <row r="6727" spans="27:30" x14ac:dyDescent="0.3">
      <c r="AA6727" s="37">
        <v>6707</v>
      </c>
      <c r="AB6727" s="37">
        <v>1.8719870266293401</v>
      </c>
      <c r="AC6727" s="37">
        <v>3.0075242205226127</v>
      </c>
      <c r="AD6727" s="37">
        <v>3.3826247980706898</v>
      </c>
    </row>
    <row r="6728" spans="27:30" x14ac:dyDescent="0.3">
      <c r="AA6728" s="37">
        <v>6708</v>
      </c>
      <c r="AB6728" s="37">
        <v>1.7029791644895773</v>
      </c>
      <c r="AC6728" s="37">
        <v>2.7850914124121542</v>
      </c>
      <c r="AD6728" s="37">
        <v>3.2767848462948916</v>
      </c>
    </row>
    <row r="6729" spans="27:30" x14ac:dyDescent="0.3">
      <c r="AA6729" s="37">
        <v>6709</v>
      </c>
      <c r="AB6729" s="37">
        <v>1.8059095214443592</v>
      </c>
      <c r="AC6729" s="37">
        <v>2.9574418164662521</v>
      </c>
      <c r="AD6729" s="37">
        <v>3.1467770048965193</v>
      </c>
    </row>
    <row r="6730" spans="27:30" x14ac:dyDescent="0.3">
      <c r="AA6730" s="37">
        <v>6710</v>
      </c>
      <c r="AB6730" s="37">
        <v>1.716118651261656</v>
      </c>
      <c r="AC6730" s="37">
        <v>2.9505104434651881</v>
      </c>
      <c r="AD6730" s="37">
        <v>3.2383656443643112</v>
      </c>
    </row>
    <row r="6731" spans="27:30" x14ac:dyDescent="0.3">
      <c r="AA6731" s="37">
        <v>6711</v>
      </c>
      <c r="AB6731" s="37">
        <v>1.6562745490632094</v>
      </c>
      <c r="AC6731" s="37">
        <v>2.8355966300882605</v>
      </c>
      <c r="AD6731" s="37">
        <v>3.2218070310720113</v>
      </c>
    </row>
    <row r="6732" spans="27:30" x14ac:dyDescent="0.3">
      <c r="AA6732" s="37">
        <v>6712</v>
      </c>
      <c r="AB6732" s="37">
        <v>1.7804115249950234</v>
      </c>
      <c r="AC6732" s="37">
        <v>2.877799309811885</v>
      </c>
      <c r="AD6732" s="37">
        <v>3.4111526075273226</v>
      </c>
    </row>
    <row r="6733" spans="27:30" x14ac:dyDescent="0.3">
      <c r="AA6733" s="37">
        <v>6713</v>
      </c>
      <c r="AB6733" s="37">
        <v>1.8700812378383638</v>
      </c>
      <c r="AC6733" s="37">
        <v>2.7090175708316186</v>
      </c>
      <c r="AD6733" s="37">
        <v>3.2965832031751434</v>
      </c>
    </row>
    <row r="6734" spans="27:30" x14ac:dyDescent="0.3">
      <c r="AA6734" s="37">
        <v>6714</v>
      </c>
      <c r="AB6734" s="37">
        <v>1.8377388544480739</v>
      </c>
      <c r="AC6734" s="37">
        <v>2.8061974345536136</v>
      </c>
      <c r="AD6734" s="37">
        <v>3.4915288194030252</v>
      </c>
    </row>
    <row r="6735" spans="27:30" x14ac:dyDescent="0.3">
      <c r="AA6735" s="37">
        <v>6715</v>
      </c>
      <c r="AB6735" s="37">
        <v>1.7003208734967521</v>
      </c>
      <c r="AC6735" s="37">
        <v>2.7540048467474763</v>
      </c>
      <c r="AD6735" s="37">
        <v>3.2532868067016478</v>
      </c>
    </row>
    <row r="6736" spans="27:30" x14ac:dyDescent="0.3">
      <c r="AA6736" s="37">
        <v>6716</v>
      </c>
      <c r="AB6736" s="37">
        <v>1.7904536847168218</v>
      </c>
      <c r="AC6736" s="37">
        <v>2.9042178183693772</v>
      </c>
      <c r="AD6736" s="37">
        <v>3.325495934790561</v>
      </c>
    </row>
    <row r="6737" spans="27:30" x14ac:dyDescent="0.3">
      <c r="AA6737" s="37">
        <v>6717</v>
      </c>
      <c r="AB6737" s="37">
        <v>1.77305736666695</v>
      </c>
      <c r="AC6737" s="37">
        <v>2.8243436889202682</v>
      </c>
      <c r="AD6737" s="37">
        <v>3.3528312684705277</v>
      </c>
    </row>
    <row r="6738" spans="27:30" x14ac:dyDescent="0.3">
      <c r="AA6738" s="37">
        <v>6718</v>
      </c>
      <c r="AB6738" s="37">
        <v>1.8035398000784517</v>
      </c>
      <c r="AC6738" s="37">
        <v>2.8499509522066737</v>
      </c>
      <c r="AD6738" s="37">
        <v>3.2580172544683026</v>
      </c>
    </row>
    <row r="6739" spans="27:30" x14ac:dyDescent="0.3">
      <c r="AA6739" s="37">
        <v>6719</v>
      </c>
      <c r="AB6739" s="37">
        <v>1.7787357000923585</v>
      </c>
      <c r="AC6739" s="37">
        <v>2.7051320004465871</v>
      </c>
      <c r="AD6739" s="37">
        <v>3.2891497115529926</v>
      </c>
    </row>
    <row r="6740" spans="27:30" x14ac:dyDescent="0.3">
      <c r="AA6740" s="37">
        <v>6720</v>
      </c>
      <c r="AB6740" s="37">
        <v>1.7564240324833726</v>
      </c>
      <c r="AC6740" s="37">
        <v>2.771127398477907</v>
      </c>
      <c r="AD6740" s="37">
        <v>3.3127029804727095</v>
      </c>
    </row>
    <row r="6741" spans="27:30" x14ac:dyDescent="0.3">
      <c r="AA6741" s="37">
        <v>6721</v>
      </c>
      <c r="AB6741" s="37">
        <v>1.7451097122031116</v>
      </c>
      <c r="AC6741" s="37">
        <v>2.9161971173634518</v>
      </c>
      <c r="AD6741" s="37">
        <v>3.3329615994145567</v>
      </c>
    </row>
    <row r="6742" spans="27:30" x14ac:dyDescent="0.3">
      <c r="AA6742" s="37">
        <v>6722</v>
      </c>
      <c r="AB6742" s="37">
        <v>1.748951410378621</v>
      </c>
      <c r="AC6742" s="37">
        <v>2.9110634109226137</v>
      </c>
      <c r="AD6742" s="37">
        <v>3.2402859135980298</v>
      </c>
    </row>
    <row r="6743" spans="27:30" x14ac:dyDescent="0.3">
      <c r="AA6743" s="37">
        <v>6723</v>
      </c>
      <c r="AB6743" s="37">
        <v>1.8803281671248682</v>
      </c>
      <c r="AC6743" s="37">
        <v>2.8422374809358715</v>
      </c>
      <c r="AD6743" s="37">
        <v>3.2726021945464896</v>
      </c>
    </row>
    <row r="6744" spans="27:30" x14ac:dyDescent="0.3">
      <c r="AA6744" s="37">
        <v>6724</v>
      </c>
      <c r="AB6744" s="37">
        <v>1.8597033603829143</v>
      </c>
      <c r="AC6744" s="37">
        <v>2.8311571845165964</v>
      </c>
      <c r="AD6744" s="37">
        <v>3.3703402331659662</v>
      </c>
    </row>
    <row r="6745" spans="27:30" x14ac:dyDescent="0.3">
      <c r="AA6745" s="37">
        <v>6725</v>
      </c>
      <c r="AB6745" s="37">
        <v>1.8074978972578133</v>
      </c>
      <c r="AC6745" s="37">
        <v>2.8017259697288992</v>
      </c>
      <c r="AD6745" s="37">
        <v>3.3089410602051785</v>
      </c>
    </row>
    <row r="6746" spans="27:30" x14ac:dyDescent="0.3">
      <c r="AA6746" s="37">
        <v>6726</v>
      </c>
      <c r="AB6746" s="37">
        <v>1.742750491784276</v>
      </c>
      <c r="AC6746" s="37">
        <v>2.9089852542227517</v>
      </c>
      <c r="AD6746" s="37">
        <v>3.0642674269352903</v>
      </c>
    </row>
    <row r="6747" spans="27:30" x14ac:dyDescent="0.3">
      <c r="AA6747" s="37">
        <v>6727</v>
      </c>
      <c r="AB6747" s="37">
        <v>1.7005195495406999</v>
      </c>
      <c r="AC6747" s="37">
        <v>2.7958408700928015</v>
      </c>
      <c r="AD6747" s="37">
        <v>3.4233755676504121</v>
      </c>
    </row>
    <row r="6748" spans="27:30" x14ac:dyDescent="0.3">
      <c r="AA6748" s="37">
        <v>6728</v>
      </c>
      <c r="AB6748" s="37">
        <v>1.7574048635872717</v>
      </c>
      <c r="AC6748" s="37">
        <v>2.8903317460353244</v>
      </c>
      <c r="AD6748" s="37">
        <v>3.3660297868596403</v>
      </c>
    </row>
    <row r="6749" spans="27:30" x14ac:dyDescent="0.3">
      <c r="AA6749" s="37">
        <v>6729</v>
      </c>
      <c r="AB6749" s="37">
        <v>1.8037644117239293</v>
      </c>
      <c r="AC6749" s="37">
        <v>2.7554872687343379</v>
      </c>
      <c r="AD6749" s="37">
        <v>3.184564334928182</v>
      </c>
    </row>
    <row r="6750" spans="27:30" x14ac:dyDescent="0.3">
      <c r="AA6750" s="37">
        <v>6730</v>
      </c>
      <c r="AB6750" s="37">
        <v>1.8298778817585533</v>
      </c>
      <c r="AC6750" s="37">
        <v>2.8660721153054243</v>
      </c>
      <c r="AD6750" s="37">
        <v>3.3616319209095189</v>
      </c>
    </row>
    <row r="6751" spans="27:30" x14ac:dyDescent="0.3">
      <c r="AA6751" s="37">
        <v>6731</v>
      </c>
      <c r="AB6751" s="37">
        <v>1.8715937848781665</v>
      </c>
      <c r="AC6751" s="37">
        <v>3.0304114431106139</v>
      </c>
      <c r="AD6751" s="37">
        <v>3.173271047640954</v>
      </c>
    </row>
    <row r="6752" spans="27:30" x14ac:dyDescent="0.3">
      <c r="AA6752" s="37">
        <v>6732</v>
      </c>
      <c r="AB6752" s="37">
        <v>1.7062435134095724</v>
      </c>
      <c r="AC6752" s="37">
        <v>2.7633896187392701</v>
      </c>
      <c r="AD6752" s="37">
        <v>3.2719139377782449</v>
      </c>
    </row>
    <row r="6753" spans="27:30" x14ac:dyDescent="0.3">
      <c r="AA6753" s="37">
        <v>6733</v>
      </c>
      <c r="AB6753" s="37">
        <v>1.7488003395318084</v>
      </c>
      <c r="AC6753" s="37">
        <v>2.7584480879938109</v>
      </c>
      <c r="AD6753" s="37">
        <v>3.3287210135379284</v>
      </c>
    </row>
    <row r="6754" spans="27:30" x14ac:dyDescent="0.3">
      <c r="AA6754" s="37">
        <v>6734</v>
      </c>
      <c r="AB6754" s="37">
        <v>1.8292660244674788</v>
      </c>
      <c r="AC6754" s="37">
        <v>2.7325378128479128</v>
      </c>
      <c r="AD6754" s="37">
        <v>3.5831701680554207</v>
      </c>
    </row>
    <row r="6755" spans="27:30" x14ac:dyDescent="0.3">
      <c r="AA6755" s="37">
        <v>6735</v>
      </c>
      <c r="AB6755" s="37">
        <v>1.6858038367606614</v>
      </c>
      <c r="AC6755" s="37">
        <v>2.7808100992781832</v>
      </c>
      <c r="AD6755" s="37">
        <v>3.388951397953563</v>
      </c>
    </row>
    <row r="6756" spans="27:30" x14ac:dyDescent="0.3">
      <c r="AA6756" s="37">
        <v>6736</v>
      </c>
      <c r="AB6756" s="37">
        <v>1.799668974328998</v>
      </c>
      <c r="AC6756" s="37">
        <v>3.0231012078034083</v>
      </c>
      <c r="AD6756" s="37">
        <v>3.315000142246403</v>
      </c>
    </row>
    <row r="6757" spans="27:30" x14ac:dyDescent="0.3">
      <c r="AA6757" s="37">
        <v>6737</v>
      </c>
      <c r="AB6757" s="37">
        <v>1.8153739093289303</v>
      </c>
      <c r="AC6757" s="37">
        <v>2.844842245320629</v>
      </c>
      <c r="AD6757" s="37">
        <v>3.1903438260770662</v>
      </c>
    </row>
    <row r="6758" spans="27:30" x14ac:dyDescent="0.3">
      <c r="AA6758" s="37">
        <v>6738</v>
      </c>
      <c r="AB6758" s="37">
        <v>1.8131984384259852</v>
      </c>
      <c r="AC6758" s="37">
        <v>3.0967055676047996</v>
      </c>
      <c r="AD6758" s="37">
        <v>3.240340250807737</v>
      </c>
    </row>
    <row r="6759" spans="27:30" x14ac:dyDescent="0.3">
      <c r="AA6759" s="37">
        <v>6739</v>
      </c>
      <c r="AB6759" s="37">
        <v>1.8240419495893445</v>
      </c>
      <c r="AC6759" s="37">
        <v>2.7747383646200685</v>
      </c>
      <c r="AD6759" s="37">
        <v>3.2703964667879943</v>
      </c>
    </row>
    <row r="6760" spans="27:30" x14ac:dyDescent="0.3">
      <c r="AA6760" s="37">
        <v>6740</v>
      </c>
      <c r="AB6760" s="37">
        <v>1.8901258709931341</v>
      </c>
      <c r="AC6760" s="37">
        <v>2.7807404685487427</v>
      </c>
      <c r="AD6760" s="37">
        <v>3.3208630165681017</v>
      </c>
    </row>
    <row r="6761" spans="27:30" x14ac:dyDescent="0.3">
      <c r="AA6761" s="37">
        <v>6741</v>
      </c>
      <c r="AB6761" s="37">
        <v>1.8352384575190057</v>
      </c>
      <c r="AC6761" s="37">
        <v>2.7965868014298643</v>
      </c>
      <c r="AD6761" s="37">
        <v>3.4732993763371693</v>
      </c>
    </row>
    <row r="6762" spans="27:30" x14ac:dyDescent="0.3">
      <c r="AA6762" s="37">
        <v>6742</v>
      </c>
      <c r="AB6762" s="37">
        <v>1.81321451653943</v>
      </c>
      <c r="AC6762" s="37">
        <v>2.8386957833676609</v>
      </c>
      <c r="AD6762" s="37">
        <v>3.481678657212985</v>
      </c>
    </row>
    <row r="6763" spans="27:30" x14ac:dyDescent="0.3">
      <c r="AA6763" s="37">
        <v>6743</v>
      </c>
      <c r="AB6763" s="37">
        <v>1.6939543760326854</v>
      </c>
      <c r="AC6763" s="37">
        <v>3.028469335756895</v>
      </c>
      <c r="AD6763" s="37">
        <v>3.3073499264392638</v>
      </c>
    </row>
    <row r="6764" spans="27:30" x14ac:dyDescent="0.3">
      <c r="AA6764" s="37">
        <v>6744</v>
      </c>
      <c r="AB6764" s="37">
        <v>1.8489704435251793</v>
      </c>
      <c r="AC6764" s="37">
        <v>2.7857486526475586</v>
      </c>
      <c r="AD6764" s="37">
        <v>3.4180910854459761</v>
      </c>
    </row>
    <row r="6765" spans="27:30" x14ac:dyDescent="0.3">
      <c r="AA6765" s="37">
        <v>6745</v>
      </c>
      <c r="AB6765" s="37">
        <v>1.7723802639469517</v>
      </c>
      <c r="AC6765" s="37">
        <v>2.8851602516570276</v>
      </c>
      <c r="AD6765" s="37">
        <v>3.2624884473805067</v>
      </c>
    </row>
    <row r="6766" spans="27:30" x14ac:dyDescent="0.3">
      <c r="AA6766" s="37">
        <v>6746</v>
      </c>
      <c r="AB6766" s="37">
        <v>1.802008777895197</v>
      </c>
      <c r="AC6766" s="37">
        <v>2.9826602251366512</v>
      </c>
      <c r="AD6766" s="37">
        <v>3.2628390040259898</v>
      </c>
    </row>
    <row r="6767" spans="27:30" x14ac:dyDescent="0.3">
      <c r="AA6767" s="37">
        <v>6747</v>
      </c>
      <c r="AB6767" s="37">
        <v>1.8152759681370554</v>
      </c>
      <c r="AC6767" s="37">
        <v>2.8753071500240468</v>
      </c>
      <c r="AD6767" s="37">
        <v>3.2001539035778013</v>
      </c>
    </row>
    <row r="6768" spans="27:30" x14ac:dyDescent="0.3">
      <c r="AA6768" s="37">
        <v>6748</v>
      </c>
      <c r="AB6768" s="37">
        <v>1.8886133607836917</v>
      </c>
      <c r="AC6768" s="37">
        <v>2.8795656657340509</v>
      </c>
      <c r="AD6768" s="37">
        <v>3.5478930872504977</v>
      </c>
    </row>
    <row r="6769" spans="27:30" x14ac:dyDescent="0.3">
      <c r="AA6769" s="37">
        <v>6749</v>
      </c>
      <c r="AB6769" s="37">
        <v>1.8524570598952261</v>
      </c>
      <c r="AC6769" s="37">
        <v>2.7110719962006495</v>
      </c>
      <c r="AD6769" s="37">
        <v>3.2153777204481209</v>
      </c>
    </row>
    <row r="6770" spans="27:30" x14ac:dyDescent="0.3">
      <c r="AA6770" s="37">
        <v>6750</v>
      </c>
      <c r="AB6770" s="37">
        <v>1.9416857306541506</v>
      </c>
      <c r="AC6770" s="37">
        <v>2.7842098545063276</v>
      </c>
      <c r="AD6770" s="37">
        <v>3.4744655148983332</v>
      </c>
    </row>
    <row r="6771" spans="27:30" x14ac:dyDescent="0.3">
      <c r="AA6771" s="37">
        <v>6751</v>
      </c>
      <c r="AB6771" s="37">
        <v>1.8377593526667473</v>
      </c>
      <c r="AC6771" s="37">
        <v>2.8084635615151492</v>
      </c>
      <c r="AD6771" s="37">
        <v>3.3671799829114621</v>
      </c>
    </row>
    <row r="6772" spans="27:30" x14ac:dyDescent="0.3">
      <c r="AA6772" s="37">
        <v>6752</v>
      </c>
      <c r="AB6772" s="37">
        <v>1.6656062559752085</v>
      </c>
      <c r="AC6772" s="37">
        <v>2.8389378109116006</v>
      </c>
      <c r="AD6772" s="37">
        <v>3.1895518117684074</v>
      </c>
    </row>
    <row r="6773" spans="27:30" x14ac:dyDescent="0.3">
      <c r="AA6773" s="37">
        <v>6753</v>
      </c>
      <c r="AB6773" s="37">
        <v>1.8136964601379906</v>
      </c>
      <c r="AC6773" s="37">
        <v>2.7418741960180508</v>
      </c>
      <c r="AD6773" s="37">
        <v>3.1391361490507648</v>
      </c>
    </row>
    <row r="6774" spans="27:30" x14ac:dyDescent="0.3">
      <c r="AA6774" s="37">
        <v>6754</v>
      </c>
      <c r="AB6774" s="37">
        <v>1.7823055153045473</v>
      </c>
      <c r="AC6774" s="37">
        <v>3.0437203025006143</v>
      </c>
      <c r="AD6774" s="37">
        <v>3.3021301974958917</v>
      </c>
    </row>
    <row r="6775" spans="27:30" x14ac:dyDescent="0.3">
      <c r="AA6775" s="37">
        <v>6755</v>
      </c>
      <c r="AB6775" s="37">
        <v>1.9221544787238201</v>
      </c>
      <c r="AC6775" s="37">
        <v>2.9575089435153767</v>
      </c>
      <c r="AD6775" s="37">
        <v>3.3758503159606055</v>
      </c>
    </row>
    <row r="6776" spans="27:30" x14ac:dyDescent="0.3">
      <c r="AA6776" s="37">
        <v>6756</v>
      </c>
      <c r="AB6776" s="37">
        <v>1.7722842035679249</v>
      </c>
      <c r="AC6776" s="37">
        <v>2.8581823441913166</v>
      </c>
      <c r="AD6776" s="37">
        <v>3.3765624579760138</v>
      </c>
    </row>
    <row r="6777" spans="27:30" x14ac:dyDescent="0.3">
      <c r="AA6777" s="37">
        <v>6757</v>
      </c>
      <c r="AB6777" s="37">
        <v>1.8021998956459291</v>
      </c>
      <c r="AC6777" s="37">
        <v>2.7719081962460583</v>
      </c>
      <c r="AD6777" s="37">
        <v>3.3810949171178226</v>
      </c>
    </row>
    <row r="6778" spans="27:30" x14ac:dyDescent="0.3">
      <c r="AA6778" s="37">
        <v>6758</v>
      </c>
      <c r="AB6778" s="37">
        <v>1.6756776672340301</v>
      </c>
      <c r="AC6778" s="37">
        <v>2.8728913161721232</v>
      </c>
      <c r="AD6778" s="37">
        <v>3.4176981338634094</v>
      </c>
    </row>
    <row r="6779" spans="27:30" x14ac:dyDescent="0.3">
      <c r="AA6779" s="37">
        <v>6759</v>
      </c>
      <c r="AB6779" s="37">
        <v>1.7401207906758256</v>
      </c>
      <c r="AC6779" s="37">
        <v>2.6931617544945587</v>
      </c>
      <c r="AD6779" s="37">
        <v>3.395612933172024</v>
      </c>
    </row>
    <row r="6780" spans="27:30" x14ac:dyDescent="0.3">
      <c r="AA6780" s="37">
        <v>6760</v>
      </c>
      <c r="AB6780" s="37">
        <v>1.750887025929583</v>
      </c>
      <c r="AC6780" s="37">
        <v>2.9516731389411373</v>
      </c>
      <c r="AD6780" s="37">
        <v>3.5117408941812691</v>
      </c>
    </row>
    <row r="6781" spans="27:30" x14ac:dyDescent="0.3">
      <c r="AA6781" s="37">
        <v>6761</v>
      </c>
      <c r="AB6781" s="37">
        <v>1.8447902758777115</v>
      </c>
      <c r="AC6781" s="37">
        <v>2.8330281044370933</v>
      </c>
      <c r="AD6781" s="37">
        <v>3.5027840065169316</v>
      </c>
    </row>
    <row r="6782" spans="27:30" x14ac:dyDescent="0.3">
      <c r="AA6782" s="37">
        <v>6762</v>
      </c>
      <c r="AB6782" s="37">
        <v>1.7372795661153262</v>
      </c>
      <c r="AC6782" s="37">
        <v>2.750558696801888</v>
      </c>
      <c r="AD6782" s="37">
        <v>3.6199947067418323</v>
      </c>
    </row>
    <row r="6783" spans="27:30" x14ac:dyDescent="0.3">
      <c r="AA6783" s="37">
        <v>6763</v>
      </c>
      <c r="AB6783" s="37">
        <v>1.833675181937453</v>
      </c>
      <c r="AC6783" s="37">
        <v>2.7825730040694565</v>
      </c>
      <c r="AD6783" s="37">
        <v>3.1649360369244417</v>
      </c>
    </row>
    <row r="6784" spans="27:30" x14ac:dyDescent="0.3">
      <c r="AA6784" s="37">
        <v>6764</v>
      </c>
      <c r="AB6784" s="37">
        <v>1.8646779002130465</v>
      </c>
      <c r="AC6784" s="37">
        <v>2.6703617471190473</v>
      </c>
      <c r="AD6784" s="37">
        <v>3.2529954354499684</v>
      </c>
    </row>
    <row r="6785" spans="27:30" x14ac:dyDescent="0.3">
      <c r="AA6785" s="37">
        <v>6765</v>
      </c>
      <c r="AB6785" s="37">
        <v>1.7729068923266076</v>
      </c>
      <c r="AC6785" s="37">
        <v>2.8646927051127369</v>
      </c>
      <c r="AD6785" s="37">
        <v>3.3773419107877598</v>
      </c>
    </row>
    <row r="6786" spans="27:30" x14ac:dyDescent="0.3">
      <c r="AA6786" s="37">
        <v>6766</v>
      </c>
      <c r="AB6786" s="37">
        <v>1.8248071232431509</v>
      </c>
      <c r="AC6786" s="37">
        <v>2.8310381726079537</v>
      </c>
      <c r="AD6786" s="37">
        <v>3.3910544429932052</v>
      </c>
    </row>
    <row r="6787" spans="27:30" x14ac:dyDescent="0.3">
      <c r="AA6787" s="37">
        <v>6767</v>
      </c>
      <c r="AB6787" s="37">
        <v>1.7833887119509626</v>
      </c>
      <c r="AC6787" s="37">
        <v>2.8127400567952248</v>
      </c>
      <c r="AD6787" s="37">
        <v>3.2194126346492022</v>
      </c>
    </row>
    <row r="6788" spans="27:30" x14ac:dyDescent="0.3">
      <c r="AA6788" s="37">
        <v>6768</v>
      </c>
      <c r="AB6788" s="37">
        <v>1.8140677910620855</v>
      </c>
      <c r="AC6788" s="37">
        <v>2.8745867980882416</v>
      </c>
      <c r="AD6788" s="37">
        <v>3.5598026763942467</v>
      </c>
    </row>
    <row r="6789" spans="27:30" x14ac:dyDescent="0.3">
      <c r="AA6789" s="37">
        <v>6769</v>
      </c>
      <c r="AB6789" s="37">
        <v>1.7067510156278407</v>
      </c>
      <c r="AC6789" s="37">
        <v>2.9848669324546138</v>
      </c>
      <c r="AD6789" s="37">
        <v>3.3974609859507146</v>
      </c>
    </row>
    <row r="6790" spans="27:30" x14ac:dyDescent="0.3">
      <c r="AA6790" s="37">
        <v>6770</v>
      </c>
      <c r="AB6790" s="37">
        <v>1.9139942718508158</v>
      </c>
      <c r="AC6790" s="37">
        <v>2.7349279531278645</v>
      </c>
      <c r="AD6790" s="37">
        <v>3.5556620651712358</v>
      </c>
    </row>
    <row r="6791" spans="27:30" x14ac:dyDescent="0.3">
      <c r="AA6791" s="37">
        <v>6771</v>
      </c>
      <c r="AB6791" s="37">
        <v>1.7317852383286096</v>
      </c>
      <c r="AC6791" s="37">
        <v>2.7383665068227114</v>
      </c>
      <c r="AD6791" s="37">
        <v>3.4416337808805122</v>
      </c>
    </row>
    <row r="6792" spans="27:30" x14ac:dyDescent="0.3">
      <c r="AA6792" s="37">
        <v>6772</v>
      </c>
      <c r="AB6792" s="37">
        <v>1.7791166578988424</v>
      </c>
      <c r="AC6792" s="37">
        <v>2.890161696789348</v>
      </c>
      <c r="AD6792" s="37">
        <v>3.2610526928503782</v>
      </c>
    </row>
    <row r="6793" spans="27:30" x14ac:dyDescent="0.3">
      <c r="AA6793" s="37">
        <v>6773</v>
      </c>
      <c r="AB6793" s="37">
        <v>1.7253817217672467</v>
      </c>
      <c r="AC6793" s="37">
        <v>2.9344367775439593</v>
      </c>
      <c r="AD6793" s="37">
        <v>3.2492775640061105</v>
      </c>
    </row>
    <row r="6794" spans="27:30" x14ac:dyDescent="0.3">
      <c r="AA6794" s="37">
        <v>6774</v>
      </c>
      <c r="AB6794" s="37">
        <v>1.7240814474906956</v>
      </c>
      <c r="AC6794" s="37">
        <v>2.9440822449848989</v>
      </c>
      <c r="AD6794" s="37">
        <v>3.4728977524811535</v>
      </c>
    </row>
    <row r="6795" spans="27:30" x14ac:dyDescent="0.3">
      <c r="AA6795" s="37">
        <v>6775</v>
      </c>
      <c r="AB6795" s="37">
        <v>1.7546595037734032</v>
      </c>
      <c r="AC6795" s="37">
        <v>2.9467031991450252</v>
      </c>
      <c r="AD6795" s="37">
        <v>3.4692023267720939</v>
      </c>
    </row>
    <row r="6796" spans="27:30" x14ac:dyDescent="0.3">
      <c r="AA6796" s="37">
        <v>6776</v>
      </c>
      <c r="AB6796" s="37">
        <v>1.8643296642548781</v>
      </c>
      <c r="AC6796" s="37">
        <v>2.8394905671652571</v>
      </c>
      <c r="AD6796" s="37">
        <v>3.3728371294636932</v>
      </c>
    </row>
    <row r="6797" spans="27:30" x14ac:dyDescent="0.3">
      <c r="AA6797" s="37">
        <v>6777</v>
      </c>
      <c r="AB6797" s="37">
        <v>1.6914274617021183</v>
      </c>
      <c r="AC6797" s="37">
        <v>2.9463306054156715</v>
      </c>
      <c r="AD6797" s="37">
        <v>3.4369846283410839</v>
      </c>
    </row>
    <row r="6798" spans="27:30" x14ac:dyDescent="0.3">
      <c r="AA6798" s="37">
        <v>6778</v>
      </c>
      <c r="AB6798" s="37">
        <v>1.7493843597550713</v>
      </c>
      <c r="AC6798" s="37">
        <v>2.9136341176156444</v>
      </c>
      <c r="AD6798" s="37">
        <v>3.3252748132124195</v>
      </c>
    </row>
    <row r="6799" spans="27:30" x14ac:dyDescent="0.3">
      <c r="AA6799" s="37">
        <v>6779</v>
      </c>
      <c r="AB6799" s="37">
        <v>1.8705275798917989</v>
      </c>
      <c r="AC6799" s="37">
        <v>2.8626088641155509</v>
      </c>
      <c r="AD6799" s="37">
        <v>3.3677014630077582</v>
      </c>
    </row>
    <row r="6800" spans="27:30" x14ac:dyDescent="0.3">
      <c r="AA6800" s="37">
        <v>6780</v>
      </c>
      <c r="AB6800" s="37">
        <v>1.735143378734779</v>
      </c>
      <c r="AC6800" s="37">
        <v>2.7268270118487634</v>
      </c>
      <c r="AD6800" s="37">
        <v>3.4962574059213973</v>
      </c>
    </row>
    <row r="6801" spans="27:30" x14ac:dyDescent="0.3">
      <c r="AA6801" s="37">
        <v>6781</v>
      </c>
      <c r="AB6801" s="37">
        <v>1.7956133408545021</v>
      </c>
      <c r="AC6801" s="37">
        <v>2.720330291719983</v>
      </c>
      <c r="AD6801" s="37">
        <v>3.3575928590811737</v>
      </c>
    </row>
    <row r="6802" spans="27:30" x14ac:dyDescent="0.3">
      <c r="AA6802" s="37">
        <v>6782</v>
      </c>
      <c r="AB6802" s="37">
        <v>1.752860209277838</v>
      </c>
      <c r="AC6802" s="37">
        <v>2.9117951151036436</v>
      </c>
      <c r="AD6802" s="37">
        <v>3.1902316598580018</v>
      </c>
    </row>
    <row r="6803" spans="27:30" x14ac:dyDescent="0.3">
      <c r="AA6803" s="37">
        <v>6783</v>
      </c>
      <c r="AB6803" s="37">
        <v>1.8130453776202262</v>
      </c>
      <c r="AC6803" s="37">
        <v>2.8506887419525833</v>
      </c>
      <c r="AD6803" s="37">
        <v>3.2865396004679672</v>
      </c>
    </row>
    <row r="6804" spans="27:30" x14ac:dyDescent="0.3">
      <c r="AA6804" s="37">
        <v>6784</v>
      </c>
      <c r="AB6804" s="37">
        <v>1.7463254614125727</v>
      </c>
      <c r="AC6804" s="37">
        <v>2.7758667166729323</v>
      </c>
      <c r="AD6804" s="37">
        <v>3.3132023027957258</v>
      </c>
    </row>
    <row r="6805" spans="27:30" x14ac:dyDescent="0.3">
      <c r="AA6805" s="37">
        <v>6785</v>
      </c>
      <c r="AB6805" s="37">
        <v>1.7415717720649231</v>
      </c>
      <c r="AC6805" s="37">
        <v>2.8223934432397719</v>
      </c>
      <c r="AD6805" s="37">
        <v>3.1368291860387645</v>
      </c>
    </row>
    <row r="6806" spans="27:30" x14ac:dyDescent="0.3">
      <c r="AA6806" s="37">
        <v>6786</v>
      </c>
      <c r="AB6806" s="37">
        <v>1.7791654010374705</v>
      </c>
      <c r="AC6806" s="37">
        <v>2.7760590111110841</v>
      </c>
      <c r="AD6806" s="37">
        <v>3.2759219404768323</v>
      </c>
    </row>
    <row r="6807" spans="27:30" x14ac:dyDescent="0.3">
      <c r="AA6807" s="37">
        <v>6787</v>
      </c>
      <c r="AB6807" s="37">
        <v>1.7322095034760423</v>
      </c>
      <c r="AC6807" s="37">
        <v>2.9553004647917298</v>
      </c>
      <c r="AD6807" s="37">
        <v>3.4568097590390678</v>
      </c>
    </row>
    <row r="6808" spans="27:30" x14ac:dyDescent="0.3">
      <c r="AA6808" s="37">
        <v>6788</v>
      </c>
      <c r="AB6808" s="37">
        <v>1.8101383888223239</v>
      </c>
      <c r="AC6808" s="37">
        <v>2.8994341048688916</v>
      </c>
      <c r="AD6808" s="37">
        <v>3.1937260333820268</v>
      </c>
    </row>
    <row r="6809" spans="27:30" x14ac:dyDescent="0.3">
      <c r="AA6809" s="37">
        <v>6789</v>
      </c>
      <c r="AB6809" s="37">
        <v>1.8021033007024285</v>
      </c>
      <c r="AC6809" s="37">
        <v>3.0832109841157518</v>
      </c>
      <c r="AD6809" s="37">
        <v>3.3117567467507611</v>
      </c>
    </row>
    <row r="6810" spans="27:30" x14ac:dyDescent="0.3">
      <c r="AA6810" s="37">
        <v>6790</v>
      </c>
      <c r="AB6810" s="37">
        <v>1.8520004325490205</v>
      </c>
      <c r="AC6810" s="37">
        <v>2.8804230742364778</v>
      </c>
      <c r="AD6810" s="37">
        <v>3.2919817712790982</v>
      </c>
    </row>
    <row r="6811" spans="27:30" x14ac:dyDescent="0.3">
      <c r="AA6811" s="37">
        <v>6791</v>
      </c>
      <c r="AB6811" s="37">
        <v>1.9686876749665463</v>
      </c>
      <c r="AC6811" s="37">
        <v>2.5610800000723701</v>
      </c>
      <c r="AD6811" s="37">
        <v>3.3938231531371312</v>
      </c>
    </row>
    <row r="6812" spans="27:30" x14ac:dyDescent="0.3">
      <c r="AA6812" s="37">
        <v>6792</v>
      </c>
      <c r="AB6812" s="37">
        <v>1.7949576948904777</v>
      </c>
      <c r="AC6812" s="37">
        <v>2.8948257066043057</v>
      </c>
      <c r="AD6812" s="37">
        <v>3.5254192387432726</v>
      </c>
    </row>
    <row r="6813" spans="27:30" x14ac:dyDescent="0.3">
      <c r="AA6813" s="37">
        <v>6793</v>
      </c>
      <c r="AB6813" s="37">
        <v>1.7700549040099012</v>
      </c>
      <c r="AC6813" s="37">
        <v>2.6552780862562937</v>
      </c>
      <c r="AD6813" s="37">
        <v>3.2211757381523118</v>
      </c>
    </row>
    <row r="6814" spans="27:30" x14ac:dyDescent="0.3">
      <c r="AA6814" s="37">
        <v>6794</v>
      </c>
      <c r="AB6814" s="37">
        <v>1.7582331422977557</v>
      </c>
      <c r="AC6814" s="37">
        <v>2.8800042725178385</v>
      </c>
      <c r="AD6814" s="37">
        <v>3.3411973274844105</v>
      </c>
    </row>
    <row r="6815" spans="27:30" x14ac:dyDescent="0.3">
      <c r="AA6815" s="37">
        <v>6795</v>
      </c>
      <c r="AB6815" s="37">
        <v>1.7835559784095458</v>
      </c>
      <c r="AC6815" s="37">
        <v>2.9525933017328612</v>
      </c>
      <c r="AD6815" s="37">
        <v>3.4132905158435478</v>
      </c>
    </row>
    <row r="6816" spans="27:30" x14ac:dyDescent="0.3">
      <c r="AA6816" s="37">
        <v>6796</v>
      </c>
      <c r="AB6816" s="37">
        <v>1.76130323995997</v>
      </c>
      <c r="AC6816" s="37">
        <v>2.9610197785141086</v>
      </c>
      <c r="AD6816" s="37">
        <v>3.3829282723879146</v>
      </c>
    </row>
    <row r="6817" spans="27:30" x14ac:dyDescent="0.3">
      <c r="AA6817" s="37">
        <v>6797</v>
      </c>
      <c r="AB6817" s="37">
        <v>1.8109160416588166</v>
      </c>
      <c r="AC6817" s="37">
        <v>2.9091764756202445</v>
      </c>
      <c r="AD6817" s="37">
        <v>3.3622548790167315</v>
      </c>
    </row>
    <row r="6818" spans="27:30" x14ac:dyDescent="0.3">
      <c r="AA6818" s="37">
        <v>6798</v>
      </c>
      <c r="AB6818" s="37">
        <v>1.7345907098558142</v>
      </c>
      <c r="AC6818" s="37">
        <v>2.9683283034418406</v>
      </c>
      <c r="AD6818" s="37">
        <v>3.1887066745711752</v>
      </c>
    </row>
    <row r="6819" spans="27:30" x14ac:dyDescent="0.3">
      <c r="AA6819" s="37">
        <v>6799</v>
      </c>
      <c r="AB6819" s="37">
        <v>1.7782155773866848</v>
      </c>
      <c r="AC6819" s="37">
        <v>2.8225951331774053</v>
      </c>
      <c r="AD6819" s="37">
        <v>3.3675762580589148</v>
      </c>
    </row>
    <row r="6820" spans="27:30" x14ac:dyDescent="0.3">
      <c r="AA6820" s="37">
        <v>6800</v>
      </c>
      <c r="AB6820" s="37">
        <v>1.8737277568681818</v>
      </c>
      <c r="AC6820" s="37">
        <v>2.70686612497986</v>
      </c>
      <c r="AD6820" s="37">
        <v>3.1129318114584001</v>
      </c>
    </row>
    <row r="6821" spans="27:30" x14ac:dyDescent="0.3">
      <c r="AA6821" s="37">
        <v>6801</v>
      </c>
      <c r="AB6821" s="37">
        <v>1.827728513670863</v>
      </c>
      <c r="AC6821" s="37">
        <v>2.7571315245325905</v>
      </c>
      <c r="AD6821" s="37">
        <v>3.2059133457423226</v>
      </c>
    </row>
    <row r="6822" spans="27:30" x14ac:dyDescent="0.3">
      <c r="AA6822" s="37">
        <v>6802</v>
      </c>
      <c r="AB6822" s="37">
        <v>1.8294499340880768</v>
      </c>
      <c r="AC6822" s="37">
        <v>2.8956420001021725</v>
      </c>
      <c r="AD6822" s="37">
        <v>3.3094783347134369</v>
      </c>
    </row>
    <row r="6823" spans="27:30" x14ac:dyDescent="0.3">
      <c r="AA6823" s="37">
        <v>6803</v>
      </c>
      <c r="AB6823" s="37">
        <v>1.7981969317204198</v>
      </c>
      <c r="AC6823" s="37">
        <v>2.9381030169527658</v>
      </c>
      <c r="AD6823" s="37">
        <v>3.4205610296821907</v>
      </c>
    </row>
    <row r="6824" spans="27:30" x14ac:dyDescent="0.3">
      <c r="AA6824" s="37">
        <v>6804</v>
      </c>
      <c r="AB6824" s="37">
        <v>1.835050514086864</v>
      </c>
      <c r="AC6824" s="37">
        <v>2.8996688925232337</v>
      </c>
      <c r="AD6824" s="37">
        <v>3.2585902804145106</v>
      </c>
    </row>
    <row r="6825" spans="27:30" x14ac:dyDescent="0.3">
      <c r="AA6825" s="37">
        <v>6805</v>
      </c>
      <c r="AB6825" s="37">
        <v>1.7866374356090091</v>
      </c>
      <c r="AC6825" s="37">
        <v>2.9782172712532722</v>
      </c>
      <c r="AD6825" s="37">
        <v>3.3678704174805274</v>
      </c>
    </row>
    <row r="6826" spans="27:30" x14ac:dyDescent="0.3">
      <c r="AA6826" s="37">
        <v>6806</v>
      </c>
      <c r="AB6826" s="37">
        <v>1.7548343577631214</v>
      </c>
      <c r="AC6826" s="37">
        <v>2.786243062356395</v>
      </c>
      <c r="AD6826" s="37">
        <v>3.3920644636640143</v>
      </c>
    </row>
    <row r="6827" spans="27:30" x14ac:dyDescent="0.3">
      <c r="AA6827" s="37">
        <v>6807</v>
      </c>
      <c r="AB6827" s="37">
        <v>1.8172455021371141</v>
      </c>
      <c r="AC6827" s="37">
        <v>2.7394037868996945</v>
      </c>
      <c r="AD6827" s="37">
        <v>3.3832500126331619</v>
      </c>
    </row>
    <row r="6828" spans="27:30" x14ac:dyDescent="0.3">
      <c r="AA6828" s="37">
        <v>6808</v>
      </c>
      <c r="AB6828" s="37">
        <v>1.842452556327153</v>
      </c>
      <c r="AC6828" s="37">
        <v>2.9777230674047277</v>
      </c>
      <c r="AD6828" s="37">
        <v>3.3467138291052221</v>
      </c>
    </row>
    <row r="6829" spans="27:30" x14ac:dyDescent="0.3">
      <c r="AA6829" s="37">
        <v>6809</v>
      </c>
      <c r="AB6829" s="37">
        <v>1.7632990517516935</v>
      </c>
      <c r="AC6829" s="37">
        <v>2.7058869781636923</v>
      </c>
      <c r="AD6829" s="37">
        <v>3.3036111557873697</v>
      </c>
    </row>
    <row r="6830" spans="27:30" x14ac:dyDescent="0.3">
      <c r="AA6830" s="37">
        <v>6810</v>
      </c>
      <c r="AB6830" s="37">
        <v>1.883485520248493</v>
      </c>
      <c r="AC6830" s="37">
        <v>3.0031261760716514</v>
      </c>
      <c r="AD6830" s="37">
        <v>3.3580992465242709</v>
      </c>
    </row>
    <row r="6831" spans="27:30" x14ac:dyDescent="0.3">
      <c r="AA6831" s="37">
        <v>6811</v>
      </c>
      <c r="AB6831" s="37">
        <v>1.7582536484738276</v>
      </c>
      <c r="AC6831" s="37">
        <v>2.8291257889668953</v>
      </c>
      <c r="AD6831" s="37">
        <v>3.2929155134869914</v>
      </c>
    </row>
    <row r="6832" spans="27:30" x14ac:dyDescent="0.3">
      <c r="AA6832" s="37">
        <v>6812</v>
      </c>
      <c r="AB6832" s="37">
        <v>1.8432096789141894</v>
      </c>
      <c r="AC6832" s="37">
        <v>2.7097143265253578</v>
      </c>
      <c r="AD6832" s="37">
        <v>3.278884569099052</v>
      </c>
    </row>
    <row r="6833" spans="27:30" x14ac:dyDescent="0.3">
      <c r="AA6833" s="37">
        <v>6813</v>
      </c>
      <c r="AB6833" s="37">
        <v>1.7135088621568981</v>
      </c>
      <c r="AC6833" s="37">
        <v>2.9304888750028719</v>
      </c>
      <c r="AD6833" s="37">
        <v>3.3396403985670315</v>
      </c>
    </row>
    <row r="6834" spans="27:30" x14ac:dyDescent="0.3">
      <c r="AA6834" s="37">
        <v>6814</v>
      </c>
      <c r="AB6834" s="37">
        <v>1.7144418220372171</v>
      </c>
      <c r="AC6834" s="37">
        <v>2.7407458943399541</v>
      </c>
      <c r="AD6834" s="37">
        <v>3.0543942915394364</v>
      </c>
    </row>
    <row r="6835" spans="27:30" x14ac:dyDescent="0.3">
      <c r="AA6835" s="37">
        <v>6815</v>
      </c>
      <c r="AB6835" s="37">
        <v>1.7779636294344796</v>
      </c>
      <c r="AC6835" s="37">
        <v>2.7197579395385851</v>
      </c>
      <c r="AD6835" s="37">
        <v>3.4063999794695659</v>
      </c>
    </row>
    <row r="6836" spans="27:30" x14ac:dyDescent="0.3">
      <c r="AA6836" s="37">
        <v>6816</v>
      </c>
      <c r="AB6836" s="37">
        <v>1.8167019200736547</v>
      </c>
      <c r="AC6836" s="37">
        <v>2.895938440993683</v>
      </c>
      <c r="AD6836" s="37">
        <v>3.4742046555783088</v>
      </c>
    </row>
    <row r="6837" spans="27:30" x14ac:dyDescent="0.3">
      <c r="AA6837" s="37">
        <v>6817</v>
      </c>
      <c r="AB6837" s="37">
        <v>1.7295316436468524</v>
      </c>
      <c r="AC6837" s="37">
        <v>2.653419114289898</v>
      </c>
      <c r="AD6837" s="37">
        <v>3.2991734455613146</v>
      </c>
    </row>
    <row r="6838" spans="27:30" x14ac:dyDescent="0.3">
      <c r="AA6838" s="37">
        <v>6818</v>
      </c>
      <c r="AB6838" s="37">
        <v>1.8193304677506741</v>
      </c>
      <c r="AC6838" s="37">
        <v>2.8150734017045433</v>
      </c>
      <c r="AD6838" s="37">
        <v>3.0904903737864471</v>
      </c>
    </row>
    <row r="6839" spans="27:30" x14ac:dyDescent="0.3">
      <c r="AA6839" s="37">
        <v>6819</v>
      </c>
      <c r="AB6839" s="37">
        <v>1.8275531617836078</v>
      </c>
      <c r="AC6839" s="37">
        <v>2.7887583939113543</v>
      </c>
      <c r="AD6839" s="37">
        <v>3.4070470925920828</v>
      </c>
    </row>
    <row r="6840" spans="27:30" x14ac:dyDescent="0.3">
      <c r="AA6840" s="37">
        <v>6820</v>
      </c>
      <c r="AB6840" s="37">
        <v>1.7309946373237841</v>
      </c>
      <c r="AC6840" s="37">
        <v>2.7435265436861069</v>
      </c>
      <c r="AD6840" s="37">
        <v>3.5750616580215961</v>
      </c>
    </row>
    <row r="6841" spans="27:30" x14ac:dyDescent="0.3">
      <c r="AA6841" s="37">
        <v>6821</v>
      </c>
      <c r="AB6841" s="37">
        <v>1.6931835174825924</v>
      </c>
      <c r="AC6841" s="37">
        <v>2.6288576293493833</v>
      </c>
      <c r="AD6841" s="37">
        <v>3.3307194443957271</v>
      </c>
    </row>
    <row r="6842" spans="27:30" x14ac:dyDescent="0.3">
      <c r="AA6842" s="37">
        <v>6822</v>
      </c>
      <c r="AB6842" s="37">
        <v>1.827868793197617</v>
      </c>
      <c r="AC6842" s="37">
        <v>2.8270065318592499</v>
      </c>
      <c r="AD6842" s="37">
        <v>3.6206367354059723</v>
      </c>
    </row>
    <row r="6843" spans="27:30" x14ac:dyDescent="0.3">
      <c r="AA6843" s="37">
        <v>6823</v>
      </c>
      <c r="AB6843" s="37">
        <v>1.8106785103083318</v>
      </c>
      <c r="AC6843" s="37">
        <v>2.8135310701927079</v>
      </c>
      <c r="AD6843" s="37">
        <v>3.4660077261464348</v>
      </c>
    </row>
    <row r="6844" spans="27:30" x14ac:dyDescent="0.3">
      <c r="AA6844" s="37">
        <v>6824</v>
      </c>
      <c r="AB6844" s="37">
        <v>1.8318242286077975</v>
      </c>
      <c r="AC6844" s="37">
        <v>3.046597474077938</v>
      </c>
      <c r="AD6844" s="37">
        <v>3.3979839861948431</v>
      </c>
    </row>
    <row r="6845" spans="27:30" x14ac:dyDescent="0.3">
      <c r="AA6845" s="37">
        <v>6825</v>
      </c>
      <c r="AB6845" s="37">
        <v>1.7457286941808636</v>
      </c>
      <c r="AC6845" s="37">
        <v>2.8188525866513174</v>
      </c>
      <c r="AD6845" s="37">
        <v>3.1111910962943106</v>
      </c>
    </row>
    <row r="6846" spans="27:30" x14ac:dyDescent="0.3">
      <c r="AA6846" s="37">
        <v>6826</v>
      </c>
      <c r="AB6846" s="37">
        <v>1.8200657083921761</v>
      </c>
      <c r="AC6846" s="37">
        <v>2.8632447177852294</v>
      </c>
      <c r="AD6846" s="37">
        <v>3.5293808410167982</v>
      </c>
    </row>
    <row r="6847" spans="27:30" x14ac:dyDescent="0.3">
      <c r="AA6847" s="37">
        <v>6827</v>
      </c>
      <c r="AB6847" s="37">
        <v>1.82762948155422</v>
      </c>
      <c r="AC6847" s="37">
        <v>2.7319418454759807</v>
      </c>
      <c r="AD6847" s="37">
        <v>3.4790304832488266</v>
      </c>
    </row>
    <row r="6848" spans="27:30" x14ac:dyDescent="0.3">
      <c r="AA6848" s="37">
        <v>6828</v>
      </c>
      <c r="AB6848" s="37">
        <v>1.7305438977552565</v>
      </c>
      <c r="AC6848" s="37">
        <v>2.7558380467948154</v>
      </c>
      <c r="AD6848" s="37">
        <v>3.0886099471585822</v>
      </c>
    </row>
    <row r="6849" spans="27:30" x14ac:dyDescent="0.3">
      <c r="AA6849" s="37">
        <v>6829</v>
      </c>
      <c r="AB6849" s="37">
        <v>1.826377822965686</v>
      </c>
      <c r="AC6849" s="37">
        <v>2.8647162246168771</v>
      </c>
      <c r="AD6849" s="37">
        <v>3.4412397835945669</v>
      </c>
    </row>
    <row r="6850" spans="27:30" x14ac:dyDescent="0.3">
      <c r="AA6850" s="37">
        <v>6830</v>
      </c>
      <c r="AB6850" s="37">
        <v>1.8138350877873681</v>
      </c>
      <c r="AC6850" s="37">
        <v>2.8910968308377578</v>
      </c>
      <c r="AD6850" s="37">
        <v>3.50157500997899</v>
      </c>
    </row>
    <row r="6851" spans="27:30" x14ac:dyDescent="0.3">
      <c r="AA6851" s="37">
        <v>6831</v>
      </c>
      <c r="AB6851" s="37">
        <v>1.885403111639945</v>
      </c>
      <c r="AC6851" s="37">
        <v>2.9393655317127712</v>
      </c>
      <c r="AD6851" s="37">
        <v>3.7196163151752546</v>
      </c>
    </row>
    <row r="6852" spans="27:30" x14ac:dyDescent="0.3">
      <c r="AA6852" s="37">
        <v>6832</v>
      </c>
      <c r="AB6852" s="37">
        <v>1.742453299941594</v>
      </c>
      <c r="AC6852" s="37">
        <v>2.798190976052136</v>
      </c>
      <c r="AD6852" s="37">
        <v>3.2693511095263426</v>
      </c>
    </row>
    <row r="6853" spans="27:30" x14ac:dyDescent="0.3">
      <c r="AA6853" s="37">
        <v>6833</v>
      </c>
      <c r="AB6853" s="37">
        <v>1.7619844200586607</v>
      </c>
      <c r="AC6853" s="37">
        <v>2.8859238759470038</v>
      </c>
      <c r="AD6853" s="37">
        <v>3.3951962926138743</v>
      </c>
    </row>
    <row r="6854" spans="27:30" x14ac:dyDescent="0.3">
      <c r="AA6854" s="37">
        <v>6834</v>
      </c>
      <c r="AB6854" s="37">
        <v>1.7451316838586803</v>
      </c>
      <c r="AC6854" s="37">
        <v>2.8248283662290374</v>
      </c>
      <c r="AD6854" s="37">
        <v>3.1457776186489359</v>
      </c>
    </row>
    <row r="6855" spans="27:30" x14ac:dyDescent="0.3">
      <c r="AA6855" s="37">
        <v>6835</v>
      </c>
      <c r="AB6855" s="37">
        <v>1.7074497181464383</v>
      </c>
      <c r="AC6855" s="37">
        <v>2.9505257852645768</v>
      </c>
      <c r="AD6855" s="37">
        <v>3.5181081735777018</v>
      </c>
    </row>
    <row r="6856" spans="27:30" x14ac:dyDescent="0.3">
      <c r="AA6856" s="37">
        <v>6836</v>
      </c>
      <c r="AB6856" s="37">
        <v>1.8953204494379063</v>
      </c>
      <c r="AC6856" s="37">
        <v>2.9389818151256764</v>
      </c>
      <c r="AD6856" s="37">
        <v>3.3240711939799445</v>
      </c>
    </row>
    <row r="6857" spans="27:30" x14ac:dyDescent="0.3">
      <c r="AA6857" s="37">
        <v>6837</v>
      </c>
      <c r="AB6857" s="37">
        <v>1.7895584632643113</v>
      </c>
      <c r="AC6857" s="37">
        <v>2.825227813044759</v>
      </c>
      <c r="AD6857" s="37">
        <v>3.4458669490040741</v>
      </c>
    </row>
    <row r="6858" spans="27:30" x14ac:dyDescent="0.3">
      <c r="AA6858" s="37">
        <v>6838</v>
      </c>
      <c r="AB6858" s="37">
        <v>1.7736911742874717</v>
      </c>
      <c r="AC6858" s="37">
        <v>2.9754974092003876</v>
      </c>
      <c r="AD6858" s="37">
        <v>3.3273021160162526</v>
      </c>
    </row>
    <row r="6859" spans="27:30" x14ac:dyDescent="0.3">
      <c r="AA6859" s="37">
        <v>6839</v>
      </c>
      <c r="AB6859" s="37">
        <v>1.6903777952007955</v>
      </c>
      <c r="AC6859" s="37">
        <v>2.7099935610797368</v>
      </c>
      <c r="AD6859" s="37">
        <v>3.2715238612640878</v>
      </c>
    </row>
    <row r="6860" spans="27:30" x14ac:dyDescent="0.3">
      <c r="AA6860" s="37">
        <v>6840</v>
      </c>
      <c r="AB6860" s="37">
        <v>1.783203011083049</v>
      </c>
      <c r="AC6860" s="37">
        <v>2.7855932889427333</v>
      </c>
      <c r="AD6860" s="37">
        <v>3.3653725054005981</v>
      </c>
    </row>
    <row r="6861" spans="27:30" x14ac:dyDescent="0.3">
      <c r="AA6861" s="37">
        <v>6841</v>
      </c>
      <c r="AB6861" s="37">
        <v>1.8341755018798209</v>
      </c>
      <c r="AC6861" s="37">
        <v>2.8512598043693433</v>
      </c>
      <c r="AD6861" s="37">
        <v>3.2133257632326133</v>
      </c>
    </row>
    <row r="6862" spans="27:30" x14ac:dyDescent="0.3">
      <c r="AA6862" s="37">
        <v>6842</v>
      </c>
      <c r="AB6862" s="37">
        <v>1.7809916546072126</v>
      </c>
      <c r="AC6862" s="37">
        <v>2.8425687291335135</v>
      </c>
      <c r="AD6862" s="37">
        <v>3.110739157187989</v>
      </c>
    </row>
    <row r="6863" spans="27:30" x14ac:dyDescent="0.3">
      <c r="AA6863" s="37">
        <v>6843</v>
      </c>
      <c r="AB6863" s="37">
        <v>1.765987986331099</v>
      </c>
      <c r="AC6863" s="37">
        <v>2.8402944787749913</v>
      </c>
      <c r="AD6863" s="37">
        <v>3.2153788195914257</v>
      </c>
    </row>
    <row r="6864" spans="27:30" x14ac:dyDescent="0.3">
      <c r="AA6864" s="37">
        <v>6844</v>
      </c>
      <c r="AB6864" s="37">
        <v>1.801182440119848</v>
      </c>
      <c r="AC6864" s="37">
        <v>2.8819739379542622</v>
      </c>
      <c r="AD6864" s="37">
        <v>3.1128846086574149</v>
      </c>
    </row>
    <row r="6865" spans="27:30" x14ac:dyDescent="0.3">
      <c r="AA6865" s="37">
        <v>6845</v>
      </c>
      <c r="AB6865" s="37">
        <v>1.8115968391392598</v>
      </c>
      <c r="AC6865" s="37">
        <v>2.7313833531946452</v>
      </c>
      <c r="AD6865" s="37">
        <v>3.6219896446145068</v>
      </c>
    </row>
    <row r="6866" spans="27:30" x14ac:dyDescent="0.3">
      <c r="AA6866" s="37">
        <v>6846</v>
      </c>
      <c r="AB6866" s="37">
        <v>1.8098585489352601</v>
      </c>
      <c r="AC6866" s="37">
        <v>2.8191373141726195</v>
      </c>
      <c r="AD6866" s="37">
        <v>3.0837014316728504</v>
      </c>
    </row>
    <row r="6867" spans="27:30" x14ac:dyDescent="0.3">
      <c r="AA6867" s="37">
        <v>6847</v>
      </c>
      <c r="AB6867" s="37">
        <v>1.7787570363615202</v>
      </c>
      <c r="AC6867" s="37">
        <v>2.8127432230103153</v>
      </c>
      <c r="AD6867" s="37">
        <v>3.1378490604863032</v>
      </c>
    </row>
    <row r="6868" spans="27:30" x14ac:dyDescent="0.3">
      <c r="AA6868" s="37">
        <v>6848</v>
      </c>
      <c r="AB6868" s="37">
        <v>1.835541907273913</v>
      </c>
      <c r="AC6868" s="37">
        <v>2.8602977383164387</v>
      </c>
      <c r="AD6868" s="37">
        <v>3.2197302149359213</v>
      </c>
    </row>
    <row r="6869" spans="27:30" x14ac:dyDescent="0.3">
      <c r="AA6869" s="37">
        <v>6849</v>
      </c>
      <c r="AB6869" s="37">
        <v>1.7612629034578366</v>
      </c>
      <c r="AC6869" s="37">
        <v>3.0211827461665228</v>
      </c>
      <c r="AD6869" s="37">
        <v>3.1984581650893391</v>
      </c>
    </row>
    <row r="6870" spans="27:30" x14ac:dyDescent="0.3">
      <c r="AA6870" s="37">
        <v>6850</v>
      </c>
      <c r="AB6870" s="37">
        <v>1.7376512311040579</v>
      </c>
      <c r="AC6870" s="37">
        <v>2.9974636084547095</v>
      </c>
      <c r="AD6870" s="37">
        <v>3.3429372575336038</v>
      </c>
    </row>
    <row r="6871" spans="27:30" x14ac:dyDescent="0.3">
      <c r="AA6871" s="37">
        <v>6851</v>
      </c>
      <c r="AB6871" s="37">
        <v>1.8418420521918542</v>
      </c>
      <c r="AC6871" s="37">
        <v>2.8122711863516865</v>
      </c>
      <c r="AD6871" s="37">
        <v>3.327353296059945</v>
      </c>
    </row>
    <row r="6872" spans="27:30" x14ac:dyDescent="0.3">
      <c r="AA6872" s="37">
        <v>6852</v>
      </c>
      <c r="AB6872" s="37">
        <v>1.8631092592726266</v>
      </c>
      <c r="AC6872" s="37">
        <v>2.7420414851506529</v>
      </c>
      <c r="AD6872" s="37">
        <v>3.3467397665683531</v>
      </c>
    </row>
    <row r="6873" spans="27:30" x14ac:dyDescent="0.3">
      <c r="AA6873" s="37">
        <v>6853</v>
      </c>
      <c r="AB6873" s="37">
        <v>1.8230431637480626</v>
      </c>
      <c r="AC6873" s="37">
        <v>2.8268411712498627</v>
      </c>
      <c r="AD6873" s="37">
        <v>3.1871845618689627</v>
      </c>
    </row>
    <row r="6874" spans="27:30" x14ac:dyDescent="0.3">
      <c r="AA6874" s="37">
        <v>6854</v>
      </c>
      <c r="AB6874" s="37">
        <v>1.7440393446418851</v>
      </c>
      <c r="AC6874" s="37">
        <v>2.7703568448613791</v>
      </c>
      <c r="AD6874" s="37">
        <v>3.5110076704251552</v>
      </c>
    </row>
    <row r="6875" spans="27:30" x14ac:dyDescent="0.3">
      <c r="AA6875" s="37">
        <v>6855</v>
      </c>
      <c r="AB6875" s="37">
        <v>1.78578499646878</v>
      </c>
      <c r="AC6875" s="37">
        <v>3.0564042547669059</v>
      </c>
      <c r="AD6875" s="37">
        <v>3.5177783576476749</v>
      </c>
    </row>
    <row r="6876" spans="27:30" x14ac:dyDescent="0.3">
      <c r="AA6876" s="37">
        <v>6856</v>
      </c>
      <c r="AB6876" s="37">
        <v>1.6635130893766403</v>
      </c>
      <c r="AC6876" s="37">
        <v>2.7127746896946028</v>
      </c>
      <c r="AD6876" s="37">
        <v>3.2976014868779897</v>
      </c>
    </row>
    <row r="6877" spans="27:30" x14ac:dyDescent="0.3">
      <c r="AA6877" s="37">
        <v>6857</v>
      </c>
      <c r="AB6877" s="37">
        <v>1.7348343802468817</v>
      </c>
      <c r="AC6877" s="37">
        <v>2.9423396323573709</v>
      </c>
      <c r="AD6877" s="37">
        <v>3.535565120315932</v>
      </c>
    </row>
    <row r="6878" spans="27:30" x14ac:dyDescent="0.3">
      <c r="AA6878" s="37">
        <v>6858</v>
      </c>
      <c r="AB6878" s="37">
        <v>1.7120800799160434</v>
      </c>
      <c r="AC6878" s="37">
        <v>2.9544173496988941</v>
      </c>
      <c r="AD6878" s="37">
        <v>3.0321953241664801</v>
      </c>
    </row>
    <row r="6879" spans="27:30" x14ac:dyDescent="0.3">
      <c r="AA6879" s="37">
        <v>6859</v>
      </c>
      <c r="AB6879" s="37">
        <v>1.749872712370407</v>
      </c>
      <c r="AC6879" s="37">
        <v>2.8470230942264223</v>
      </c>
      <c r="AD6879" s="37">
        <v>3.3034131958853066</v>
      </c>
    </row>
    <row r="6880" spans="27:30" x14ac:dyDescent="0.3">
      <c r="AA6880" s="37">
        <v>6860</v>
      </c>
      <c r="AB6880" s="37">
        <v>1.7469935450378085</v>
      </c>
      <c r="AC6880" s="37">
        <v>2.9836982017321518</v>
      </c>
      <c r="AD6880" s="37">
        <v>3.3786657383080048</v>
      </c>
    </row>
    <row r="6881" spans="27:30" x14ac:dyDescent="0.3">
      <c r="AA6881" s="37">
        <v>6861</v>
      </c>
      <c r="AB6881" s="37">
        <v>1.757527393491356</v>
      </c>
      <c r="AC6881" s="37">
        <v>2.8296891622150464</v>
      </c>
      <c r="AD6881" s="37">
        <v>3.5346973691039802</v>
      </c>
    </row>
    <row r="6882" spans="27:30" x14ac:dyDescent="0.3">
      <c r="AA6882" s="37">
        <v>6862</v>
      </c>
      <c r="AB6882" s="37">
        <v>1.7614910282106142</v>
      </c>
      <c r="AC6882" s="37">
        <v>2.8276314026710492</v>
      </c>
      <c r="AD6882" s="37">
        <v>3.4112591774194039</v>
      </c>
    </row>
    <row r="6883" spans="27:30" x14ac:dyDescent="0.3">
      <c r="AA6883" s="37">
        <v>6863</v>
      </c>
      <c r="AB6883" s="37">
        <v>1.6934860845689068</v>
      </c>
      <c r="AC6883" s="37">
        <v>2.813042664558111</v>
      </c>
      <c r="AD6883" s="37">
        <v>3.3041072905025182</v>
      </c>
    </row>
    <row r="6884" spans="27:30" x14ac:dyDescent="0.3">
      <c r="AA6884" s="37">
        <v>6864</v>
      </c>
      <c r="AB6884" s="37">
        <v>1.93658285347999</v>
      </c>
      <c r="AC6884" s="37">
        <v>2.9415784653314234</v>
      </c>
      <c r="AD6884" s="37">
        <v>3.5276570455721874</v>
      </c>
    </row>
    <row r="6885" spans="27:30" x14ac:dyDescent="0.3">
      <c r="AA6885" s="37">
        <v>6865</v>
      </c>
      <c r="AB6885" s="37">
        <v>1.8238184757196239</v>
      </c>
      <c r="AC6885" s="37">
        <v>2.8637261049281162</v>
      </c>
      <c r="AD6885" s="37">
        <v>3.3155828905467106</v>
      </c>
    </row>
    <row r="6886" spans="27:30" x14ac:dyDescent="0.3">
      <c r="AA6886" s="37">
        <v>6866</v>
      </c>
      <c r="AB6886" s="37">
        <v>1.7030906956949043</v>
      </c>
      <c r="AC6886" s="37">
        <v>2.8074716964658228</v>
      </c>
      <c r="AD6886" s="37">
        <v>3.4673408221621109</v>
      </c>
    </row>
    <row r="6887" spans="27:30" x14ac:dyDescent="0.3">
      <c r="AA6887" s="37">
        <v>6867</v>
      </c>
      <c r="AB6887" s="37">
        <v>1.7940813432244458</v>
      </c>
      <c r="AC6887" s="37">
        <v>2.7867984005566475</v>
      </c>
      <c r="AD6887" s="37">
        <v>3.1547641308088332</v>
      </c>
    </row>
    <row r="6888" spans="27:30" x14ac:dyDescent="0.3">
      <c r="AA6888" s="37">
        <v>6868</v>
      </c>
      <c r="AB6888" s="37">
        <v>1.7577222634005163</v>
      </c>
      <c r="AC6888" s="37">
        <v>2.827746931890128</v>
      </c>
      <c r="AD6888" s="37">
        <v>3.4120910323474729</v>
      </c>
    </row>
    <row r="6889" spans="27:30" x14ac:dyDescent="0.3">
      <c r="AA6889" s="37">
        <v>6869</v>
      </c>
      <c r="AB6889" s="37">
        <v>1.8223749100288535</v>
      </c>
      <c r="AC6889" s="37">
        <v>2.9242742014825294</v>
      </c>
      <c r="AD6889" s="37">
        <v>3.1986150438720165</v>
      </c>
    </row>
    <row r="6890" spans="27:30" x14ac:dyDescent="0.3">
      <c r="AA6890" s="37">
        <v>6870</v>
      </c>
      <c r="AB6890" s="37">
        <v>1.7034800670880272</v>
      </c>
      <c r="AC6890" s="37">
        <v>2.8795404337451127</v>
      </c>
      <c r="AD6890" s="37">
        <v>3.2947820410804951</v>
      </c>
    </row>
    <row r="6891" spans="27:30" x14ac:dyDescent="0.3">
      <c r="AA6891" s="37">
        <v>6871</v>
      </c>
      <c r="AB6891" s="37">
        <v>1.750361852329636</v>
      </c>
      <c r="AC6891" s="37">
        <v>2.9516900050100841</v>
      </c>
      <c r="AD6891" s="37">
        <v>3.3094932920943352</v>
      </c>
    </row>
    <row r="6892" spans="27:30" x14ac:dyDescent="0.3">
      <c r="AA6892" s="37">
        <v>6872</v>
      </c>
      <c r="AB6892" s="37">
        <v>1.6978810232974531</v>
      </c>
      <c r="AC6892" s="37">
        <v>2.8617062540701532</v>
      </c>
      <c r="AD6892" s="37">
        <v>3.3218482970853835</v>
      </c>
    </row>
    <row r="6893" spans="27:30" x14ac:dyDescent="0.3">
      <c r="AA6893" s="37">
        <v>6873</v>
      </c>
      <c r="AB6893" s="37">
        <v>1.7637456773730449</v>
      </c>
      <c r="AC6893" s="37">
        <v>2.7875339153783725</v>
      </c>
      <c r="AD6893" s="37">
        <v>3.2629016442884464</v>
      </c>
    </row>
    <row r="6894" spans="27:30" x14ac:dyDescent="0.3">
      <c r="AA6894" s="37">
        <v>6874</v>
      </c>
      <c r="AB6894" s="37">
        <v>1.7953453464720468</v>
      </c>
      <c r="AC6894" s="37">
        <v>2.8474252402591542</v>
      </c>
      <c r="AD6894" s="37">
        <v>3.6247577920652834</v>
      </c>
    </row>
    <row r="6895" spans="27:30" x14ac:dyDescent="0.3">
      <c r="AA6895" s="37">
        <v>6875</v>
      </c>
      <c r="AB6895" s="37">
        <v>1.7132293294044818</v>
      </c>
      <c r="AC6895" s="37">
        <v>2.7624817513715958</v>
      </c>
      <c r="AD6895" s="37">
        <v>3.5307969421151868</v>
      </c>
    </row>
    <row r="6896" spans="27:30" x14ac:dyDescent="0.3">
      <c r="AA6896" s="37">
        <v>6876</v>
      </c>
      <c r="AB6896" s="37">
        <v>1.883381317678235</v>
      </c>
      <c r="AC6896" s="37">
        <v>2.7484787334854248</v>
      </c>
      <c r="AD6896" s="37">
        <v>3.326701763666954</v>
      </c>
    </row>
    <row r="6897" spans="27:30" x14ac:dyDescent="0.3">
      <c r="AA6897" s="37">
        <v>6877</v>
      </c>
      <c r="AB6897" s="37">
        <v>1.6819267038939285</v>
      </c>
      <c r="AC6897" s="37">
        <v>2.8479579864255178</v>
      </c>
      <c r="AD6897" s="37">
        <v>3.1889367837769869</v>
      </c>
    </row>
    <row r="6898" spans="27:30" x14ac:dyDescent="0.3">
      <c r="AA6898" s="37">
        <v>6878</v>
      </c>
      <c r="AB6898" s="37">
        <v>1.7889098546281936</v>
      </c>
      <c r="AC6898" s="37">
        <v>2.973928946328976</v>
      </c>
      <c r="AD6898" s="37">
        <v>3.3507138670652159</v>
      </c>
    </row>
    <row r="6899" spans="27:30" x14ac:dyDescent="0.3">
      <c r="AA6899" s="37">
        <v>6879</v>
      </c>
      <c r="AB6899" s="37">
        <v>1.8873011183539701</v>
      </c>
      <c r="AC6899" s="37">
        <v>2.8857696489353284</v>
      </c>
      <c r="AD6899" s="37">
        <v>3.3952170041109722</v>
      </c>
    </row>
    <row r="6900" spans="27:30" x14ac:dyDescent="0.3">
      <c r="AA6900" s="37">
        <v>6880</v>
      </c>
      <c r="AB6900" s="37">
        <v>1.7557595639176309</v>
      </c>
      <c r="AC6900" s="37">
        <v>2.6898737055711419</v>
      </c>
      <c r="AD6900" s="37">
        <v>3.2399500726949921</v>
      </c>
    </row>
    <row r="6901" spans="27:30" x14ac:dyDescent="0.3">
      <c r="AA6901" s="37">
        <v>6881</v>
      </c>
      <c r="AB6901" s="37">
        <v>1.8396930839671661</v>
      </c>
      <c r="AC6901" s="37">
        <v>2.9404387715620635</v>
      </c>
      <c r="AD6901" s="37">
        <v>3.2867111174287307</v>
      </c>
    </row>
    <row r="6902" spans="27:30" x14ac:dyDescent="0.3">
      <c r="AA6902" s="37">
        <v>6882</v>
      </c>
      <c r="AB6902" s="37">
        <v>1.7679223723256789</v>
      </c>
      <c r="AC6902" s="37">
        <v>2.78644082128165</v>
      </c>
      <c r="AD6902" s="37">
        <v>3.4323069298595108</v>
      </c>
    </row>
    <row r="6903" spans="27:30" x14ac:dyDescent="0.3">
      <c r="AA6903" s="37">
        <v>6883</v>
      </c>
      <c r="AB6903" s="37">
        <v>1.8011896730257688</v>
      </c>
      <c r="AC6903" s="37">
        <v>2.8386549888510455</v>
      </c>
      <c r="AD6903" s="37">
        <v>3.3936218117226309</v>
      </c>
    </row>
    <row r="6904" spans="27:30" x14ac:dyDescent="0.3">
      <c r="AA6904" s="37">
        <v>6884</v>
      </c>
      <c r="AB6904" s="37">
        <v>1.5930670070622839</v>
      </c>
      <c r="AC6904" s="37">
        <v>2.686672969237712</v>
      </c>
      <c r="AD6904" s="37">
        <v>3.2604387557194072</v>
      </c>
    </row>
    <row r="6905" spans="27:30" x14ac:dyDescent="0.3">
      <c r="AA6905" s="37">
        <v>6885</v>
      </c>
      <c r="AB6905" s="37">
        <v>1.8567572652886539</v>
      </c>
      <c r="AC6905" s="37">
        <v>3.027320984388258</v>
      </c>
      <c r="AD6905" s="37">
        <v>3.3465138963076186</v>
      </c>
    </row>
    <row r="6906" spans="27:30" x14ac:dyDescent="0.3">
      <c r="AA6906" s="37">
        <v>6886</v>
      </c>
      <c r="AB6906" s="37">
        <v>1.8477746490734972</v>
      </c>
      <c r="AC6906" s="37">
        <v>2.7439176071562286</v>
      </c>
      <c r="AD6906" s="37">
        <v>3.3698735984188808</v>
      </c>
    </row>
    <row r="6907" spans="27:30" x14ac:dyDescent="0.3">
      <c r="AA6907" s="37">
        <v>6887</v>
      </c>
      <c r="AB6907" s="37">
        <v>1.8963332096891452</v>
      </c>
      <c r="AC6907" s="37">
        <v>2.8490736863230803</v>
      </c>
      <c r="AD6907" s="37">
        <v>3.1030321000316539</v>
      </c>
    </row>
    <row r="6908" spans="27:30" x14ac:dyDescent="0.3">
      <c r="AA6908" s="37">
        <v>6888</v>
      </c>
      <c r="AB6908" s="37">
        <v>1.7490488694615927</v>
      </c>
      <c r="AC6908" s="37">
        <v>2.808712713628815</v>
      </c>
      <c r="AD6908" s="37">
        <v>3.7531954742609956</v>
      </c>
    </row>
    <row r="6909" spans="27:30" x14ac:dyDescent="0.3">
      <c r="AA6909" s="37">
        <v>6889</v>
      </c>
      <c r="AB6909" s="37">
        <v>1.7978736450633783</v>
      </c>
      <c r="AC6909" s="37">
        <v>2.7558274415266233</v>
      </c>
      <c r="AD6909" s="37">
        <v>3.2879129194184986</v>
      </c>
    </row>
    <row r="6910" spans="27:30" x14ac:dyDescent="0.3">
      <c r="AA6910" s="37">
        <v>6890</v>
      </c>
      <c r="AB6910" s="37">
        <v>1.8143957815926171</v>
      </c>
      <c r="AC6910" s="37">
        <v>3.0908968477572336</v>
      </c>
      <c r="AD6910" s="37">
        <v>3.0898868830149353</v>
      </c>
    </row>
    <row r="6911" spans="27:30" x14ac:dyDescent="0.3">
      <c r="AA6911" s="37">
        <v>6891</v>
      </c>
      <c r="AB6911" s="37">
        <v>1.7556959748277952</v>
      </c>
      <c r="AC6911" s="37">
        <v>3.011087023715485</v>
      </c>
      <c r="AD6911" s="37">
        <v>3.4412564586154932</v>
      </c>
    </row>
    <row r="6912" spans="27:30" x14ac:dyDescent="0.3">
      <c r="AA6912" s="37">
        <v>6892</v>
      </c>
      <c r="AB6912" s="37">
        <v>1.7269178304843789</v>
      </c>
      <c r="AC6912" s="37">
        <v>2.6353430908398336</v>
      </c>
      <c r="AD6912" s="37">
        <v>3.2785077458545913</v>
      </c>
    </row>
    <row r="6913" spans="27:30" x14ac:dyDescent="0.3">
      <c r="AA6913" s="37">
        <v>6893</v>
      </c>
      <c r="AB6913" s="37">
        <v>1.9013080476247772</v>
      </c>
      <c r="AC6913" s="37">
        <v>2.9343672892240997</v>
      </c>
      <c r="AD6913" s="37">
        <v>3.2497219730091875</v>
      </c>
    </row>
    <row r="6914" spans="27:30" x14ac:dyDescent="0.3">
      <c r="AA6914" s="37">
        <v>6894</v>
      </c>
      <c r="AB6914" s="37">
        <v>1.8261910213150676</v>
      </c>
      <c r="AC6914" s="37">
        <v>2.9330811121222236</v>
      </c>
      <c r="AD6914" s="37">
        <v>3.208129485992286</v>
      </c>
    </row>
    <row r="6915" spans="27:30" x14ac:dyDescent="0.3">
      <c r="AA6915" s="37">
        <v>6895</v>
      </c>
      <c r="AB6915" s="37">
        <v>1.7927002739954807</v>
      </c>
      <c r="AC6915" s="37">
        <v>3.0690160263367132</v>
      </c>
      <c r="AD6915" s="37">
        <v>3.3382607135401194</v>
      </c>
    </row>
    <row r="6916" spans="27:30" x14ac:dyDescent="0.3">
      <c r="AA6916" s="37">
        <v>6896</v>
      </c>
      <c r="AB6916" s="37">
        <v>1.7909268211161202</v>
      </c>
      <c r="AC6916" s="37">
        <v>2.6349322907474115</v>
      </c>
      <c r="AD6916" s="37">
        <v>3.2101536818588401</v>
      </c>
    </row>
    <row r="6917" spans="27:30" x14ac:dyDescent="0.3">
      <c r="AA6917" s="37">
        <v>6897</v>
      </c>
      <c r="AB6917" s="37">
        <v>1.7034242256906766</v>
      </c>
      <c r="AC6917" s="37">
        <v>2.6646536180694582</v>
      </c>
      <c r="AD6917" s="37">
        <v>3.2028842316769279</v>
      </c>
    </row>
    <row r="6918" spans="27:30" x14ac:dyDescent="0.3">
      <c r="AA6918" s="37">
        <v>6898</v>
      </c>
      <c r="AB6918" s="37">
        <v>1.8942247981675164</v>
      </c>
      <c r="AC6918" s="37">
        <v>2.6275260088535335</v>
      </c>
      <c r="AD6918" s="37">
        <v>3.4821540302091183</v>
      </c>
    </row>
    <row r="6919" spans="27:30" x14ac:dyDescent="0.3">
      <c r="AA6919" s="37">
        <v>6899</v>
      </c>
      <c r="AB6919" s="37">
        <v>1.7702512299299609</v>
      </c>
      <c r="AC6919" s="37">
        <v>2.8139603387004453</v>
      </c>
      <c r="AD6919" s="37">
        <v>3.3062779228413932</v>
      </c>
    </row>
    <row r="6920" spans="27:30" x14ac:dyDescent="0.3">
      <c r="AA6920" s="37">
        <v>6900</v>
      </c>
      <c r="AB6920" s="37">
        <v>1.81324903167035</v>
      </c>
      <c r="AC6920" s="37">
        <v>2.7958298421685042</v>
      </c>
      <c r="AD6920" s="37">
        <v>3.3138784545123379</v>
      </c>
    </row>
    <row r="6921" spans="27:30" x14ac:dyDescent="0.3">
      <c r="AA6921" s="37">
        <v>6901</v>
      </c>
      <c r="AB6921" s="37">
        <v>1.7993000636812693</v>
      </c>
      <c r="AC6921" s="37">
        <v>2.7224697224153527</v>
      </c>
      <c r="AD6921" s="37">
        <v>3.3140769452299197</v>
      </c>
    </row>
    <row r="6922" spans="27:30" x14ac:dyDescent="0.3">
      <c r="AA6922" s="37">
        <v>6902</v>
      </c>
      <c r="AB6922" s="37">
        <v>1.8307036918841297</v>
      </c>
      <c r="AC6922" s="37">
        <v>2.80405949574024</v>
      </c>
      <c r="AD6922" s="37">
        <v>3.0883285936185674</v>
      </c>
    </row>
    <row r="6923" spans="27:30" x14ac:dyDescent="0.3">
      <c r="AA6923" s="37">
        <v>6903</v>
      </c>
      <c r="AB6923" s="37">
        <v>1.7366128771273275</v>
      </c>
      <c r="AC6923" s="37">
        <v>3.0630629449348348</v>
      </c>
      <c r="AD6923" s="37">
        <v>3.3783994084503361</v>
      </c>
    </row>
    <row r="6924" spans="27:30" x14ac:dyDescent="0.3">
      <c r="AA6924" s="37">
        <v>6904</v>
      </c>
      <c r="AB6924" s="37">
        <v>1.8547305011547219</v>
      </c>
      <c r="AC6924" s="37">
        <v>2.7471600404909648</v>
      </c>
      <c r="AD6924" s="37">
        <v>3.4509065930521614</v>
      </c>
    </row>
    <row r="6925" spans="27:30" x14ac:dyDescent="0.3">
      <c r="AA6925" s="37">
        <v>6905</v>
      </c>
      <c r="AB6925" s="37">
        <v>1.8085391232295649</v>
      </c>
      <c r="AC6925" s="37">
        <v>2.8329798551453171</v>
      </c>
      <c r="AD6925" s="37">
        <v>3.1549922335558804</v>
      </c>
    </row>
    <row r="6926" spans="27:30" x14ac:dyDescent="0.3">
      <c r="AA6926" s="37">
        <v>6906</v>
      </c>
      <c r="AB6926" s="37">
        <v>1.8473285747899701</v>
      </c>
      <c r="AC6926" s="37">
        <v>2.7695779874393764</v>
      </c>
      <c r="AD6926" s="37">
        <v>3.3000760726750191</v>
      </c>
    </row>
    <row r="6927" spans="27:30" x14ac:dyDescent="0.3">
      <c r="AA6927" s="37">
        <v>6907</v>
      </c>
      <c r="AB6927" s="37">
        <v>1.7302883770255966</v>
      </c>
      <c r="AC6927" s="37">
        <v>2.8858495580933203</v>
      </c>
      <c r="AD6927" s="37">
        <v>3.2524159054664441</v>
      </c>
    </row>
    <row r="6928" spans="27:30" x14ac:dyDescent="0.3">
      <c r="AA6928" s="37">
        <v>6908</v>
      </c>
      <c r="AB6928" s="37">
        <v>1.7229003025824303</v>
      </c>
      <c r="AC6928" s="37">
        <v>2.8482534990934765</v>
      </c>
      <c r="AD6928" s="37">
        <v>3.2759550527047629</v>
      </c>
    </row>
    <row r="6929" spans="27:30" x14ac:dyDescent="0.3">
      <c r="AA6929" s="37">
        <v>6909</v>
      </c>
      <c r="AB6929" s="37">
        <v>1.8425420591510215</v>
      </c>
      <c r="AC6929" s="37">
        <v>2.7608344282008468</v>
      </c>
      <c r="AD6929" s="37">
        <v>3.3591443487735857</v>
      </c>
    </row>
    <row r="6930" spans="27:30" x14ac:dyDescent="0.3">
      <c r="AA6930" s="37">
        <v>6910</v>
      </c>
      <c r="AB6930" s="37">
        <v>1.736775650030028</v>
      </c>
      <c r="AC6930" s="37">
        <v>2.937605298258704</v>
      </c>
      <c r="AD6930" s="37">
        <v>3.3575337031067995</v>
      </c>
    </row>
    <row r="6931" spans="27:30" x14ac:dyDescent="0.3">
      <c r="AA6931" s="37">
        <v>6911</v>
      </c>
      <c r="AB6931" s="37">
        <v>1.889630127036114</v>
      </c>
      <c r="AC6931" s="37">
        <v>2.5848527031058564</v>
      </c>
      <c r="AD6931" s="37">
        <v>3.3850142421917901</v>
      </c>
    </row>
    <row r="6932" spans="27:30" x14ac:dyDescent="0.3">
      <c r="AA6932" s="37">
        <v>6912</v>
      </c>
      <c r="AB6932" s="37">
        <v>1.8262597591321337</v>
      </c>
      <c r="AC6932" s="37">
        <v>2.8157440275646284</v>
      </c>
      <c r="AD6932" s="37">
        <v>3.506770934860342</v>
      </c>
    </row>
    <row r="6933" spans="27:30" x14ac:dyDescent="0.3">
      <c r="AA6933" s="37">
        <v>6913</v>
      </c>
      <c r="AB6933" s="37">
        <v>1.8234921702619822</v>
      </c>
      <c r="AC6933" s="37">
        <v>2.9707675668648315</v>
      </c>
      <c r="AD6933" s="37">
        <v>3.3577043072932566</v>
      </c>
    </row>
    <row r="6934" spans="27:30" x14ac:dyDescent="0.3">
      <c r="AA6934" s="37">
        <v>6914</v>
      </c>
      <c r="AB6934" s="37">
        <v>1.8260459203467396</v>
      </c>
      <c r="AC6934" s="37">
        <v>2.7583403373085273</v>
      </c>
      <c r="AD6934" s="37">
        <v>3.3787252475366758</v>
      </c>
    </row>
    <row r="6935" spans="27:30" x14ac:dyDescent="0.3">
      <c r="AA6935" s="37">
        <v>6915</v>
      </c>
      <c r="AB6935" s="37">
        <v>1.8382135263343522</v>
      </c>
      <c r="AC6935" s="37">
        <v>2.9067131820066918</v>
      </c>
      <c r="AD6935" s="37">
        <v>3.3576724031251559</v>
      </c>
    </row>
    <row r="6936" spans="27:30" x14ac:dyDescent="0.3">
      <c r="AA6936" s="37">
        <v>6916</v>
      </c>
      <c r="AB6936" s="37">
        <v>1.7907661299796669</v>
      </c>
      <c r="AC6936" s="37">
        <v>3.0147844737337852</v>
      </c>
      <c r="AD6936" s="37">
        <v>3.4513445471537096</v>
      </c>
    </row>
    <row r="6937" spans="27:30" x14ac:dyDescent="0.3">
      <c r="AA6937" s="37">
        <v>6917</v>
      </c>
      <c r="AB6937" s="37">
        <v>1.8270127791951263</v>
      </c>
      <c r="AC6937" s="37">
        <v>3.0623395395966422</v>
      </c>
      <c r="AD6937" s="37">
        <v>3.4870957016275672</v>
      </c>
    </row>
    <row r="6938" spans="27:30" x14ac:dyDescent="0.3">
      <c r="AA6938" s="37">
        <v>6918</v>
      </c>
      <c r="AB6938" s="37">
        <v>1.7501011281610563</v>
      </c>
      <c r="AC6938" s="37">
        <v>2.8193039403561393</v>
      </c>
      <c r="AD6938" s="37">
        <v>3.5394870341292779</v>
      </c>
    </row>
    <row r="6939" spans="27:30" x14ac:dyDescent="0.3">
      <c r="AA6939" s="37">
        <v>6919</v>
      </c>
      <c r="AB6939" s="37">
        <v>1.7943483531939823</v>
      </c>
      <c r="AC6939" s="37">
        <v>2.8050732597167296</v>
      </c>
      <c r="AD6939" s="37">
        <v>3.3876395177282808</v>
      </c>
    </row>
    <row r="6940" spans="27:30" x14ac:dyDescent="0.3">
      <c r="AA6940" s="37">
        <v>6920</v>
      </c>
      <c r="AB6940" s="37">
        <v>1.8831239117999685</v>
      </c>
      <c r="AC6940" s="37">
        <v>2.8014771466862407</v>
      </c>
      <c r="AD6940" s="37">
        <v>3.5892045043998904</v>
      </c>
    </row>
    <row r="6941" spans="27:30" x14ac:dyDescent="0.3">
      <c r="AA6941" s="37">
        <v>6921</v>
      </c>
      <c r="AB6941" s="37">
        <v>1.8613801089364528</v>
      </c>
      <c r="AC6941" s="37">
        <v>2.7717615273543132</v>
      </c>
      <c r="AD6941" s="37">
        <v>3.3851122461525818</v>
      </c>
    </row>
    <row r="6942" spans="27:30" x14ac:dyDescent="0.3">
      <c r="AA6942" s="37">
        <v>6922</v>
      </c>
      <c r="AB6942" s="37">
        <v>1.7169461871942373</v>
      </c>
      <c r="AC6942" s="37">
        <v>2.751225844532041</v>
      </c>
      <c r="AD6942" s="37">
        <v>3.3441435784933651</v>
      </c>
    </row>
    <row r="6943" spans="27:30" x14ac:dyDescent="0.3">
      <c r="AA6943" s="37">
        <v>6923</v>
      </c>
      <c r="AB6943" s="37">
        <v>1.6606031280898639</v>
      </c>
      <c r="AC6943" s="37">
        <v>2.8480430740997704</v>
      </c>
      <c r="AD6943" s="37">
        <v>3.6431128680723495</v>
      </c>
    </row>
    <row r="6944" spans="27:30" x14ac:dyDescent="0.3">
      <c r="AA6944" s="37">
        <v>6924</v>
      </c>
      <c r="AB6944" s="37">
        <v>1.8414170206630436</v>
      </c>
      <c r="AC6944" s="37">
        <v>2.7264948853801112</v>
      </c>
      <c r="AD6944" s="37">
        <v>3.4603328107235147</v>
      </c>
    </row>
    <row r="6945" spans="27:30" x14ac:dyDescent="0.3">
      <c r="AA6945" s="37">
        <v>6925</v>
      </c>
      <c r="AB6945" s="37">
        <v>1.9499366189492586</v>
      </c>
      <c r="AC6945" s="37">
        <v>2.6768794336947535</v>
      </c>
      <c r="AD6945" s="37">
        <v>3.2347225553732972</v>
      </c>
    </row>
    <row r="6946" spans="27:30" x14ac:dyDescent="0.3">
      <c r="AA6946" s="37">
        <v>6926</v>
      </c>
      <c r="AB6946" s="37">
        <v>1.7407329901373414</v>
      </c>
      <c r="AC6946" s="37">
        <v>2.8767989250599637</v>
      </c>
      <c r="AD6946" s="37">
        <v>3.2829485992729368</v>
      </c>
    </row>
    <row r="6947" spans="27:30" x14ac:dyDescent="0.3">
      <c r="AA6947" s="37">
        <v>6927</v>
      </c>
      <c r="AB6947" s="37">
        <v>1.8184042413991823</v>
      </c>
      <c r="AC6947" s="37">
        <v>2.9103945769779687</v>
      </c>
      <c r="AD6947" s="37">
        <v>3.3470378271479948</v>
      </c>
    </row>
    <row r="6948" spans="27:30" x14ac:dyDescent="0.3">
      <c r="AA6948" s="37">
        <v>6928</v>
      </c>
      <c r="AB6948" s="37">
        <v>1.8803010421569168</v>
      </c>
      <c r="AC6948" s="37">
        <v>2.7967160319076547</v>
      </c>
      <c r="AD6948" s="37">
        <v>3.3943667608657435</v>
      </c>
    </row>
    <row r="6949" spans="27:30" x14ac:dyDescent="0.3">
      <c r="AA6949" s="37">
        <v>6929</v>
      </c>
      <c r="AB6949" s="37">
        <v>1.7703550302230515</v>
      </c>
      <c r="AC6949" s="37">
        <v>2.833529740608288</v>
      </c>
      <c r="AD6949" s="37">
        <v>3.428860161864816</v>
      </c>
    </row>
    <row r="6950" spans="27:30" x14ac:dyDescent="0.3">
      <c r="AA6950" s="37">
        <v>6930</v>
      </c>
      <c r="AB6950" s="37">
        <v>1.748334984868104</v>
      </c>
      <c r="AC6950" s="37">
        <v>2.8344224419909843</v>
      </c>
      <c r="AD6950" s="37">
        <v>3.5020331605878661</v>
      </c>
    </row>
    <row r="6951" spans="27:30" x14ac:dyDescent="0.3">
      <c r="AA6951" s="37">
        <v>6931</v>
      </c>
      <c r="AB6951" s="37">
        <v>1.7809065732720932</v>
      </c>
      <c r="AC6951" s="37">
        <v>2.7786477622927332</v>
      </c>
      <c r="AD6951" s="37">
        <v>3.426757982853835</v>
      </c>
    </row>
    <row r="6952" spans="27:30" x14ac:dyDescent="0.3">
      <c r="AA6952" s="37">
        <v>6932</v>
      </c>
      <c r="AB6952" s="37">
        <v>1.757394617157481</v>
      </c>
      <c r="AC6952" s="37">
        <v>2.9336233339462034</v>
      </c>
      <c r="AD6952" s="37">
        <v>3.3158003638141929</v>
      </c>
    </row>
    <row r="6953" spans="27:30" x14ac:dyDescent="0.3">
      <c r="AA6953" s="37">
        <v>6933</v>
      </c>
      <c r="AB6953" s="37">
        <v>1.7241506647865463</v>
      </c>
      <c r="AC6953" s="37">
        <v>2.9129464322365148</v>
      </c>
      <c r="AD6953" s="37">
        <v>3.3955553924744675</v>
      </c>
    </row>
    <row r="6954" spans="27:30" x14ac:dyDescent="0.3">
      <c r="AA6954" s="37">
        <v>6934</v>
      </c>
      <c r="AB6954" s="37">
        <v>1.7699735567802057</v>
      </c>
      <c r="AC6954" s="37">
        <v>2.8048571898553214</v>
      </c>
      <c r="AD6954" s="37">
        <v>3.384854198741738</v>
      </c>
    </row>
    <row r="6955" spans="27:30" x14ac:dyDescent="0.3">
      <c r="AA6955" s="37">
        <v>6935</v>
      </c>
      <c r="AB6955" s="37">
        <v>1.7585354699932789</v>
      </c>
      <c r="AC6955" s="37">
        <v>2.9033097171131534</v>
      </c>
      <c r="AD6955" s="37">
        <v>3.2615173147964356</v>
      </c>
    </row>
    <row r="6956" spans="27:30" x14ac:dyDescent="0.3">
      <c r="AA6956" s="37">
        <v>6936</v>
      </c>
      <c r="AB6956" s="37">
        <v>1.907082714771799</v>
      </c>
      <c r="AC6956" s="37">
        <v>2.8155185563148093</v>
      </c>
      <c r="AD6956" s="37">
        <v>3.4273136375011215</v>
      </c>
    </row>
    <row r="6957" spans="27:30" x14ac:dyDescent="0.3">
      <c r="AA6957" s="37">
        <v>6937</v>
      </c>
      <c r="AB6957" s="37">
        <v>1.8294739571344576</v>
      </c>
      <c r="AC6957" s="37">
        <v>2.8213861046156143</v>
      </c>
      <c r="AD6957" s="37">
        <v>3.5498336530927377</v>
      </c>
    </row>
    <row r="6958" spans="27:30" x14ac:dyDescent="0.3">
      <c r="AA6958" s="37">
        <v>6938</v>
      </c>
      <c r="AB6958" s="37">
        <v>1.7539003370086823</v>
      </c>
      <c r="AC6958" s="37">
        <v>2.8446360457660855</v>
      </c>
      <c r="AD6958" s="37">
        <v>3.22707421109379</v>
      </c>
    </row>
    <row r="6959" spans="27:30" x14ac:dyDescent="0.3">
      <c r="AA6959" s="37">
        <v>6939</v>
      </c>
      <c r="AB6959" s="37">
        <v>1.8225437066919443</v>
      </c>
      <c r="AC6959" s="37">
        <v>2.9965324329090577</v>
      </c>
      <c r="AD6959" s="37">
        <v>3.3454278460758777</v>
      </c>
    </row>
    <row r="6960" spans="27:30" x14ac:dyDescent="0.3">
      <c r="AA6960" s="37">
        <v>6940</v>
      </c>
      <c r="AB6960" s="37">
        <v>1.8448105926324736</v>
      </c>
      <c r="AC6960" s="37">
        <v>2.721111903113036</v>
      </c>
      <c r="AD6960" s="37">
        <v>3.1099901748726655</v>
      </c>
    </row>
    <row r="6961" spans="27:30" x14ac:dyDescent="0.3">
      <c r="AA6961" s="37">
        <v>6941</v>
      </c>
      <c r="AB6961" s="37">
        <v>1.6655978507849611</v>
      </c>
      <c r="AC6961" s="37">
        <v>2.782474046214491</v>
      </c>
      <c r="AD6961" s="37">
        <v>3.423905921699574</v>
      </c>
    </row>
    <row r="6962" spans="27:30" x14ac:dyDescent="0.3">
      <c r="AA6962" s="37">
        <v>6942</v>
      </c>
      <c r="AB6962" s="37">
        <v>1.7796229153170411</v>
      </c>
      <c r="AC6962" s="37">
        <v>2.9083978147478091</v>
      </c>
      <c r="AD6962" s="37">
        <v>3.4354847056007531</v>
      </c>
    </row>
    <row r="6963" spans="27:30" x14ac:dyDescent="0.3">
      <c r="AA6963" s="37">
        <v>6943</v>
      </c>
      <c r="AB6963" s="37">
        <v>1.6701519915910523</v>
      </c>
      <c r="AC6963" s="37">
        <v>2.8665996378706913</v>
      </c>
      <c r="AD6963" s="37">
        <v>3.4765548608569414</v>
      </c>
    </row>
    <row r="6964" spans="27:30" x14ac:dyDescent="0.3">
      <c r="AA6964" s="37">
        <v>6944</v>
      </c>
      <c r="AB6964" s="37">
        <v>1.6709735705848721</v>
      </c>
      <c r="AC6964" s="37">
        <v>2.731492440454157</v>
      </c>
      <c r="AD6964" s="37">
        <v>3.1969210893366</v>
      </c>
    </row>
    <row r="6965" spans="27:30" x14ac:dyDescent="0.3">
      <c r="AA6965" s="37">
        <v>6945</v>
      </c>
      <c r="AB6965" s="37">
        <v>1.8008719205796939</v>
      </c>
      <c r="AC6965" s="37">
        <v>2.822994678720347</v>
      </c>
      <c r="AD6965" s="37">
        <v>3.5474963432894726</v>
      </c>
    </row>
    <row r="6966" spans="27:30" x14ac:dyDescent="0.3">
      <c r="AA6966" s="37">
        <v>6946</v>
      </c>
      <c r="AB6966" s="37">
        <v>1.8987281483555527</v>
      </c>
      <c r="AC6966" s="37">
        <v>2.9777937166662536</v>
      </c>
      <c r="AD6966" s="37">
        <v>3.4386662014615892</v>
      </c>
    </row>
    <row r="6967" spans="27:30" x14ac:dyDescent="0.3">
      <c r="AA6967" s="37">
        <v>6947</v>
      </c>
      <c r="AB6967" s="37">
        <v>1.7274507484649957</v>
      </c>
      <c r="AC6967" s="37">
        <v>2.7804754566780172</v>
      </c>
      <c r="AD6967" s="37">
        <v>3.4075893431934872</v>
      </c>
    </row>
    <row r="6968" spans="27:30" x14ac:dyDescent="0.3">
      <c r="AA6968" s="37">
        <v>6948</v>
      </c>
      <c r="AB6968" s="37">
        <v>1.805215602330198</v>
      </c>
      <c r="AC6968" s="37">
        <v>2.7865013224271533</v>
      </c>
      <c r="AD6968" s="37">
        <v>3.5143622280332498</v>
      </c>
    </row>
    <row r="6969" spans="27:30" x14ac:dyDescent="0.3">
      <c r="AA6969" s="37">
        <v>6949</v>
      </c>
      <c r="AB6969" s="37">
        <v>1.7169486009724841</v>
      </c>
      <c r="AC6969" s="37">
        <v>2.7364707409762272</v>
      </c>
      <c r="AD6969" s="37">
        <v>3.2988961769854495</v>
      </c>
    </row>
    <row r="6970" spans="27:30" x14ac:dyDescent="0.3">
      <c r="AA6970" s="37">
        <v>6950</v>
      </c>
      <c r="AB6970" s="37">
        <v>1.9004135911405213</v>
      </c>
      <c r="AC6970" s="37">
        <v>2.654760920714466</v>
      </c>
      <c r="AD6970" s="37">
        <v>3.4263072147095159</v>
      </c>
    </row>
    <row r="6971" spans="27:30" x14ac:dyDescent="0.3">
      <c r="AA6971" s="37">
        <v>6951</v>
      </c>
      <c r="AB6971" s="37">
        <v>1.8810005592730876</v>
      </c>
      <c r="AC6971" s="37">
        <v>2.8760479298797943</v>
      </c>
      <c r="AD6971" s="37">
        <v>3.2794065578933695</v>
      </c>
    </row>
    <row r="6972" spans="27:30" x14ac:dyDescent="0.3">
      <c r="AA6972" s="37">
        <v>6952</v>
      </c>
      <c r="AB6972" s="37">
        <v>1.8272192092287425</v>
      </c>
      <c r="AC6972" s="37">
        <v>2.9970257588212368</v>
      </c>
      <c r="AD6972" s="37">
        <v>3.0776336832368671</v>
      </c>
    </row>
    <row r="6973" spans="27:30" x14ac:dyDescent="0.3">
      <c r="AA6973" s="37">
        <v>6953</v>
      </c>
      <c r="AB6973" s="37">
        <v>1.6950071219200353</v>
      </c>
      <c r="AC6973" s="37">
        <v>2.87309179982697</v>
      </c>
      <c r="AD6973" s="37">
        <v>3.5671162964533947</v>
      </c>
    </row>
    <row r="6974" spans="27:30" x14ac:dyDescent="0.3">
      <c r="AA6974" s="37">
        <v>6954</v>
      </c>
      <c r="AB6974" s="37">
        <v>1.6568078418149947</v>
      </c>
      <c r="AC6974" s="37">
        <v>3.0855771389931408</v>
      </c>
      <c r="AD6974" s="37">
        <v>3.3575051422471813</v>
      </c>
    </row>
    <row r="6975" spans="27:30" x14ac:dyDescent="0.3">
      <c r="AA6975" s="37">
        <v>6955</v>
      </c>
      <c r="AB6975" s="37">
        <v>1.8253625277043937</v>
      </c>
      <c r="AC6975" s="37">
        <v>2.850390161308975</v>
      </c>
      <c r="AD6975" s="37">
        <v>3.2975614990569846</v>
      </c>
    </row>
    <row r="6976" spans="27:30" x14ac:dyDescent="0.3">
      <c r="AA6976" s="37">
        <v>6956</v>
      </c>
      <c r="AB6976" s="37">
        <v>1.7516598043570273</v>
      </c>
      <c r="AC6976" s="37">
        <v>2.6743964622625676</v>
      </c>
      <c r="AD6976" s="37">
        <v>3.4111605998447336</v>
      </c>
    </row>
    <row r="6977" spans="27:30" x14ac:dyDescent="0.3">
      <c r="AA6977" s="37">
        <v>6957</v>
      </c>
      <c r="AB6977" s="37">
        <v>1.8258963270921786</v>
      </c>
      <c r="AC6977" s="37">
        <v>2.8431255462091594</v>
      </c>
      <c r="AD6977" s="37">
        <v>3.4846127266680349</v>
      </c>
    </row>
    <row r="6978" spans="27:30" x14ac:dyDescent="0.3">
      <c r="AA6978" s="37">
        <v>6958</v>
      </c>
      <c r="AB6978" s="37">
        <v>1.7369655314078767</v>
      </c>
      <c r="AC6978" s="37">
        <v>3.0003642978217511</v>
      </c>
      <c r="AD6978" s="37">
        <v>3.2416959531911784</v>
      </c>
    </row>
    <row r="6979" spans="27:30" x14ac:dyDescent="0.3">
      <c r="AA6979" s="37">
        <v>6959</v>
      </c>
      <c r="AB6979" s="37">
        <v>1.8350486212579837</v>
      </c>
      <c r="AC6979" s="37">
        <v>2.8086302409610422</v>
      </c>
      <c r="AD6979" s="37">
        <v>3.4211372689351474</v>
      </c>
    </row>
    <row r="6980" spans="27:30" x14ac:dyDescent="0.3">
      <c r="AA6980" s="37">
        <v>6960</v>
      </c>
      <c r="AB6980" s="37">
        <v>1.7650845652426568</v>
      </c>
      <c r="AC6980" s="37">
        <v>2.8909177919371061</v>
      </c>
      <c r="AD6980" s="37">
        <v>3.4854249017323351</v>
      </c>
    </row>
    <row r="6981" spans="27:30" x14ac:dyDescent="0.3">
      <c r="AA6981" s="37">
        <v>6961</v>
      </c>
      <c r="AB6981" s="37">
        <v>1.8381126819370912</v>
      </c>
      <c r="AC6981" s="37">
        <v>2.8840265973645542</v>
      </c>
      <c r="AD6981" s="37">
        <v>3.5052586295386052</v>
      </c>
    </row>
    <row r="6982" spans="27:30" x14ac:dyDescent="0.3">
      <c r="AA6982" s="37">
        <v>6962</v>
      </c>
      <c r="AB6982" s="37">
        <v>1.7878525570708976</v>
      </c>
      <c r="AC6982" s="37">
        <v>2.8420678756560513</v>
      </c>
      <c r="AD6982" s="37">
        <v>3.331006771626198</v>
      </c>
    </row>
    <row r="6983" spans="27:30" x14ac:dyDescent="0.3">
      <c r="AA6983" s="37">
        <v>6963</v>
      </c>
      <c r="AB6983" s="37">
        <v>1.9065750363891776</v>
      </c>
      <c r="AC6983" s="37">
        <v>2.7417077239114374</v>
      </c>
      <c r="AD6983" s="37">
        <v>3.1887381641711783</v>
      </c>
    </row>
    <row r="6984" spans="27:30" x14ac:dyDescent="0.3">
      <c r="AA6984" s="37">
        <v>6964</v>
      </c>
      <c r="AB6984" s="37">
        <v>1.8430658708610075</v>
      </c>
      <c r="AC6984" s="37">
        <v>2.8885116292643298</v>
      </c>
      <c r="AD6984" s="37">
        <v>3.4290977389061705</v>
      </c>
    </row>
    <row r="6985" spans="27:30" x14ac:dyDescent="0.3">
      <c r="AA6985" s="37">
        <v>6965</v>
      </c>
      <c r="AB6985" s="37">
        <v>1.7578806352688681</v>
      </c>
      <c r="AC6985" s="37">
        <v>2.80178564629158</v>
      </c>
      <c r="AD6985" s="37">
        <v>3.2159516862270787</v>
      </c>
    </row>
    <row r="6986" spans="27:30" x14ac:dyDescent="0.3">
      <c r="AA6986" s="37">
        <v>6966</v>
      </c>
      <c r="AB6986" s="37">
        <v>1.7996757074718686</v>
      </c>
      <c r="AC6986" s="37">
        <v>2.7454619874103674</v>
      </c>
      <c r="AD6986" s="37">
        <v>3.3324069245730712</v>
      </c>
    </row>
    <row r="6987" spans="27:30" x14ac:dyDescent="0.3">
      <c r="AA6987" s="37">
        <v>6967</v>
      </c>
      <c r="AB6987" s="37">
        <v>1.7415951971222994</v>
      </c>
      <c r="AC6987" s="37">
        <v>2.7245871793715772</v>
      </c>
      <c r="AD6987" s="37">
        <v>3.347855485725578</v>
      </c>
    </row>
    <row r="6988" spans="27:30" x14ac:dyDescent="0.3">
      <c r="AA6988" s="37">
        <v>6968</v>
      </c>
      <c r="AB6988" s="37">
        <v>1.8547671078232524</v>
      </c>
      <c r="AC6988" s="37">
        <v>2.9141821761167814</v>
      </c>
      <c r="AD6988" s="37">
        <v>3.3565815002823007</v>
      </c>
    </row>
    <row r="6989" spans="27:30" x14ac:dyDescent="0.3">
      <c r="AA6989" s="37">
        <v>6969</v>
      </c>
      <c r="AB6989" s="37">
        <v>1.6462742161217232</v>
      </c>
      <c r="AC6989" s="37">
        <v>2.875242069496593</v>
      </c>
      <c r="AD6989" s="37">
        <v>3.4284182801064143</v>
      </c>
    </row>
    <row r="6990" spans="27:30" x14ac:dyDescent="0.3">
      <c r="AA6990" s="37">
        <v>6970</v>
      </c>
      <c r="AB6990" s="37">
        <v>1.7531132737677091</v>
      </c>
      <c r="AC6990" s="37">
        <v>2.7391835783620233</v>
      </c>
      <c r="AD6990" s="37">
        <v>3.3453300785247153</v>
      </c>
    </row>
    <row r="6991" spans="27:30" x14ac:dyDescent="0.3">
      <c r="AA6991" s="37">
        <v>6971</v>
      </c>
      <c r="AB6991" s="37">
        <v>1.8500686240291417</v>
      </c>
      <c r="AC6991" s="37">
        <v>2.6870806261482736</v>
      </c>
      <c r="AD6991" s="37">
        <v>3.2865309151113031</v>
      </c>
    </row>
    <row r="6992" spans="27:30" x14ac:dyDescent="0.3">
      <c r="AA6992" s="37">
        <v>6972</v>
      </c>
      <c r="AB6992" s="37">
        <v>1.8094550114417829</v>
      </c>
      <c r="AC6992" s="37">
        <v>2.9516634303553899</v>
      </c>
      <c r="AD6992" s="37">
        <v>3.5153013550682299</v>
      </c>
    </row>
    <row r="6993" spans="27:30" x14ac:dyDescent="0.3">
      <c r="AA6993" s="37">
        <v>6973</v>
      </c>
      <c r="AB6993" s="37">
        <v>1.8241481162142961</v>
      </c>
      <c r="AC6993" s="37">
        <v>2.913800821238794</v>
      </c>
      <c r="AD6993" s="37">
        <v>3.3201877250871026</v>
      </c>
    </row>
    <row r="6994" spans="27:30" x14ac:dyDescent="0.3">
      <c r="AA6994" s="37">
        <v>6974</v>
      </c>
      <c r="AB6994" s="37">
        <v>1.744722995498605</v>
      </c>
      <c r="AC6994" s="37">
        <v>2.6136506439347524</v>
      </c>
      <c r="AD6994" s="37">
        <v>3.5754350751586697</v>
      </c>
    </row>
    <row r="6995" spans="27:30" x14ac:dyDescent="0.3">
      <c r="AA6995" s="37">
        <v>6975</v>
      </c>
      <c r="AB6995" s="37">
        <v>1.8126216136237912</v>
      </c>
      <c r="AC6995" s="37">
        <v>2.9672159556884514</v>
      </c>
      <c r="AD6995" s="37">
        <v>3.2323023709861394</v>
      </c>
    </row>
    <row r="6996" spans="27:30" x14ac:dyDescent="0.3">
      <c r="AA6996" s="37">
        <v>6976</v>
      </c>
      <c r="AB6996" s="37">
        <v>1.7952554046736755</v>
      </c>
      <c r="AC6996" s="37">
        <v>2.7485881465707274</v>
      </c>
      <c r="AD6996" s="37">
        <v>3.2188916034774118</v>
      </c>
    </row>
    <row r="6997" spans="27:30" x14ac:dyDescent="0.3">
      <c r="AA6997" s="37">
        <v>6977</v>
      </c>
      <c r="AB6997" s="37">
        <v>1.8496993622911504</v>
      </c>
      <c r="AC6997" s="37">
        <v>2.9342478917575718</v>
      </c>
      <c r="AD6997" s="37">
        <v>3.5400658173955577</v>
      </c>
    </row>
    <row r="6998" spans="27:30" x14ac:dyDescent="0.3">
      <c r="AA6998" s="37">
        <v>6978</v>
      </c>
      <c r="AB6998" s="37">
        <v>1.8041718177973727</v>
      </c>
      <c r="AC6998" s="37">
        <v>2.7762028872429707</v>
      </c>
      <c r="AD6998" s="37">
        <v>3.2708123324649074</v>
      </c>
    </row>
    <row r="6999" spans="27:30" x14ac:dyDescent="0.3">
      <c r="AA6999" s="37">
        <v>6979</v>
      </c>
      <c r="AB6999" s="37">
        <v>1.8395364950559301</v>
      </c>
      <c r="AC6999" s="37">
        <v>3.0115315344632725</v>
      </c>
      <c r="AD6999" s="37">
        <v>3.3886702856395106</v>
      </c>
    </row>
    <row r="7000" spans="27:30" x14ac:dyDescent="0.3">
      <c r="AA7000" s="37">
        <v>6980</v>
      </c>
      <c r="AB7000" s="37">
        <v>1.7137606641947027</v>
      </c>
      <c r="AC7000" s="37">
        <v>2.9912301687646119</v>
      </c>
      <c r="AD7000" s="37">
        <v>3.2399487575402284</v>
      </c>
    </row>
    <row r="7001" spans="27:30" x14ac:dyDescent="0.3">
      <c r="AA7001" s="37">
        <v>6981</v>
      </c>
      <c r="AB7001" s="37">
        <v>1.7926002402898553</v>
      </c>
      <c r="AC7001" s="37">
        <v>2.6029157912590204</v>
      </c>
      <c r="AD7001" s="37">
        <v>3.3930333036177567</v>
      </c>
    </row>
    <row r="7002" spans="27:30" x14ac:dyDescent="0.3">
      <c r="AA7002" s="37">
        <v>6982</v>
      </c>
      <c r="AB7002" s="37">
        <v>1.7280757611944613</v>
      </c>
      <c r="AC7002" s="37">
        <v>2.8734663736136024</v>
      </c>
      <c r="AD7002" s="37">
        <v>3.5653137565176274</v>
      </c>
    </row>
    <row r="7003" spans="27:30" x14ac:dyDescent="0.3">
      <c r="AA7003" s="37">
        <v>6983</v>
      </c>
      <c r="AB7003" s="37">
        <v>1.6239830938245858</v>
      </c>
      <c r="AC7003" s="37">
        <v>2.8391102563734631</v>
      </c>
      <c r="AD7003" s="37">
        <v>3.6182534086192133</v>
      </c>
    </row>
    <row r="7004" spans="27:30" x14ac:dyDescent="0.3">
      <c r="AA7004" s="37">
        <v>6984</v>
      </c>
      <c r="AB7004" s="37">
        <v>1.8656934930910338</v>
      </c>
      <c r="AC7004" s="37">
        <v>2.8315972733385562</v>
      </c>
      <c r="AD7004" s="37">
        <v>3.2610736792288888</v>
      </c>
    </row>
    <row r="7005" spans="27:30" x14ac:dyDescent="0.3">
      <c r="AA7005" s="37">
        <v>6985</v>
      </c>
      <c r="AB7005" s="37">
        <v>1.7995521235509766</v>
      </c>
      <c r="AC7005" s="37">
        <v>2.8780489516302876</v>
      </c>
      <c r="AD7005" s="37">
        <v>3.3162147444309404</v>
      </c>
    </row>
    <row r="7006" spans="27:30" x14ac:dyDescent="0.3">
      <c r="AA7006" s="37">
        <v>6986</v>
      </c>
      <c r="AB7006" s="37">
        <v>1.7246030434574595</v>
      </c>
      <c r="AC7006" s="37">
        <v>2.7926218433208749</v>
      </c>
      <c r="AD7006" s="37">
        <v>3.0986045825996276</v>
      </c>
    </row>
    <row r="7007" spans="27:30" x14ac:dyDescent="0.3">
      <c r="AA7007" s="37">
        <v>6987</v>
      </c>
      <c r="AB7007" s="37">
        <v>1.7973160378598216</v>
      </c>
      <c r="AC7007" s="37">
        <v>2.6921550414447291</v>
      </c>
      <c r="AD7007" s="37">
        <v>3.3425789971119522</v>
      </c>
    </row>
    <row r="7008" spans="27:30" x14ac:dyDescent="0.3">
      <c r="AA7008" s="37">
        <v>6988</v>
      </c>
      <c r="AB7008" s="37">
        <v>1.908322740331289</v>
      </c>
      <c r="AC7008" s="37">
        <v>2.8014257006275338</v>
      </c>
      <c r="AD7008" s="37">
        <v>3.29610790199329</v>
      </c>
    </row>
    <row r="7009" spans="27:30" x14ac:dyDescent="0.3">
      <c r="AA7009" s="37">
        <v>6989</v>
      </c>
      <c r="AB7009" s="37">
        <v>1.7804338776964166</v>
      </c>
      <c r="AC7009" s="37">
        <v>2.7855973158066321</v>
      </c>
      <c r="AD7009" s="37">
        <v>3.4451640340063938</v>
      </c>
    </row>
    <row r="7010" spans="27:30" x14ac:dyDescent="0.3">
      <c r="AA7010" s="37">
        <v>6990</v>
      </c>
      <c r="AB7010" s="37">
        <v>1.7808131136056231</v>
      </c>
      <c r="AC7010" s="37">
        <v>2.7735339723262555</v>
      </c>
      <c r="AD7010" s="37">
        <v>3.3313561658531992</v>
      </c>
    </row>
    <row r="7011" spans="27:30" x14ac:dyDescent="0.3">
      <c r="AA7011" s="37">
        <v>6991</v>
      </c>
      <c r="AB7011" s="37">
        <v>1.643868117016025</v>
      </c>
      <c r="AC7011" s="37">
        <v>2.9184073110254509</v>
      </c>
      <c r="AD7011" s="37">
        <v>3.4013239391483783</v>
      </c>
    </row>
    <row r="7012" spans="27:30" x14ac:dyDescent="0.3">
      <c r="AA7012" s="37">
        <v>6992</v>
      </c>
      <c r="AB7012" s="37">
        <v>1.8526790033892169</v>
      </c>
      <c r="AC7012" s="37">
        <v>2.8952740545616003</v>
      </c>
      <c r="AD7012" s="37">
        <v>3.3889092583785057</v>
      </c>
    </row>
    <row r="7013" spans="27:30" x14ac:dyDescent="0.3">
      <c r="AA7013" s="37">
        <v>6993</v>
      </c>
      <c r="AB7013" s="37">
        <v>1.7273455443281396</v>
      </c>
      <c r="AC7013" s="37">
        <v>2.637269524393099</v>
      </c>
      <c r="AD7013" s="37">
        <v>3.2038482852420156</v>
      </c>
    </row>
    <row r="7014" spans="27:30" x14ac:dyDescent="0.3">
      <c r="AA7014" s="37">
        <v>6994</v>
      </c>
      <c r="AB7014" s="37">
        <v>1.6959762900973594</v>
      </c>
      <c r="AC7014" s="37">
        <v>2.6556221260710071</v>
      </c>
      <c r="AD7014" s="37">
        <v>3.3773192827058662</v>
      </c>
    </row>
    <row r="7015" spans="27:30" x14ac:dyDescent="0.3">
      <c r="AA7015" s="37">
        <v>6995</v>
      </c>
      <c r="AB7015" s="37">
        <v>1.8153101669595506</v>
      </c>
      <c r="AC7015" s="37">
        <v>2.7973625135467759</v>
      </c>
      <c r="AD7015" s="37">
        <v>3.4896956421247718</v>
      </c>
    </row>
    <row r="7016" spans="27:30" x14ac:dyDescent="0.3">
      <c r="AA7016" s="37">
        <v>6996</v>
      </c>
      <c r="AB7016" s="37">
        <v>1.8585552106496883</v>
      </c>
      <c r="AC7016" s="37">
        <v>2.9291605456168255</v>
      </c>
      <c r="AD7016" s="37">
        <v>3.2579917558030242</v>
      </c>
    </row>
    <row r="7017" spans="27:30" x14ac:dyDescent="0.3">
      <c r="AA7017" s="37">
        <v>6997</v>
      </c>
      <c r="AB7017" s="37">
        <v>1.8261734432120396</v>
      </c>
      <c r="AC7017" s="37">
        <v>2.7036949349546178</v>
      </c>
      <c r="AD7017" s="37">
        <v>3.5389464087768627</v>
      </c>
    </row>
    <row r="7018" spans="27:30" x14ac:dyDescent="0.3">
      <c r="AA7018" s="37">
        <v>6998</v>
      </c>
      <c r="AB7018" s="37">
        <v>1.7659913617746696</v>
      </c>
      <c r="AC7018" s="37">
        <v>2.8147504228839502</v>
      </c>
      <c r="AD7018" s="37">
        <v>3.509459472913262</v>
      </c>
    </row>
    <row r="7019" spans="27:30" x14ac:dyDescent="0.3">
      <c r="AA7019" s="37">
        <v>6999</v>
      </c>
      <c r="AB7019" s="37">
        <v>1.7997897712339943</v>
      </c>
      <c r="AC7019" s="37">
        <v>2.8987784373121785</v>
      </c>
      <c r="AD7019" s="37">
        <v>3.5033721194960767</v>
      </c>
    </row>
    <row r="7020" spans="27:30" x14ac:dyDescent="0.3">
      <c r="AA7020" s="37">
        <v>7000</v>
      </c>
      <c r="AB7020" s="37">
        <v>1.671788025984412</v>
      </c>
      <c r="AC7020" s="37">
        <v>2.7695385973515325</v>
      </c>
      <c r="AD7020" s="37">
        <v>3.2959955168180404</v>
      </c>
    </row>
    <row r="7021" spans="27:30" x14ac:dyDescent="0.3">
      <c r="AA7021" s="37">
        <v>7001</v>
      </c>
      <c r="AB7021" s="37">
        <v>1.741367424869706</v>
      </c>
      <c r="AC7021" s="37">
        <v>2.8138782519853596</v>
      </c>
      <c r="AD7021" s="37">
        <v>3.1633097949891478</v>
      </c>
    </row>
    <row r="7022" spans="27:30" x14ac:dyDescent="0.3">
      <c r="AA7022" s="37">
        <v>7002</v>
      </c>
      <c r="AB7022" s="37">
        <v>1.8131502064056249</v>
      </c>
      <c r="AC7022" s="37">
        <v>2.7771964657609001</v>
      </c>
      <c r="AD7022" s="37">
        <v>3.367275320995526</v>
      </c>
    </row>
    <row r="7023" spans="27:30" x14ac:dyDescent="0.3">
      <c r="AA7023" s="37">
        <v>7003</v>
      </c>
      <c r="AB7023" s="37">
        <v>1.7818975020702257</v>
      </c>
      <c r="AC7023" s="37">
        <v>2.8820362781816211</v>
      </c>
      <c r="AD7023" s="37">
        <v>3.4597140409183416</v>
      </c>
    </row>
    <row r="7024" spans="27:30" x14ac:dyDescent="0.3">
      <c r="AA7024" s="37">
        <v>7004</v>
      </c>
      <c r="AB7024" s="37">
        <v>1.7705594623282017</v>
      </c>
      <c r="AC7024" s="37">
        <v>2.6259954453537033</v>
      </c>
      <c r="AD7024" s="37">
        <v>3.2463490390496172</v>
      </c>
    </row>
    <row r="7025" spans="27:30" x14ac:dyDescent="0.3">
      <c r="AA7025" s="37">
        <v>7005</v>
      </c>
      <c r="AB7025" s="37">
        <v>1.7622119542842489</v>
      </c>
      <c r="AC7025" s="37">
        <v>3.0304007801975357</v>
      </c>
      <c r="AD7025" s="37">
        <v>3.4242521329565125</v>
      </c>
    </row>
    <row r="7026" spans="27:30" x14ac:dyDescent="0.3">
      <c r="AA7026" s="37">
        <v>7006</v>
      </c>
      <c r="AB7026" s="37">
        <v>1.7741351222344528</v>
      </c>
      <c r="AC7026" s="37">
        <v>2.9757154096519867</v>
      </c>
      <c r="AD7026" s="37">
        <v>3.2316990761500057</v>
      </c>
    </row>
    <row r="7027" spans="27:30" x14ac:dyDescent="0.3">
      <c r="AA7027" s="37">
        <v>7007</v>
      </c>
      <c r="AB7027" s="37">
        <v>1.7925348384494328</v>
      </c>
      <c r="AC7027" s="37">
        <v>2.9131055558521068</v>
      </c>
      <c r="AD7027" s="37">
        <v>3.0740024681318374</v>
      </c>
    </row>
    <row r="7028" spans="27:30" x14ac:dyDescent="0.3">
      <c r="AA7028" s="37">
        <v>7008</v>
      </c>
      <c r="AB7028" s="37">
        <v>1.8557374371089246</v>
      </c>
      <c r="AC7028" s="37">
        <v>2.9370439682800269</v>
      </c>
      <c r="AD7028" s="37">
        <v>3.2801134359229103</v>
      </c>
    </row>
    <row r="7029" spans="27:30" x14ac:dyDescent="0.3">
      <c r="AA7029" s="37">
        <v>7009</v>
      </c>
      <c r="AB7029" s="37">
        <v>1.7843423030787833</v>
      </c>
      <c r="AC7029" s="37">
        <v>2.8859043104791255</v>
      </c>
      <c r="AD7029" s="37">
        <v>3.5137356276746363</v>
      </c>
    </row>
    <row r="7030" spans="27:30" x14ac:dyDescent="0.3">
      <c r="AA7030" s="37">
        <v>7010</v>
      </c>
      <c r="AB7030" s="37">
        <v>1.7836660483076194</v>
      </c>
      <c r="AC7030" s="37">
        <v>2.7030523290738842</v>
      </c>
      <c r="AD7030" s="37">
        <v>3.3940781124466892</v>
      </c>
    </row>
    <row r="7031" spans="27:30" x14ac:dyDescent="0.3">
      <c r="AA7031" s="37">
        <v>7011</v>
      </c>
      <c r="AB7031" s="37">
        <v>1.7203928902823007</v>
      </c>
      <c r="AC7031" s="37">
        <v>2.9957220256942634</v>
      </c>
      <c r="AD7031" s="37">
        <v>3.684722477831806</v>
      </c>
    </row>
    <row r="7032" spans="27:30" x14ac:dyDescent="0.3">
      <c r="AA7032" s="37">
        <v>7012</v>
      </c>
      <c r="AB7032" s="37">
        <v>1.8959931907429781</v>
      </c>
      <c r="AC7032" s="37">
        <v>3.0728517474598238</v>
      </c>
      <c r="AD7032" s="37">
        <v>3.3800206346863906</v>
      </c>
    </row>
    <row r="7033" spans="27:30" x14ac:dyDescent="0.3">
      <c r="AA7033" s="37">
        <v>7013</v>
      </c>
      <c r="AB7033" s="37">
        <v>1.664614790787202</v>
      </c>
      <c r="AC7033" s="37">
        <v>2.9834486826515882</v>
      </c>
      <c r="AD7033" s="37">
        <v>3.3462979813625888</v>
      </c>
    </row>
    <row r="7034" spans="27:30" x14ac:dyDescent="0.3">
      <c r="AA7034" s="37">
        <v>7014</v>
      </c>
      <c r="AB7034" s="37">
        <v>1.8768467213479134</v>
      </c>
      <c r="AC7034" s="37">
        <v>3.0272375964990119</v>
      </c>
      <c r="AD7034" s="37">
        <v>3.2724958763512557</v>
      </c>
    </row>
    <row r="7035" spans="27:30" x14ac:dyDescent="0.3">
      <c r="AA7035" s="37">
        <v>7015</v>
      </c>
      <c r="AB7035" s="37">
        <v>1.7241628490713337</v>
      </c>
      <c r="AC7035" s="37">
        <v>2.9254989907426414</v>
      </c>
      <c r="AD7035" s="37">
        <v>3.3212096612353448</v>
      </c>
    </row>
    <row r="7036" spans="27:30" x14ac:dyDescent="0.3">
      <c r="AA7036" s="37">
        <v>7016</v>
      </c>
      <c r="AB7036" s="37">
        <v>1.7828148194033133</v>
      </c>
      <c r="AC7036" s="37">
        <v>2.8751102725651418</v>
      </c>
      <c r="AD7036" s="37">
        <v>3.4442231033977522</v>
      </c>
    </row>
    <row r="7037" spans="27:30" x14ac:dyDescent="0.3">
      <c r="AA7037" s="37">
        <v>7017</v>
      </c>
      <c r="AB7037" s="37">
        <v>1.7491849511063164</v>
      </c>
      <c r="AC7037" s="37">
        <v>2.8918777435726972</v>
      </c>
      <c r="AD7037" s="37">
        <v>3.4567879466826539</v>
      </c>
    </row>
    <row r="7038" spans="27:30" x14ac:dyDescent="0.3">
      <c r="AA7038" s="37">
        <v>7018</v>
      </c>
      <c r="AB7038" s="37">
        <v>1.8304094898965071</v>
      </c>
      <c r="AC7038" s="37">
        <v>2.7898571295501093</v>
      </c>
      <c r="AD7038" s="37">
        <v>3.4394034223309244</v>
      </c>
    </row>
    <row r="7039" spans="27:30" x14ac:dyDescent="0.3">
      <c r="AA7039" s="37">
        <v>7019</v>
      </c>
      <c r="AB7039" s="37">
        <v>1.8584664101166188</v>
      </c>
      <c r="AC7039" s="37">
        <v>2.7541150052730168</v>
      </c>
      <c r="AD7039" s="37">
        <v>3.4022153103611772</v>
      </c>
    </row>
    <row r="7040" spans="27:30" x14ac:dyDescent="0.3">
      <c r="AA7040" s="37">
        <v>7020</v>
      </c>
      <c r="AB7040" s="37">
        <v>1.840247936627406</v>
      </c>
      <c r="AC7040" s="37">
        <v>2.8042034239935973</v>
      </c>
      <c r="AD7040" s="37">
        <v>3.505058833625347</v>
      </c>
    </row>
    <row r="7041" spans="27:30" x14ac:dyDescent="0.3">
      <c r="AA7041" s="37">
        <v>7021</v>
      </c>
      <c r="AB7041" s="37">
        <v>1.9128102461442387</v>
      </c>
      <c r="AC7041" s="37">
        <v>2.83447458681959</v>
      </c>
      <c r="AD7041" s="37">
        <v>3.358649841716618</v>
      </c>
    </row>
    <row r="7042" spans="27:30" x14ac:dyDescent="0.3">
      <c r="AA7042" s="37">
        <v>7022</v>
      </c>
      <c r="AB7042" s="37">
        <v>1.7822582832392273</v>
      </c>
      <c r="AC7042" s="37">
        <v>2.8846570084790657</v>
      </c>
      <c r="AD7042" s="37">
        <v>3.2473262320290601</v>
      </c>
    </row>
    <row r="7043" spans="27:30" x14ac:dyDescent="0.3">
      <c r="AA7043" s="37">
        <v>7023</v>
      </c>
      <c r="AB7043" s="37">
        <v>1.836231768178374</v>
      </c>
      <c r="AC7043" s="37">
        <v>2.8512800049423519</v>
      </c>
      <c r="AD7043" s="37">
        <v>3.4316362969112375</v>
      </c>
    </row>
    <row r="7044" spans="27:30" x14ac:dyDescent="0.3">
      <c r="AA7044" s="37">
        <v>7024</v>
      </c>
      <c r="AB7044" s="37">
        <v>1.8663831397833517</v>
      </c>
      <c r="AC7044" s="37">
        <v>2.6980468526705219</v>
      </c>
      <c r="AD7044" s="37">
        <v>3.2339886461475853</v>
      </c>
    </row>
    <row r="7045" spans="27:30" x14ac:dyDescent="0.3">
      <c r="AA7045" s="37">
        <v>7025</v>
      </c>
      <c r="AB7045" s="37">
        <v>1.684035542355097</v>
      </c>
      <c r="AC7045" s="37">
        <v>2.9307935870797364</v>
      </c>
      <c r="AD7045" s="37">
        <v>3.5351755469330124</v>
      </c>
    </row>
    <row r="7046" spans="27:30" x14ac:dyDescent="0.3">
      <c r="AA7046" s="37">
        <v>7026</v>
      </c>
      <c r="AB7046" s="37">
        <v>1.7353960941657711</v>
      </c>
      <c r="AC7046" s="37">
        <v>2.7401868110600338</v>
      </c>
      <c r="AD7046" s="37">
        <v>3.5854624996332372</v>
      </c>
    </row>
    <row r="7047" spans="27:30" x14ac:dyDescent="0.3">
      <c r="AA7047" s="37">
        <v>7027</v>
      </c>
      <c r="AB7047" s="37">
        <v>1.8699874348880769</v>
      </c>
      <c r="AC7047" s="37">
        <v>3.0101931941392359</v>
      </c>
      <c r="AD7047" s="37">
        <v>3.3289125011915068</v>
      </c>
    </row>
    <row r="7048" spans="27:30" x14ac:dyDescent="0.3">
      <c r="AA7048" s="37">
        <v>7028</v>
      </c>
      <c r="AB7048" s="37">
        <v>1.7055535872228869</v>
      </c>
      <c r="AC7048" s="37">
        <v>2.905146490983014</v>
      </c>
      <c r="AD7048" s="37">
        <v>3.1660635825027854</v>
      </c>
    </row>
    <row r="7049" spans="27:30" x14ac:dyDescent="0.3">
      <c r="AA7049" s="37">
        <v>7029</v>
      </c>
      <c r="AB7049" s="37">
        <v>1.8781995814111927</v>
      </c>
      <c r="AC7049" s="37">
        <v>2.7795935443761337</v>
      </c>
      <c r="AD7049" s="37">
        <v>3.4875494178989261</v>
      </c>
    </row>
    <row r="7050" spans="27:30" x14ac:dyDescent="0.3">
      <c r="AA7050" s="37">
        <v>7030</v>
      </c>
      <c r="AB7050" s="37">
        <v>1.7145430069168792</v>
      </c>
      <c r="AC7050" s="37">
        <v>2.7135429181291779</v>
      </c>
      <c r="AD7050" s="37">
        <v>3.3476175484853083</v>
      </c>
    </row>
    <row r="7051" spans="27:30" x14ac:dyDescent="0.3">
      <c r="AA7051" s="37">
        <v>7031</v>
      </c>
      <c r="AB7051" s="37">
        <v>1.7978291174515195</v>
      </c>
      <c r="AC7051" s="37">
        <v>3.0326766672597132</v>
      </c>
      <c r="AD7051" s="37">
        <v>3.1935783641860858</v>
      </c>
    </row>
    <row r="7052" spans="27:30" x14ac:dyDescent="0.3">
      <c r="AA7052" s="37">
        <v>7032</v>
      </c>
      <c r="AB7052" s="37">
        <v>1.7467779346114598</v>
      </c>
      <c r="AC7052" s="37">
        <v>2.8332253321493241</v>
      </c>
      <c r="AD7052" s="37">
        <v>3.3774377560587907</v>
      </c>
    </row>
    <row r="7053" spans="27:30" x14ac:dyDescent="0.3">
      <c r="AA7053" s="37">
        <v>7033</v>
      </c>
      <c r="AB7053" s="37">
        <v>1.6933584359012528</v>
      </c>
      <c r="AC7053" s="37">
        <v>2.9703178359254334</v>
      </c>
      <c r="AD7053" s="37">
        <v>3.4335027400754177</v>
      </c>
    </row>
    <row r="7054" spans="27:30" x14ac:dyDescent="0.3">
      <c r="AA7054" s="37">
        <v>7034</v>
      </c>
      <c r="AB7054" s="37">
        <v>1.8661437765263533</v>
      </c>
      <c r="AC7054" s="37">
        <v>2.8393687649075772</v>
      </c>
      <c r="AD7054" s="37">
        <v>3.4307481849888766</v>
      </c>
    </row>
    <row r="7055" spans="27:30" x14ac:dyDescent="0.3">
      <c r="AA7055" s="37">
        <v>7035</v>
      </c>
      <c r="AB7055" s="37">
        <v>1.7313862452414648</v>
      </c>
      <c r="AC7055" s="37">
        <v>2.8463586328115964</v>
      </c>
      <c r="AD7055" s="37">
        <v>3.3667208008496461</v>
      </c>
    </row>
    <row r="7056" spans="27:30" x14ac:dyDescent="0.3">
      <c r="AA7056" s="37">
        <v>7036</v>
      </c>
      <c r="AB7056" s="37">
        <v>1.6890721489417031</v>
      </c>
      <c r="AC7056" s="37">
        <v>2.6390844501063442</v>
      </c>
      <c r="AD7056" s="37">
        <v>3.3816468459780582</v>
      </c>
    </row>
    <row r="7057" spans="27:30" x14ac:dyDescent="0.3">
      <c r="AA7057" s="37">
        <v>7037</v>
      </c>
      <c r="AB7057" s="37">
        <v>1.7065538761301007</v>
      </c>
      <c r="AC7057" s="37">
        <v>2.6745448081687684</v>
      </c>
      <c r="AD7057" s="37">
        <v>3.2342783844989924</v>
      </c>
    </row>
    <row r="7058" spans="27:30" x14ac:dyDescent="0.3">
      <c r="AA7058" s="37">
        <v>7038</v>
      </c>
      <c r="AB7058" s="37">
        <v>1.7941194339944584</v>
      </c>
      <c r="AC7058" s="37">
        <v>2.7380409098669203</v>
      </c>
      <c r="AD7058" s="37">
        <v>3.2340654740980992</v>
      </c>
    </row>
    <row r="7059" spans="27:30" x14ac:dyDescent="0.3">
      <c r="AA7059" s="37">
        <v>7039</v>
      </c>
      <c r="AB7059" s="37">
        <v>1.7574768215916607</v>
      </c>
      <c r="AC7059" s="37">
        <v>2.7854935745050549</v>
      </c>
      <c r="AD7059" s="37">
        <v>3.1408325059879623</v>
      </c>
    </row>
    <row r="7060" spans="27:30" x14ac:dyDescent="0.3">
      <c r="AA7060" s="37">
        <v>7040</v>
      </c>
      <c r="AB7060" s="37">
        <v>1.7520834945411035</v>
      </c>
      <c r="AC7060" s="37">
        <v>2.8711742618983842</v>
      </c>
      <c r="AD7060" s="37">
        <v>3.2433885881482802</v>
      </c>
    </row>
    <row r="7061" spans="27:30" x14ac:dyDescent="0.3">
      <c r="AA7061" s="37">
        <v>7041</v>
      </c>
      <c r="AB7061" s="37">
        <v>1.7999617642512564</v>
      </c>
      <c r="AC7061" s="37">
        <v>2.7243036823504636</v>
      </c>
      <c r="AD7061" s="37">
        <v>3.3083015975903702</v>
      </c>
    </row>
    <row r="7062" spans="27:30" x14ac:dyDescent="0.3">
      <c r="AA7062" s="37">
        <v>7042</v>
      </c>
      <c r="AB7062" s="37">
        <v>1.849974113888311</v>
      </c>
      <c r="AC7062" s="37">
        <v>2.8607773450874472</v>
      </c>
      <c r="AD7062" s="37">
        <v>3.2809099686315562</v>
      </c>
    </row>
    <row r="7063" spans="27:30" x14ac:dyDescent="0.3">
      <c r="AA7063" s="37">
        <v>7043</v>
      </c>
      <c r="AB7063" s="37">
        <v>1.7995957830574425</v>
      </c>
      <c r="AC7063" s="37">
        <v>2.8979283668322164</v>
      </c>
      <c r="AD7063" s="37">
        <v>3.4254726856728031</v>
      </c>
    </row>
    <row r="7064" spans="27:30" x14ac:dyDescent="0.3">
      <c r="AA7064" s="37">
        <v>7044</v>
      </c>
      <c r="AB7064" s="37">
        <v>1.735980796739482</v>
      </c>
      <c r="AC7064" s="37">
        <v>2.9686783013478673</v>
      </c>
      <c r="AD7064" s="37">
        <v>3.21192800666585</v>
      </c>
    </row>
    <row r="7065" spans="27:30" x14ac:dyDescent="0.3">
      <c r="AA7065" s="37">
        <v>7045</v>
      </c>
      <c r="AB7065" s="37">
        <v>1.7468485660220514</v>
      </c>
      <c r="AC7065" s="37">
        <v>2.7599157744606866</v>
      </c>
      <c r="AD7065" s="37">
        <v>3.2163086978958937</v>
      </c>
    </row>
    <row r="7066" spans="27:30" x14ac:dyDescent="0.3">
      <c r="AA7066" s="37">
        <v>7046</v>
      </c>
      <c r="AB7066" s="37">
        <v>1.8366017659356846</v>
      </c>
      <c r="AC7066" s="37">
        <v>3.1141883475326884</v>
      </c>
      <c r="AD7066" s="37">
        <v>3.3884083039530379</v>
      </c>
    </row>
    <row r="7067" spans="27:30" x14ac:dyDescent="0.3">
      <c r="AA7067" s="37">
        <v>7047</v>
      </c>
      <c r="AB7067" s="37">
        <v>1.7501609553926725</v>
      </c>
      <c r="AC7067" s="37">
        <v>2.7836690445435659</v>
      </c>
      <c r="AD7067" s="37">
        <v>3.3548990745900453</v>
      </c>
    </row>
    <row r="7068" spans="27:30" x14ac:dyDescent="0.3">
      <c r="AA7068" s="37">
        <v>7048</v>
      </c>
      <c r="AB7068" s="37">
        <v>1.6541912928898974</v>
      </c>
      <c r="AC7068" s="37">
        <v>2.7898502895265831</v>
      </c>
      <c r="AD7068" s="37">
        <v>3.1663557889298226</v>
      </c>
    </row>
    <row r="7069" spans="27:30" x14ac:dyDescent="0.3">
      <c r="AA7069" s="37">
        <v>7049</v>
      </c>
      <c r="AB7069" s="37">
        <v>1.8889536880541289</v>
      </c>
      <c r="AC7069" s="37">
        <v>2.9677345873762402</v>
      </c>
      <c r="AD7069" s="37">
        <v>3.4343543277361168</v>
      </c>
    </row>
    <row r="7070" spans="27:30" x14ac:dyDescent="0.3">
      <c r="AA7070" s="37">
        <v>7050</v>
      </c>
      <c r="AB7070" s="37">
        <v>1.8462378369152583</v>
      </c>
      <c r="AC7070" s="37">
        <v>2.9259162275220669</v>
      </c>
      <c r="AD7070" s="37">
        <v>3.5071787440394511</v>
      </c>
    </row>
    <row r="7071" spans="27:30" x14ac:dyDescent="0.3">
      <c r="AA7071" s="37">
        <v>7051</v>
      </c>
      <c r="AB7071" s="37">
        <v>1.7994942441899393</v>
      </c>
      <c r="AC7071" s="37">
        <v>2.958100824065764</v>
      </c>
      <c r="AD7071" s="37">
        <v>3.2692549429355142</v>
      </c>
    </row>
    <row r="7072" spans="27:30" x14ac:dyDescent="0.3">
      <c r="AA7072" s="37">
        <v>7052</v>
      </c>
      <c r="AB7072" s="37">
        <v>1.8101548396504965</v>
      </c>
      <c r="AC7072" s="37">
        <v>3.0205821181282104</v>
      </c>
      <c r="AD7072" s="37">
        <v>3.3272263536111404</v>
      </c>
    </row>
    <row r="7073" spans="27:30" x14ac:dyDescent="0.3">
      <c r="AA7073" s="37">
        <v>7053</v>
      </c>
      <c r="AB7073" s="37">
        <v>1.843116091959885</v>
      </c>
      <c r="AC7073" s="37">
        <v>2.9219864693431901</v>
      </c>
      <c r="AD7073" s="37">
        <v>3.3082641458883044</v>
      </c>
    </row>
    <row r="7074" spans="27:30" x14ac:dyDescent="0.3">
      <c r="AA7074" s="37">
        <v>7054</v>
      </c>
      <c r="AB7074" s="37">
        <v>1.8286846118373006</v>
      </c>
      <c r="AC7074" s="37">
        <v>2.929834438038605</v>
      </c>
      <c r="AD7074" s="37">
        <v>3.2476917474966456</v>
      </c>
    </row>
    <row r="7075" spans="27:30" x14ac:dyDescent="0.3">
      <c r="AA7075" s="37">
        <v>7055</v>
      </c>
      <c r="AB7075" s="37">
        <v>1.8633297609958213</v>
      </c>
      <c r="AC7075" s="37">
        <v>2.9742172920029484</v>
      </c>
      <c r="AD7075" s="37">
        <v>3.1000614286028996</v>
      </c>
    </row>
    <row r="7076" spans="27:30" x14ac:dyDescent="0.3">
      <c r="AA7076" s="37">
        <v>7056</v>
      </c>
      <c r="AB7076" s="37">
        <v>1.8064373889846257</v>
      </c>
      <c r="AC7076" s="37">
        <v>2.8126865342542753</v>
      </c>
      <c r="AD7076" s="37">
        <v>3.3333110643994477</v>
      </c>
    </row>
    <row r="7077" spans="27:30" x14ac:dyDescent="0.3">
      <c r="AA7077" s="37">
        <v>7057</v>
      </c>
      <c r="AB7077" s="37">
        <v>1.7001150374472749</v>
      </c>
      <c r="AC7077" s="37">
        <v>2.8201936417331894</v>
      </c>
      <c r="AD7077" s="37">
        <v>3.3992180248467054</v>
      </c>
    </row>
    <row r="7078" spans="27:30" x14ac:dyDescent="0.3">
      <c r="AA7078" s="37">
        <v>7058</v>
      </c>
      <c r="AB7078" s="37">
        <v>1.8003021003313164</v>
      </c>
      <c r="AC7078" s="37">
        <v>2.6159085831288635</v>
      </c>
      <c r="AD7078" s="37">
        <v>3.4318337403413328</v>
      </c>
    </row>
    <row r="7079" spans="27:30" x14ac:dyDescent="0.3">
      <c r="AA7079" s="37">
        <v>7059</v>
      </c>
      <c r="AB7079" s="37">
        <v>1.6735178788920322</v>
      </c>
      <c r="AC7079" s="37">
        <v>2.753159254283231</v>
      </c>
      <c r="AD7079" s="37">
        <v>3.5746814687280097</v>
      </c>
    </row>
    <row r="7080" spans="27:30" x14ac:dyDescent="0.3">
      <c r="AA7080" s="37">
        <v>7060</v>
      </c>
      <c r="AB7080" s="37">
        <v>1.7205362711248631</v>
      </c>
      <c r="AC7080" s="37">
        <v>2.8770486372155162</v>
      </c>
      <c r="AD7080" s="37">
        <v>3.307127803303676</v>
      </c>
    </row>
    <row r="7081" spans="27:30" x14ac:dyDescent="0.3">
      <c r="AA7081" s="37">
        <v>7061</v>
      </c>
      <c r="AB7081" s="37">
        <v>1.8101707519702266</v>
      </c>
      <c r="AC7081" s="37">
        <v>2.7974999834664751</v>
      </c>
      <c r="AD7081" s="37">
        <v>3.478279857399972</v>
      </c>
    </row>
    <row r="7082" spans="27:30" x14ac:dyDescent="0.3">
      <c r="AA7082" s="37">
        <v>7062</v>
      </c>
      <c r="AB7082" s="37">
        <v>1.8854106498606615</v>
      </c>
      <c r="AC7082" s="37">
        <v>2.8634465539302498</v>
      </c>
      <c r="AD7082" s="37">
        <v>3.2849847949918765</v>
      </c>
    </row>
    <row r="7083" spans="27:30" x14ac:dyDescent="0.3">
      <c r="AA7083" s="37">
        <v>7063</v>
      </c>
      <c r="AB7083" s="37">
        <v>1.7001184416584738</v>
      </c>
      <c r="AC7083" s="37">
        <v>2.8057922374291451</v>
      </c>
      <c r="AD7083" s="37">
        <v>3.3092457590094475</v>
      </c>
    </row>
    <row r="7084" spans="27:30" x14ac:dyDescent="0.3">
      <c r="AA7084" s="37">
        <v>7064</v>
      </c>
      <c r="AB7084" s="37">
        <v>1.8380175482008416</v>
      </c>
      <c r="AC7084" s="37">
        <v>2.7482527687742544</v>
      </c>
      <c r="AD7084" s="37">
        <v>3.3075602219119919</v>
      </c>
    </row>
    <row r="7085" spans="27:30" x14ac:dyDescent="0.3">
      <c r="AA7085" s="37">
        <v>7065</v>
      </c>
      <c r="AB7085" s="37">
        <v>1.8033171536097661</v>
      </c>
      <c r="AC7085" s="37">
        <v>2.9505428154361644</v>
      </c>
      <c r="AD7085" s="37">
        <v>3.3004438603083193</v>
      </c>
    </row>
    <row r="7086" spans="27:30" x14ac:dyDescent="0.3">
      <c r="AA7086" s="37">
        <v>7066</v>
      </c>
      <c r="AB7086" s="37">
        <v>1.8273504402510454</v>
      </c>
      <c r="AC7086" s="37">
        <v>3.0063306478698255</v>
      </c>
      <c r="AD7086" s="37">
        <v>3.3007653157119954</v>
      </c>
    </row>
    <row r="7087" spans="27:30" x14ac:dyDescent="0.3">
      <c r="AA7087" s="37">
        <v>7067</v>
      </c>
      <c r="AB7087" s="37">
        <v>1.7611817062209447</v>
      </c>
      <c r="AC7087" s="37">
        <v>2.8233119000422433</v>
      </c>
      <c r="AD7087" s="37">
        <v>3.4230008690093685</v>
      </c>
    </row>
    <row r="7088" spans="27:30" x14ac:dyDescent="0.3">
      <c r="AA7088" s="37">
        <v>7068</v>
      </c>
      <c r="AB7088" s="37">
        <v>1.788006147834571</v>
      </c>
      <c r="AC7088" s="37">
        <v>2.7275914644863866</v>
      </c>
      <c r="AD7088" s="37">
        <v>3.3371415022575688</v>
      </c>
    </row>
    <row r="7089" spans="27:30" x14ac:dyDescent="0.3">
      <c r="AA7089" s="37">
        <v>7069</v>
      </c>
      <c r="AB7089" s="37">
        <v>1.8784632717278376</v>
      </c>
      <c r="AC7089" s="37">
        <v>2.7547599440027595</v>
      </c>
      <c r="AD7089" s="37">
        <v>3.2269066742116772</v>
      </c>
    </row>
    <row r="7090" spans="27:30" x14ac:dyDescent="0.3">
      <c r="AA7090" s="37">
        <v>7070</v>
      </c>
      <c r="AB7090" s="37">
        <v>1.7031516835238998</v>
      </c>
      <c r="AC7090" s="37">
        <v>2.7837411971631125</v>
      </c>
      <c r="AD7090" s="37">
        <v>3.2935427978564635</v>
      </c>
    </row>
    <row r="7091" spans="27:30" x14ac:dyDescent="0.3">
      <c r="AA7091" s="37">
        <v>7071</v>
      </c>
      <c r="AB7091" s="37">
        <v>1.83264807310043</v>
      </c>
      <c r="AC7091" s="37">
        <v>2.9128182249522476</v>
      </c>
      <c r="AD7091" s="37">
        <v>3.2428405306667885</v>
      </c>
    </row>
    <row r="7092" spans="27:30" x14ac:dyDescent="0.3">
      <c r="AA7092" s="37">
        <v>7072</v>
      </c>
      <c r="AB7092" s="37">
        <v>1.8027175279534629</v>
      </c>
      <c r="AC7092" s="37">
        <v>2.8656038926230649</v>
      </c>
      <c r="AD7092" s="37">
        <v>3.180649876136493</v>
      </c>
    </row>
    <row r="7093" spans="27:30" x14ac:dyDescent="0.3">
      <c r="AA7093" s="37">
        <v>7073</v>
      </c>
      <c r="AB7093" s="37">
        <v>1.7422546580303138</v>
      </c>
      <c r="AC7093" s="37">
        <v>2.8503970342570439</v>
      </c>
      <c r="AD7093" s="37">
        <v>3.4427208338324844</v>
      </c>
    </row>
    <row r="7094" spans="27:30" x14ac:dyDescent="0.3">
      <c r="AA7094" s="37">
        <v>7074</v>
      </c>
      <c r="AB7094" s="37">
        <v>1.797089836008992</v>
      </c>
      <c r="AC7094" s="37">
        <v>2.9000742030997153</v>
      </c>
      <c r="AD7094" s="37">
        <v>3.2538581212380424</v>
      </c>
    </row>
    <row r="7095" spans="27:30" x14ac:dyDescent="0.3">
      <c r="AA7095" s="37">
        <v>7075</v>
      </c>
      <c r="AB7095" s="37">
        <v>1.7471394623018646</v>
      </c>
      <c r="AC7095" s="37">
        <v>2.7616365185216933</v>
      </c>
      <c r="AD7095" s="37">
        <v>3.5827381758133425</v>
      </c>
    </row>
    <row r="7096" spans="27:30" x14ac:dyDescent="0.3">
      <c r="AA7096" s="37">
        <v>7076</v>
      </c>
      <c r="AB7096" s="37">
        <v>1.8148345043536382</v>
      </c>
      <c r="AC7096" s="37">
        <v>2.9670155876804314</v>
      </c>
      <c r="AD7096" s="37">
        <v>3.3107404689312889</v>
      </c>
    </row>
    <row r="7097" spans="27:30" x14ac:dyDescent="0.3">
      <c r="AA7097" s="37">
        <v>7077</v>
      </c>
      <c r="AB7097" s="37">
        <v>1.7702416749901457</v>
      </c>
      <c r="AC7097" s="37">
        <v>2.7946866962795487</v>
      </c>
      <c r="AD7097" s="37">
        <v>3.1475627707524265</v>
      </c>
    </row>
    <row r="7098" spans="27:30" x14ac:dyDescent="0.3">
      <c r="AA7098" s="37">
        <v>7078</v>
      </c>
      <c r="AB7098" s="37">
        <v>1.7693327459067831</v>
      </c>
      <c r="AC7098" s="37">
        <v>2.7728430151520391</v>
      </c>
      <c r="AD7098" s="37">
        <v>3.1410955307395323</v>
      </c>
    </row>
    <row r="7099" spans="27:30" x14ac:dyDescent="0.3">
      <c r="AA7099" s="37">
        <v>7079</v>
      </c>
      <c r="AB7099" s="37">
        <v>1.8640247725441406</v>
      </c>
      <c r="AC7099" s="37">
        <v>2.7722330636365067</v>
      </c>
      <c r="AD7099" s="37">
        <v>3.4621281257361392</v>
      </c>
    </row>
    <row r="7100" spans="27:30" x14ac:dyDescent="0.3">
      <c r="AA7100" s="37">
        <v>7080</v>
      </c>
      <c r="AB7100" s="37">
        <v>1.7996565442909016</v>
      </c>
      <c r="AC7100" s="37">
        <v>2.8639506349692252</v>
      </c>
      <c r="AD7100" s="37">
        <v>3.0369251677235232</v>
      </c>
    </row>
    <row r="7101" spans="27:30" x14ac:dyDescent="0.3">
      <c r="AA7101" s="37">
        <v>7081</v>
      </c>
      <c r="AB7101" s="37">
        <v>1.7539233892119133</v>
      </c>
      <c r="AC7101" s="37">
        <v>2.9030624566741383</v>
      </c>
      <c r="AD7101" s="37">
        <v>3.4200902901859478</v>
      </c>
    </row>
    <row r="7102" spans="27:30" x14ac:dyDescent="0.3">
      <c r="AA7102" s="37">
        <v>7082</v>
      </c>
      <c r="AB7102" s="37">
        <v>1.7033748491396616</v>
      </c>
      <c r="AC7102" s="37">
        <v>2.9565946375268988</v>
      </c>
      <c r="AD7102" s="37">
        <v>3.2719923339511996</v>
      </c>
    </row>
    <row r="7103" spans="27:30" x14ac:dyDescent="0.3">
      <c r="AA7103" s="37">
        <v>7083</v>
      </c>
      <c r="AB7103" s="37">
        <v>1.7641552647414485</v>
      </c>
      <c r="AC7103" s="37">
        <v>2.7882590907706253</v>
      </c>
      <c r="AD7103" s="37">
        <v>3.3375050918875391</v>
      </c>
    </row>
    <row r="7104" spans="27:30" x14ac:dyDescent="0.3">
      <c r="AA7104" s="37">
        <v>7084</v>
      </c>
      <c r="AB7104" s="37">
        <v>1.8145600143135061</v>
      </c>
      <c r="AC7104" s="37">
        <v>2.866890408728223</v>
      </c>
      <c r="AD7104" s="37">
        <v>3.435779462715812</v>
      </c>
    </row>
    <row r="7105" spans="27:30" x14ac:dyDescent="0.3">
      <c r="AA7105" s="37">
        <v>7085</v>
      </c>
      <c r="AB7105" s="37">
        <v>1.6647213357470392</v>
      </c>
      <c r="AC7105" s="37">
        <v>2.9523178797995877</v>
      </c>
      <c r="AD7105" s="37">
        <v>3.275591338612394</v>
      </c>
    </row>
    <row r="7106" spans="27:30" x14ac:dyDescent="0.3">
      <c r="AA7106" s="37">
        <v>7086</v>
      </c>
      <c r="AB7106" s="37">
        <v>1.8371175160916791</v>
      </c>
      <c r="AC7106" s="37">
        <v>2.6167473379636714</v>
      </c>
      <c r="AD7106" s="37">
        <v>3.3977955008469807</v>
      </c>
    </row>
    <row r="7107" spans="27:30" x14ac:dyDescent="0.3">
      <c r="AA7107" s="37">
        <v>7087</v>
      </c>
      <c r="AB7107" s="37">
        <v>1.8811239664745367</v>
      </c>
      <c r="AC7107" s="37">
        <v>2.8861225564775688</v>
      </c>
      <c r="AD7107" s="37">
        <v>3.325048754042788</v>
      </c>
    </row>
    <row r="7108" spans="27:30" x14ac:dyDescent="0.3">
      <c r="AA7108" s="37">
        <v>7088</v>
      </c>
      <c r="AB7108" s="37">
        <v>1.8423356352828761</v>
      </c>
      <c r="AC7108" s="37">
        <v>2.9460776861232953</v>
      </c>
      <c r="AD7108" s="37">
        <v>3.4477640655958601</v>
      </c>
    </row>
    <row r="7109" spans="27:30" x14ac:dyDescent="0.3">
      <c r="AA7109" s="37">
        <v>7089</v>
      </c>
      <c r="AB7109" s="37">
        <v>1.7107990058521194</v>
      </c>
      <c r="AC7109" s="37">
        <v>2.8437157925921568</v>
      </c>
      <c r="AD7109" s="37">
        <v>3.4236525975856296</v>
      </c>
    </row>
    <row r="7110" spans="27:30" x14ac:dyDescent="0.3">
      <c r="AA7110" s="37">
        <v>7090</v>
      </c>
      <c r="AB7110" s="37">
        <v>1.7733440317439215</v>
      </c>
      <c r="AC7110" s="37">
        <v>2.7499905498694828</v>
      </c>
      <c r="AD7110" s="37">
        <v>3.4372511392200864</v>
      </c>
    </row>
    <row r="7111" spans="27:30" x14ac:dyDescent="0.3">
      <c r="AA7111" s="37">
        <v>7091</v>
      </c>
      <c r="AB7111" s="37">
        <v>1.8914350320219169</v>
      </c>
      <c r="AC7111" s="37">
        <v>2.7232539766512671</v>
      </c>
      <c r="AD7111" s="37">
        <v>3.2368063491846741</v>
      </c>
    </row>
    <row r="7112" spans="27:30" x14ac:dyDescent="0.3">
      <c r="AA7112" s="37">
        <v>7092</v>
      </c>
      <c r="AB7112" s="37">
        <v>1.8804527030270968</v>
      </c>
      <c r="AC7112" s="37">
        <v>3.1151660764506954</v>
      </c>
      <c r="AD7112" s="37">
        <v>3.346017041373154</v>
      </c>
    </row>
    <row r="7113" spans="27:30" x14ac:dyDescent="0.3">
      <c r="AA7113" s="37">
        <v>7093</v>
      </c>
      <c r="AB7113" s="37">
        <v>1.8483712866878461</v>
      </c>
      <c r="AC7113" s="37">
        <v>2.7478951744232329</v>
      </c>
      <c r="AD7113" s="37">
        <v>3.4166920408571575</v>
      </c>
    </row>
    <row r="7114" spans="27:30" x14ac:dyDescent="0.3">
      <c r="AA7114" s="37">
        <v>7094</v>
      </c>
      <c r="AB7114" s="37">
        <v>1.6992851046522925</v>
      </c>
      <c r="AC7114" s="37">
        <v>2.7018248732475709</v>
      </c>
      <c r="AD7114" s="37">
        <v>3.2600978451307032</v>
      </c>
    </row>
    <row r="7115" spans="27:30" x14ac:dyDescent="0.3">
      <c r="AA7115" s="37">
        <v>7095</v>
      </c>
      <c r="AB7115" s="37">
        <v>1.6156072596214015</v>
      </c>
      <c r="AC7115" s="37">
        <v>2.8162472482515581</v>
      </c>
      <c r="AD7115" s="37">
        <v>3.4280575937410966</v>
      </c>
    </row>
    <row r="7116" spans="27:30" x14ac:dyDescent="0.3">
      <c r="AA7116" s="37">
        <v>7096</v>
      </c>
      <c r="AB7116" s="37">
        <v>1.7836353500820645</v>
      </c>
      <c r="AC7116" s="37">
        <v>2.9119775509302195</v>
      </c>
      <c r="AD7116" s="37">
        <v>3.2239349901227836</v>
      </c>
    </row>
    <row r="7117" spans="27:30" x14ac:dyDescent="0.3">
      <c r="AA7117" s="37">
        <v>7097</v>
      </c>
      <c r="AB7117" s="37">
        <v>1.7201398668061691</v>
      </c>
      <c r="AC7117" s="37">
        <v>2.8018875104331613</v>
      </c>
      <c r="AD7117" s="37">
        <v>3.2121852541571325</v>
      </c>
    </row>
    <row r="7118" spans="27:30" x14ac:dyDescent="0.3">
      <c r="AA7118" s="37">
        <v>7098</v>
      </c>
      <c r="AB7118" s="37">
        <v>1.6652319876825152</v>
      </c>
      <c r="AC7118" s="37">
        <v>2.7941778297989415</v>
      </c>
      <c r="AD7118" s="37">
        <v>3.3356425814770208</v>
      </c>
    </row>
    <row r="7119" spans="27:30" x14ac:dyDescent="0.3">
      <c r="AA7119" s="37">
        <v>7099</v>
      </c>
      <c r="AB7119" s="37">
        <v>1.797126970307837</v>
      </c>
      <c r="AC7119" s="37">
        <v>2.9803154752376133</v>
      </c>
      <c r="AD7119" s="37">
        <v>3.3602679112348786</v>
      </c>
    </row>
    <row r="7120" spans="27:30" x14ac:dyDescent="0.3">
      <c r="AA7120" s="37">
        <v>7100</v>
      </c>
      <c r="AB7120" s="37">
        <v>1.7767142404949234</v>
      </c>
      <c r="AC7120" s="37">
        <v>2.7541080130820688</v>
      </c>
      <c r="AD7120" s="37">
        <v>3.1977266882822679</v>
      </c>
    </row>
    <row r="7121" spans="27:30" x14ac:dyDescent="0.3">
      <c r="AA7121" s="37">
        <v>7101</v>
      </c>
      <c r="AB7121" s="37">
        <v>1.7390710080712202</v>
      </c>
      <c r="AC7121" s="37">
        <v>2.7926073018058597</v>
      </c>
      <c r="AD7121" s="37">
        <v>3.6342060877521432</v>
      </c>
    </row>
    <row r="7122" spans="27:30" x14ac:dyDescent="0.3">
      <c r="AA7122" s="37">
        <v>7102</v>
      </c>
      <c r="AB7122" s="37">
        <v>1.862410645602165</v>
      </c>
      <c r="AC7122" s="37">
        <v>2.9010123763999291</v>
      </c>
      <c r="AD7122" s="37">
        <v>3.3799793844156629</v>
      </c>
    </row>
    <row r="7123" spans="27:30" x14ac:dyDescent="0.3">
      <c r="AA7123" s="37">
        <v>7103</v>
      </c>
      <c r="AB7123" s="37">
        <v>1.7644922830211729</v>
      </c>
      <c r="AC7123" s="37">
        <v>2.7072090264422313</v>
      </c>
      <c r="AD7123" s="37">
        <v>3.3339236479437653</v>
      </c>
    </row>
    <row r="7124" spans="27:30" x14ac:dyDescent="0.3">
      <c r="AA7124" s="37">
        <v>7104</v>
      </c>
      <c r="AB7124" s="37">
        <v>1.8568390427941255</v>
      </c>
      <c r="AC7124" s="37">
        <v>2.8971058053153254</v>
      </c>
      <c r="AD7124" s="37">
        <v>3.2872454149134613</v>
      </c>
    </row>
    <row r="7125" spans="27:30" x14ac:dyDescent="0.3">
      <c r="AA7125" s="37">
        <v>7105</v>
      </c>
      <c r="AB7125" s="37">
        <v>1.6709199320790553</v>
      </c>
      <c r="AC7125" s="37">
        <v>3.0360836293103413</v>
      </c>
      <c r="AD7125" s="37">
        <v>3.3888417863547668</v>
      </c>
    </row>
    <row r="7126" spans="27:30" x14ac:dyDescent="0.3">
      <c r="AA7126" s="37">
        <v>7106</v>
      </c>
      <c r="AB7126" s="37">
        <v>1.8074702997538445</v>
      </c>
      <c r="AC7126" s="37">
        <v>2.7406002776454792</v>
      </c>
      <c r="AD7126" s="37">
        <v>3.3075604280158433</v>
      </c>
    </row>
    <row r="7127" spans="27:30" x14ac:dyDescent="0.3">
      <c r="AA7127" s="37">
        <v>7107</v>
      </c>
      <c r="AB7127" s="37">
        <v>1.8982085638340149</v>
      </c>
      <c r="AC7127" s="37">
        <v>2.8999878731911326</v>
      </c>
      <c r="AD7127" s="37">
        <v>3.3822711031192156</v>
      </c>
    </row>
    <row r="7128" spans="27:30" x14ac:dyDescent="0.3">
      <c r="AA7128" s="37">
        <v>7108</v>
      </c>
      <c r="AB7128" s="37">
        <v>1.8639351050095256</v>
      </c>
      <c r="AC7128" s="37">
        <v>2.7596672212364721</v>
      </c>
      <c r="AD7128" s="37">
        <v>3.2144941733182359</v>
      </c>
    </row>
    <row r="7129" spans="27:30" x14ac:dyDescent="0.3">
      <c r="AA7129" s="37">
        <v>7109</v>
      </c>
      <c r="AB7129" s="37">
        <v>1.6283293922435182</v>
      </c>
      <c r="AC7129" s="37">
        <v>2.8267570083851408</v>
      </c>
      <c r="AD7129" s="37">
        <v>3.3205339207734879</v>
      </c>
    </row>
    <row r="7130" spans="27:30" x14ac:dyDescent="0.3">
      <c r="AA7130" s="37">
        <v>7110</v>
      </c>
      <c r="AB7130" s="37">
        <v>1.7945874125863501</v>
      </c>
      <c r="AC7130" s="37">
        <v>2.6850599423835955</v>
      </c>
      <c r="AD7130" s="37">
        <v>3.3492937625643067</v>
      </c>
    </row>
    <row r="7131" spans="27:30" x14ac:dyDescent="0.3">
      <c r="AA7131" s="37">
        <v>7111</v>
      </c>
      <c r="AB7131" s="37">
        <v>1.756726839382083</v>
      </c>
      <c r="AC7131" s="37">
        <v>2.9036479478089761</v>
      </c>
      <c r="AD7131" s="37">
        <v>3.4458234950469926</v>
      </c>
    </row>
    <row r="7132" spans="27:30" x14ac:dyDescent="0.3">
      <c r="AA7132" s="37">
        <v>7112</v>
      </c>
      <c r="AB7132" s="37">
        <v>1.8060433866331993</v>
      </c>
      <c r="AC7132" s="37">
        <v>2.797110632428744</v>
      </c>
      <c r="AD7132" s="37">
        <v>3.0444457818586774</v>
      </c>
    </row>
    <row r="7133" spans="27:30" x14ac:dyDescent="0.3">
      <c r="AA7133" s="37">
        <v>7113</v>
      </c>
      <c r="AB7133" s="37">
        <v>1.8391942830815082</v>
      </c>
      <c r="AC7133" s="37">
        <v>2.6947812688017705</v>
      </c>
      <c r="AD7133" s="37">
        <v>3.0913001488986986</v>
      </c>
    </row>
    <row r="7134" spans="27:30" x14ac:dyDescent="0.3">
      <c r="AA7134" s="37">
        <v>7114</v>
      </c>
      <c r="AB7134" s="37">
        <v>1.7235303585058579</v>
      </c>
      <c r="AC7134" s="37">
        <v>2.8004634836282807</v>
      </c>
      <c r="AD7134" s="37">
        <v>3.2645087208450061</v>
      </c>
    </row>
    <row r="7135" spans="27:30" x14ac:dyDescent="0.3">
      <c r="AA7135" s="37">
        <v>7115</v>
      </c>
      <c r="AB7135" s="37">
        <v>1.7633155945107963</v>
      </c>
      <c r="AC7135" s="37">
        <v>2.9335007424410784</v>
      </c>
      <c r="AD7135" s="37">
        <v>3.0955875800443291</v>
      </c>
    </row>
    <row r="7136" spans="27:30" x14ac:dyDescent="0.3">
      <c r="AA7136" s="37">
        <v>7116</v>
      </c>
      <c r="AB7136" s="37">
        <v>1.7614117515151979</v>
      </c>
      <c r="AC7136" s="37">
        <v>2.808361744372688</v>
      </c>
      <c r="AD7136" s="37">
        <v>3.3931401535171983</v>
      </c>
    </row>
    <row r="7137" spans="27:30" x14ac:dyDescent="0.3">
      <c r="AA7137" s="37">
        <v>7117</v>
      </c>
      <c r="AB7137" s="37">
        <v>1.827405814658658</v>
      </c>
      <c r="AC7137" s="37">
        <v>3.0586408294311371</v>
      </c>
      <c r="AD7137" s="37">
        <v>3.3519028719823609</v>
      </c>
    </row>
    <row r="7138" spans="27:30" x14ac:dyDescent="0.3">
      <c r="AA7138" s="37">
        <v>7118</v>
      </c>
      <c r="AB7138" s="37">
        <v>1.7832697974030343</v>
      </c>
      <c r="AC7138" s="37">
        <v>2.9082488827627495</v>
      </c>
      <c r="AD7138" s="37">
        <v>3.4340347332785028</v>
      </c>
    </row>
    <row r="7139" spans="27:30" x14ac:dyDescent="0.3">
      <c r="AA7139" s="37">
        <v>7119</v>
      </c>
      <c r="AB7139" s="37">
        <v>1.7773654690638614</v>
      </c>
      <c r="AC7139" s="37">
        <v>2.9895184439964422</v>
      </c>
      <c r="AD7139" s="37">
        <v>3.5086275390472217</v>
      </c>
    </row>
    <row r="7140" spans="27:30" x14ac:dyDescent="0.3">
      <c r="AA7140" s="37">
        <v>7120</v>
      </c>
      <c r="AB7140" s="37">
        <v>1.8283371545594334</v>
      </c>
      <c r="AC7140" s="37">
        <v>2.6563767648594618</v>
      </c>
      <c r="AD7140" s="37">
        <v>3.5016753200721094</v>
      </c>
    </row>
    <row r="7141" spans="27:30" x14ac:dyDescent="0.3">
      <c r="AA7141" s="37">
        <v>7121</v>
      </c>
      <c r="AB7141" s="37">
        <v>1.7641055143937647</v>
      </c>
      <c r="AC7141" s="37">
        <v>2.6752756117327663</v>
      </c>
      <c r="AD7141" s="37">
        <v>3.599831951805935</v>
      </c>
    </row>
    <row r="7142" spans="27:30" x14ac:dyDescent="0.3">
      <c r="AA7142" s="37">
        <v>7122</v>
      </c>
      <c r="AB7142" s="37">
        <v>1.8091207204568447</v>
      </c>
      <c r="AC7142" s="37">
        <v>2.8663374861678825</v>
      </c>
      <c r="AD7142" s="37">
        <v>3.361938485226069</v>
      </c>
    </row>
    <row r="7143" spans="27:30" x14ac:dyDescent="0.3">
      <c r="AA7143" s="37">
        <v>7123</v>
      </c>
      <c r="AB7143" s="37">
        <v>1.733456143048985</v>
      </c>
      <c r="AC7143" s="37">
        <v>3.2077615063532052</v>
      </c>
      <c r="AD7143" s="37">
        <v>3.0663871994245082</v>
      </c>
    </row>
    <row r="7144" spans="27:30" x14ac:dyDescent="0.3">
      <c r="AA7144" s="37">
        <v>7124</v>
      </c>
      <c r="AB7144" s="37">
        <v>1.8220525057270285</v>
      </c>
      <c r="AC7144" s="37">
        <v>2.7581263844248438</v>
      </c>
      <c r="AD7144" s="37">
        <v>3.2123933754880989</v>
      </c>
    </row>
    <row r="7145" spans="27:30" x14ac:dyDescent="0.3">
      <c r="AA7145" s="37">
        <v>7125</v>
      </c>
      <c r="AB7145" s="37">
        <v>1.8653522652293768</v>
      </c>
      <c r="AC7145" s="37">
        <v>3.0624291752388615</v>
      </c>
      <c r="AD7145" s="37">
        <v>3.1210656890899879</v>
      </c>
    </row>
    <row r="7146" spans="27:30" x14ac:dyDescent="0.3">
      <c r="AA7146" s="37">
        <v>7126</v>
      </c>
      <c r="AB7146" s="37">
        <v>1.8117549649319931</v>
      </c>
      <c r="AC7146" s="37">
        <v>2.9094319368656212</v>
      </c>
      <c r="AD7146" s="37">
        <v>3.618020563190635</v>
      </c>
    </row>
    <row r="7147" spans="27:30" x14ac:dyDescent="0.3">
      <c r="AA7147" s="37">
        <v>7127</v>
      </c>
      <c r="AB7147" s="37">
        <v>1.7511791854828416</v>
      </c>
      <c r="AC7147" s="37">
        <v>2.7901067042386303</v>
      </c>
      <c r="AD7147" s="37">
        <v>3.3355188768960011</v>
      </c>
    </row>
    <row r="7148" spans="27:30" x14ac:dyDescent="0.3">
      <c r="AA7148" s="37">
        <v>7128</v>
      </c>
      <c r="AB7148" s="37">
        <v>1.7876247102035758</v>
      </c>
      <c r="AC7148" s="37">
        <v>2.8788320519761554</v>
      </c>
      <c r="AD7148" s="37">
        <v>3.6477382920132739</v>
      </c>
    </row>
    <row r="7149" spans="27:30" x14ac:dyDescent="0.3">
      <c r="AA7149" s="37">
        <v>7129</v>
      </c>
      <c r="AB7149" s="37">
        <v>1.8586568206973428</v>
      </c>
      <c r="AC7149" s="37">
        <v>2.8564668920768126</v>
      </c>
      <c r="AD7149" s="37">
        <v>3.4438504359894426</v>
      </c>
    </row>
    <row r="7150" spans="27:30" x14ac:dyDescent="0.3">
      <c r="AA7150" s="37">
        <v>7130</v>
      </c>
      <c r="AB7150" s="37">
        <v>1.7407944934485791</v>
      </c>
      <c r="AC7150" s="37">
        <v>2.9331854122627932</v>
      </c>
      <c r="AD7150" s="37">
        <v>3.1840386891520951</v>
      </c>
    </row>
    <row r="7151" spans="27:30" x14ac:dyDescent="0.3">
      <c r="AA7151" s="37">
        <v>7131</v>
      </c>
      <c r="AB7151" s="37">
        <v>1.7138252831595107</v>
      </c>
      <c r="AC7151" s="37">
        <v>2.9041391651941599</v>
      </c>
      <c r="AD7151" s="37">
        <v>3.3344335098244233</v>
      </c>
    </row>
    <row r="7152" spans="27:30" x14ac:dyDescent="0.3">
      <c r="AA7152" s="37">
        <v>7132</v>
      </c>
      <c r="AB7152" s="37">
        <v>1.9003272702455174</v>
      </c>
      <c r="AC7152" s="37">
        <v>2.7806798709964511</v>
      </c>
      <c r="AD7152" s="37">
        <v>3.2334985416787236</v>
      </c>
    </row>
    <row r="7153" spans="27:30" x14ac:dyDescent="0.3">
      <c r="AA7153" s="37">
        <v>7133</v>
      </c>
      <c r="AB7153" s="37">
        <v>1.8905626164670282</v>
      </c>
      <c r="AC7153" s="37">
        <v>2.9175487691563831</v>
      </c>
      <c r="AD7153" s="37">
        <v>3.3725846529128907</v>
      </c>
    </row>
    <row r="7154" spans="27:30" x14ac:dyDescent="0.3">
      <c r="AA7154" s="37">
        <v>7134</v>
      </c>
      <c r="AB7154" s="37">
        <v>1.7726556235041691</v>
      </c>
      <c r="AC7154" s="37">
        <v>2.860314815995431</v>
      </c>
      <c r="AD7154" s="37">
        <v>3.078098412436471</v>
      </c>
    </row>
    <row r="7155" spans="27:30" x14ac:dyDescent="0.3">
      <c r="AA7155" s="37">
        <v>7135</v>
      </c>
      <c r="AB7155" s="37">
        <v>1.6727018657444266</v>
      </c>
      <c r="AC7155" s="37">
        <v>2.9674072685225541</v>
      </c>
      <c r="AD7155" s="37">
        <v>3.2720650423617066</v>
      </c>
    </row>
    <row r="7156" spans="27:30" x14ac:dyDescent="0.3">
      <c r="AA7156" s="37">
        <v>7136</v>
      </c>
      <c r="AB7156" s="37">
        <v>1.932635431363229</v>
      </c>
      <c r="AC7156" s="37">
        <v>2.7721592695754724</v>
      </c>
      <c r="AD7156" s="37">
        <v>3.3987377151376639</v>
      </c>
    </row>
    <row r="7157" spans="27:30" x14ac:dyDescent="0.3">
      <c r="AA7157" s="37">
        <v>7137</v>
      </c>
      <c r="AB7157" s="37">
        <v>1.7936419128896597</v>
      </c>
      <c r="AC7157" s="37">
        <v>2.9055629214778826</v>
      </c>
      <c r="AD7157" s="37">
        <v>3.319374712621515</v>
      </c>
    </row>
    <row r="7158" spans="27:30" x14ac:dyDescent="0.3">
      <c r="AA7158" s="37">
        <v>7138</v>
      </c>
      <c r="AB7158" s="37">
        <v>1.7427649730843411</v>
      </c>
      <c r="AC7158" s="37">
        <v>2.7950277126865122</v>
      </c>
      <c r="AD7158" s="37">
        <v>3.559567267894038</v>
      </c>
    </row>
    <row r="7159" spans="27:30" x14ac:dyDescent="0.3">
      <c r="AA7159" s="37">
        <v>7139</v>
      </c>
      <c r="AB7159" s="37">
        <v>1.6861763194501167</v>
      </c>
      <c r="AC7159" s="37">
        <v>2.826802925948805</v>
      </c>
      <c r="AD7159" s="37">
        <v>3.3519554133553369</v>
      </c>
    </row>
    <row r="7160" spans="27:30" x14ac:dyDescent="0.3">
      <c r="AA7160" s="37">
        <v>7140</v>
      </c>
      <c r="AB7160" s="37">
        <v>1.7808996080163424</v>
      </c>
      <c r="AC7160" s="37">
        <v>2.8634339346632358</v>
      </c>
      <c r="AD7160" s="37">
        <v>3.3457101139899672</v>
      </c>
    </row>
    <row r="7161" spans="27:30" x14ac:dyDescent="0.3">
      <c r="AA7161" s="37">
        <v>7141</v>
      </c>
      <c r="AB7161" s="37">
        <v>1.6917645773199301</v>
      </c>
      <c r="AC7161" s="37">
        <v>2.93180043400548</v>
      </c>
      <c r="AD7161" s="37">
        <v>3.4003162990512137</v>
      </c>
    </row>
    <row r="7162" spans="27:30" x14ac:dyDescent="0.3">
      <c r="AA7162" s="37">
        <v>7142</v>
      </c>
      <c r="AB7162" s="37">
        <v>1.7057169323238695</v>
      </c>
      <c r="AC7162" s="37">
        <v>2.7477796281273905</v>
      </c>
      <c r="AD7162" s="37">
        <v>3.2264369349675506</v>
      </c>
    </row>
    <row r="7163" spans="27:30" x14ac:dyDescent="0.3">
      <c r="AA7163" s="37">
        <v>7143</v>
      </c>
      <c r="AB7163" s="37">
        <v>1.8668201905943189</v>
      </c>
      <c r="AC7163" s="37">
        <v>2.8548034363909824</v>
      </c>
      <c r="AD7163" s="37">
        <v>3.4570379955449773</v>
      </c>
    </row>
    <row r="7164" spans="27:30" x14ac:dyDescent="0.3">
      <c r="AA7164" s="37">
        <v>7144</v>
      </c>
      <c r="AB7164" s="37">
        <v>1.8120796619798745</v>
      </c>
      <c r="AC7164" s="37">
        <v>2.8248976030225625</v>
      </c>
      <c r="AD7164" s="37">
        <v>3.3757584437594601</v>
      </c>
    </row>
    <row r="7165" spans="27:30" x14ac:dyDescent="0.3">
      <c r="AA7165" s="37">
        <v>7145</v>
      </c>
      <c r="AB7165" s="37">
        <v>1.8351800210106841</v>
      </c>
      <c r="AC7165" s="37">
        <v>2.7969759979762014</v>
      </c>
      <c r="AD7165" s="37">
        <v>3.2127646204470297</v>
      </c>
    </row>
    <row r="7166" spans="27:30" x14ac:dyDescent="0.3">
      <c r="AA7166" s="37">
        <v>7146</v>
      </c>
      <c r="AB7166" s="37">
        <v>1.844097686457014</v>
      </c>
      <c r="AC7166" s="37">
        <v>2.7290068886564214</v>
      </c>
      <c r="AD7166" s="37">
        <v>3.0069395513358517</v>
      </c>
    </row>
    <row r="7167" spans="27:30" x14ac:dyDescent="0.3">
      <c r="AA7167" s="37">
        <v>7147</v>
      </c>
      <c r="AB7167" s="37">
        <v>1.7965503063158967</v>
      </c>
      <c r="AC7167" s="37">
        <v>2.9623637476390887</v>
      </c>
      <c r="AD7167" s="37">
        <v>3.4169177682283634</v>
      </c>
    </row>
    <row r="7168" spans="27:30" x14ac:dyDescent="0.3">
      <c r="AA7168" s="37">
        <v>7148</v>
      </c>
      <c r="AB7168" s="37">
        <v>1.7105655916385245</v>
      </c>
      <c r="AC7168" s="37">
        <v>2.8813382688735141</v>
      </c>
      <c r="AD7168" s="37">
        <v>3.4774781712529941</v>
      </c>
    </row>
    <row r="7169" spans="27:30" x14ac:dyDescent="0.3">
      <c r="AA7169" s="37">
        <v>7149</v>
      </c>
      <c r="AB7169" s="37">
        <v>1.738106542470329</v>
      </c>
      <c r="AC7169" s="37">
        <v>2.7182705469457473</v>
      </c>
      <c r="AD7169" s="37">
        <v>3.2008761865067656</v>
      </c>
    </row>
    <row r="7170" spans="27:30" x14ac:dyDescent="0.3">
      <c r="AA7170" s="37">
        <v>7150</v>
      </c>
      <c r="AB7170" s="37">
        <v>1.8043103432565399</v>
      </c>
      <c r="AC7170" s="37">
        <v>2.7009850231793884</v>
      </c>
      <c r="AD7170" s="37">
        <v>3.3653594879618725</v>
      </c>
    </row>
    <row r="7171" spans="27:30" x14ac:dyDescent="0.3">
      <c r="AA7171" s="37">
        <v>7151</v>
      </c>
      <c r="AB7171" s="37">
        <v>1.8529806181121464</v>
      </c>
      <c r="AC7171" s="37">
        <v>2.9241254308820612</v>
      </c>
      <c r="AD7171" s="37">
        <v>3.2042102321704227</v>
      </c>
    </row>
    <row r="7172" spans="27:30" x14ac:dyDescent="0.3">
      <c r="AA7172" s="37">
        <v>7152</v>
      </c>
      <c r="AB7172" s="37">
        <v>1.8022894439173684</v>
      </c>
      <c r="AC7172" s="37">
        <v>2.9044174008606811</v>
      </c>
      <c r="AD7172" s="37">
        <v>3.4819001073891753</v>
      </c>
    </row>
    <row r="7173" spans="27:30" x14ac:dyDescent="0.3">
      <c r="AA7173" s="37">
        <v>7153</v>
      </c>
      <c r="AB7173" s="37">
        <v>1.7583030722933002</v>
      </c>
      <c r="AC7173" s="37">
        <v>2.9030986757875095</v>
      </c>
      <c r="AD7173" s="37">
        <v>3.3456535522917528</v>
      </c>
    </row>
    <row r="7174" spans="27:30" x14ac:dyDescent="0.3">
      <c r="AA7174" s="37">
        <v>7154</v>
      </c>
      <c r="AB7174" s="37">
        <v>1.79718539140551</v>
      </c>
      <c r="AC7174" s="37">
        <v>2.941869957614446</v>
      </c>
      <c r="AD7174" s="37">
        <v>3.3133062218675806</v>
      </c>
    </row>
    <row r="7175" spans="27:30" x14ac:dyDescent="0.3">
      <c r="AA7175" s="37">
        <v>7155</v>
      </c>
      <c r="AB7175" s="37">
        <v>1.8421754098574465</v>
      </c>
      <c r="AC7175" s="37">
        <v>2.8116451840342789</v>
      </c>
      <c r="AD7175" s="37">
        <v>3.4596515492531741</v>
      </c>
    </row>
    <row r="7176" spans="27:30" x14ac:dyDescent="0.3">
      <c r="AA7176" s="37">
        <v>7156</v>
      </c>
      <c r="AB7176" s="37">
        <v>1.9293539638054218</v>
      </c>
      <c r="AC7176" s="37">
        <v>2.7491290849702406</v>
      </c>
      <c r="AD7176" s="37">
        <v>3.2761729344059729</v>
      </c>
    </row>
    <row r="7177" spans="27:30" x14ac:dyDescent="0.3">
      <c r="AA7177" s="37">
        <v>7157</v>
      </c>
      <c r="AB7177" s="37">
        <v>1.9039730397595453</v>
      </c>
      <c r="AC7177" s="37">
        <v>2.918119029396995</v>
      </c>
      <c r="AD7177" s="37">
        <v>3.4838639832819021</v>
      </c>
    </row>
    <row r="7178" spans="27:30" x14ac:dyDescent="0.3">
      <c r="AA7178" s="37">
        <v>7158</v>
      </c>
      <c r="AB7178" s="37">
        <v>1.7792335000706254</v>
      </c>
      <c r="AC7178" s="37">
        <v>2.8300651075774708</v>
      </c>
      <c r="AD7178" s="37">
        <v>3.3759125296188159</v>
      </c>
    </row>
    <row r="7179" spans="27:30" x14ac:dyDescent="0.3">
      <c r="AA7179" s="37">
        <v>7159</v>
      </c>
      <c r="AB7179" s="37">
        <v>1.8319028417498784</v>
      </c>
      <c r="AC7179" s="37">
        <v>2.8541979149466146</v>
      </c>
      <c r="AD7179" s="37">
        <v>3.3532086935244019</v>
      </c>
    </row>
    <row r="7180" spans="27:30" x14ac:dyDescent="0.3">
      <c r="AA7180" s="37">
        <v>7160</v>
      </c>
      <c r="AB7180" s="37">
        <v>1.7545168163748279</v>
      </c>
      <c r="AC7180" s="37">
        <v>2.7767206328735625</v>
      </c>
      <c r="AD7180" s="37">
        <v>3.3947736029229714</v>
      </c>
    </row>
    <row r="7181" spans="27:30" x14ac:dyDescent="0.3">
      <c r="AA7181" s="37">
        <v>7161</v>
      </c>
      <c r="AB7181" s="37">
        <v>1.8214348782892003</v>
      </c>
      <c r="AC7181" s="37">
        <v>2.9311876311472429</v>
      </c>
      <c r="AD7181" s="37">
        <v>3.5680795022254834</v>
      </c>
    </row>
    <row r="7182" spans="27:30" x14ac:dyDescent="0.3">
      <c r="AA7182" s="37">
        <v>7162</v>
      </c>
      <c r="AB7182" s="37">
        <v>1.76121434981209</v>
      </c>
      <c r="AC7182" s="37">
        <v>2.9973820140514835</v>
      </c>
      <c r="AD7182" s="37">
        <v>3.2690442151675576</v>
      </c>
    </row>
    <row r="7183" spans="27:30" x14ac:dyDescent="0.3">
      <c r="AA7183" s="37">
        <v>7163</v>
      </c>
      <c r="AB7183" s="37">
        <v>1.907260427775006</v>
      </c>
      <c r="AC7183" s="37">
        <v>2.7104556781079467</v>
      </c>
      <c r="AD7183" s="37">
        <v>3.1969549112393407</v>
      </c>
    </row>
    <row r="7184" spans="27:30" x14ac:dyDescent="0.3">
      <c r="AA7184" s="37">
        <v>7164</v>
      </c>
      <c r="AB7184" s="37">
        <v>1.8187064923672884</v>
      </c>
      <c r="AC7184" s="37">
        <v>2.7395752772938313</v>
      </c>
      <c r="AD7184" s="37">
        <v>3.4214117548583358</v>
      </c>
    </row>
    <row r="7185" spans="27:30" x14ac:dyDescent="0.3">
      <c r="AA7185" s="37">
        <v>7165</v>
      </c>
      <c r="AB7185" s="37">
        <v>1.7906072666157005</v>
      </c>
      <c r="AC7185" s="37">
        <v>2.8602754103264756</v>
      </c>
      <c r="AD7185" s="37">
        <v>3.2128559335828428</v>
      </c>
    </row>
    <row r="7186" spans="27:30" x14ac:dyDescent="0.3">
      <c r="AA7186" s="37">
        <v>7166</v>
      </c>
      <c r="AB7186" s="37">
        <v>1.8316031620658513</v>
      </c>
      <c r="AC7186" s="37">
        <v>2.7982855849144199</v>
      </c>
      <c r="AD7186" s="37">
        <v>3.4213024108978178</v>
      </c>
    </row>
    <row r="7187" spans="27:30" x14ac:dyDescent="0.3">
      <c r="AA7187" s="37">
        <v>7167</v>
      </c>
      <c r="AB7187" s="37">
        <v>1.7968471456155095</v>
      </c>
      <c r="AC7187" s="37">
        <v>2.7846073801326714</v>
      </c>
      <c r="AD7187" s="37">
        <v>3.2926751672055659</v>
      </c>
    </row>
    <row r="7188" spans="27:30" x14ac:dyDescent="0.3">
      <c r="AA7188" s="37">
        <v>7168</v>
      </c>
      <c r="AB7188" s="37">
        <v>1.6400384275808801</v>
      </c>
      <c r="AC7188" s="37">
        <v>2.7812944022329518</v>
      </c>
      <c r="AD7188" s="37">
        <v>3.3144684355094252</v>
      </c>
    </row>
    <row r="7189" spans="27:30" x14ac:dyDescent="0.3">
      <c r="AA7189" s="37">
        <v>7169</v>
      </c>
      <c r="AB7189" s="37">
        <v>1.7009606504022441</v>
      </c>
      <c r="AC7189" s="37">
        <v>2.9283387546113904</v>
      </c>
      <c r="AD7189" s="37">
        <v>3.4825514673646221</v>
      </c>
    </row>
    <row r="7190" spans="27:30" x14ac:dyDescent="0.3">
      <c r="AA7190" s="37">
        <v>7170</v>
      </c>
      <c r="AB7190" s="37">
        <v>1.9214347906980711</v>
      </c>
      <c r="AC7190" s="37">
        <v>2.8278562438696953</v>
      </c>
      <c r="AD7190" s="37">
        <v>3.3275495839301343</v>
      </c>
    </row>
    <row r="7191" spans="27:30" x14ac:dyDescent="0.3">
      <c r="AA7191" s="37">
        <v>7171</v>
      </c>
      <c r="AB7191" s="37">
        <v>1.7795664615383897</v>
      </c>
      <c r="AC7191" s="37">
        <v>2.8954213691880812</v>
      </c>
      <c r="AD7191" s="37">
        <v>3.300011030107465</v>
      </c>
    </row>
    <row r="7192" spans="27:30" x14ac:dyDescent="0.3">
      <c r="AA7192" s="37">
        <v>7172</v>
      </c>
      <c r="AB7192" s="37">
        <v>1.7205231943026329</v>
      </c>
      <c r="AC7192" s="37">
        <v>2.9075734425850084</v>
      </c>
      <c r="AD7192" s="37">
        <v>3.4089936154810498</v>
      </c>
    </row>
    <row r="7193" spans="27:30" x14ac:dyDescent="0.3">
      <c r="AA7193" s="37">
        <v>7173</v>
      </c>
      <c r="AB7193" s="37">
        <v>1.670787349927835</v>
      </c>
      <c r="AC7193" s="37">
        <v>3.0235069622524864</v>
      </c>
      <c r="AD7193" s="37">
        <v>3.3005218286997886</v>
      </c>
    </row>
    <row r="7194" spans="27:30" x14ac:dyDescent="0.3">
      <c r="AA7194" s="37">
        <v>7174</v>
      </c>
      <c r="AB7194" s="37">
        <v>1.763155849324199</v>
      </c>
      <c r="AC7194" s="37">
        <v>2.6848102536503062</v>
      </c>
      <c r="AD7194" s="37">
        <v>3.4291334403488078</v>
      </c>
    </row>
    <row r="7195" spans="27:30" x14ac:dyDescent="0.3">
      <c r="AA7195" s="37">
        <v>7175</v>
      </c>
      <c r="AB7195" s="37">
        <v>1.9008970176776969</v>
      </c>
      <c r="AC7195" s="37">
        <v>3.0271342281632201</v>
      </c>
      <c r="AD7195" s="37">
        <v>3.4201466782561756</v>
      </c>
    </row>
    <row r="7196" spans="27:30" x14ac:dyDescent="0.3">
      <c r="AA7196" s="37">
        <v>7176</v>
      </c>
      <c r="AB7196" s="37">
        <v>1.8160175069263322</v>
      </c>
      <c r="AC7196" s="37">
        <v>2.6365438593814576</v>
      </c>
      <c r="AD7196" s="37">
        <v>3.2819215775399284</v>
      </c>
    </row>
    <row r="7197" spans="27:30" x14ac:dyDescent="0.3">
      <c r="AA7197" s="37">
        <v>7177</v>
      </c>
      <c r="AB7197" s="37">
        <v>1.7388130395803167</v>
      </c>
      <c r="AC7197" s="37">
        <v>2.6523633835586251</v>
      </c>
      <c r="AD7197" s="37">
        <v>3.2180611924465103</v>
      </c>
    </row>
    <row r="7198" spans="27:30" x14ac:dyDescent="0.3">
      <c r="AA7198" s="37">
        <v>7178</v>
      </c>
      <c r="AB7198" s="37">
        <v>1.8060754695210657</v>
      </c>
      <c r="AC7198" s="37">
        <v>2.8519951184301031</v>
      </c>
      <c r="AD7198" s="37">
        <v>3.2055162917271889</v>
      </c>
    </row>
    <row r="7199" spans="27:30" x14ac:dyDescent="0.3">
      <c r="AA7199" s="37">
        <v>7179</v>
      </c>
      <c r="AB7199" s="37">
        <v>1.8687617477868128</v>
      </c>
      <c r="AC7199" s="37">
        <v>2.9348793181747057</v>
      </c>
      <c r="AD7199" s="37">
        <v>3.1949918899308716</v>
      </c>
    </row>
    <row r="7200" spans="27:30" x14ac:dyDescent="0.3">
      <c r="AA7200" s="37">
        <v>7180</v>
      </c>
      <c r="AB7200" s="37">
        <v>1.8909564283850442</v>
      </c>
      <c r="AC7200" s="37">
        <v>2.6643297302534816</v>
      </c>
      <c r="AD7200" s="37">
        <v>3.2735630362426402</v>
      </c>
    </row>
    <row r="7201" spans="27:30" x14ac:dyDescent="0.3">
      <c r="AA7201" s="37">
        <v>7181</v>
      </c>
      <c r="AB7201" s="37">
        <v>1.7973050550953611</v>
      </c>
      <c r="AC7201" s="37">
        <v>2.7484439838891093</v>
      </c>
      <c r="AD7201" s="37">
        <v>3.5107246005014723</v>
      </c>
    </row>
    <row r="7202" spans="27:30" x14ac:dyDescent="0.3">
      <c r="AA7202" s="37">
        <v>7182</v>
      </c>
      <c r="AB7202" s="37">
        <v>1.8059022857843297</v>
      </c>
      <c r="AC7202" s="37">
        <v>2.772006302484463</v>
      </c>
      <c r="AD7202" s="37">
        <v>3.112563514097987</v>
      </c>
    </row>
    <row r="7203" spans="27:30" x14ac:dyDescent="0.3">
      <c r="AA7203" s="37">
        <v>7183</v>
      </c>
      <c r="AB7203" s="37">
        <v>1.7643598209738425</v>
      </c>
      <c r="AC7203" s="37">
        <v>2.819371531011587</v>
      </c>
      <c r="AD7203" s="37">
        <v>3.3178710237472502</v>
      </c>
    </row>
    <row r="7204" spans="27:30" x14ac:dyDescent="0.3">
      <c r="AA7204" s="37">
        <v>7184</v>
      </c>
      <c r="AB7204" s="37">
        <v>1.7109443556038462</v>
      </c>
      <c r="AC7204" s="37">
        <v>2.8056478616226692</v>
      </c>
      <c r="AD7204" s="37">
        <v>3.364541064528189</v>
      </c>
    </row>
    <row r="7205" spans="27:30" x14ac:dyDescent="0.3">
      <c r="AA7205" s="37">
        <v>7185</v>
      </c>
      <c r="AB7205" s="37">
        <v>1.8267268419947957</v>
      </c>
      <c r="AC7205" s="37">
        <v>2.7647285535737751</v>
      </c>
      <c r="AD7205" s="37">
        <v>3.4481683308033451</v>
      </c>
    </row>
    <row r="7206" spans="27:30" x14ac:dyDescent="0.3">
      <c r="AA7206" s="37">
        <v>7186</v>
      </c>
      <c r="AB7206" s="37">
        <v>1.7576500845954142</v>
      </c>
      <c r="AC7206" s="37">
        <v>2.8607143879528389</v>
      </c>
      <c r="AD7206" s="37">
        <v>3.4180456923351068</v>
      </c>
    </row>
    <row r="7207" spans="27:30" x14ac:dyDescent="0.3">
      <c r="AA7207" s="37">
        <v>7187</v>
      </c>
      <c r="AB7207" s="37">
        <v>1.7527646717340695</v>
      </c>
      <c r="AC7207" s="37">
        <v>2.9159913755760227</v>
      </c>
      <c r="AD7207" s="37">
        <v>3.3989229681179571</v>
      </c>
    </row>
    <row r="7208" spans="27:30" x14ac:dyDescent="0.3">
      <c r="AA7208" s="37">
        <v>7188</v>
      </c>
      <c r="AB7208" s="37">
        <v>1.7990399088362337</v>
      </c>
      <c r="AC7208" s="37">
        <v>2.7969948730165273</v>
      </c>
      <c r="AD7208" s="37">
        <v>3.3607436687863701</v>
      </c>
    </row>
    <row r="7209" spans="27:30" x14ac:dyDescent="0.3">
      <c r="AA7209" s="37">
        <v>7189</v>
      </c>
      <c r="AB7209" s="37">
        <v>1.9225667434331262</v>
      </c>
      <c r="AC7209" s="37">
        <v>2.8024007905676149</v>
      </c>
      <c r="AD7209" s="37">
        <v>3.3972281790978927</v>
      </c>
    </row>
    <row r="7210" spans="27:30" x14ac:dyDescent="0.3">
      <c r="AA7210" s="37">
        <v>7190</v>
      </c>
      <c r="AB7210" s="37">
        <v>1.8645736214244553</v>
      </c>
      <c r="AC7210" s="37">
        <v>2.6421549457755087</v>
      </c>
      <c r="AD7210" s="37">
        <v>3.3014182741260489</v>
      </c>
    </row>
    <row r="7211" spans="27:30" x14ac:dyDescent="0.3">
      <c r="AA7211" s="37">
        <v>7191</v>
      </c>
      <c r="AB7211" s="37">
        <v>1.617768015275002</v>
      </c>
      <c r="AC7211" s="37">
        <v>2.8472818472742851</v>
      </c>
      <c r="AD7211" s="37">
        <v>3.4038211799786318</v>
      </c>
    </row>
    <row r="7212" spans="27:30" x14ac:dyDescent="0.3">
      <c r="AA7212" s="37">
        <v>7192</v>
      </c>
      <c r="AB7212" s="37">
        <v>1.8046538324559482</v>
      </c>
      <c r="AC7212" s="37">
        <v>2.8094063547708354</v>
      </c>
      <c r="AD7212" s="37">
        <v>3.3437910070944481</v>
      </c>
    </row>
    <row r="7213" spans="27:30" x14ac:dyDescent="0.3">
      <c r="AA7213" s="37">
        <v>7193</v>
      </c>
      <c r="AB7213" s="37">
        <v>1.7661856496515758</v>
      </c>
      <c r="AC7213" s="37">
        <v>2.7401778362092664</v>
      </c>
      <c r="AD7213" s="37">
        <v>3.3103265114426792</v>
      </c>
    </row>
    <row r="7214" spans="27:30" x14ac:dyDescent="0.3">
      <c r="AA7214" s="37">
        <v>7194</v>
      </c>
      <c r="AB7214" s="37">
        <v>1.7785799072338093</v>
      </c>
      <c r="AC7214" s="37">
        <v>2.7763194283990242</v>
      </c>
      <c r="AD7214" s="37">
        <v>3.1354670668318003</v>
      </c>
    </row>
    <row r="7215" spans="27:30" x14ac:dyDescent="0.3">
      <c r="AA7215" s="37">
        <v>7195</v>
      </c>
      <c r="AB7215" s="37">
        <v>1.7729898150267167</v>
      </c>
      <c r="AC7215" s="37">
        <v>2.8296246590092697</v>
      </c>
      <c r="AD7215" s="37">
        <v>3.241132374441837</v>
      </c>
    </row>
    <row r="7216" spans="27:30" x14ac:dyDescent="0.3">
      <c r="AA7216" s="37">
        <v>7196</v>
      </c>
      <c r="AB7216" s="37">
        <v>1.806181784897489</v>
      </c>
      <c r="AC7216" s="37">
        <v>2.8704973196230941</v>
      </c>
      <c r="AD7216" s="37">
        <v>3.3398778967392437</v>
      </c>
    </row>
    <row r="7217" spans="27:30" x14ac:dyDescent="0.3">
      <c r="AA7217" s="37">
        <v>7197</v>
      </c>
      <c r="AB7217" s="37">
        <v>1.8121025782912212</v>
      </c>
      <c r="AC7217" s="37">
        <v>2.8543165790526128</v>
      </c>
      <c r="AD7217" s="37">
        <v>3.5198116283740841</v>
      </c>
    </row>
    <row r="7218" spans="27:30" x14ac:dyDescent="0.3">
      <c r="AA7218" s="37">
        <v>7198</v>
      </c>
      <c r="AB7218" s="37">
        <v>1.760194761854359</v>
      </c>
      <c r="AC7218" s="37">
        <v>2.7819651989900156</v>
      </c>
      <c r="AD7218" s="37">
        <v>3.6063270145449291</v>
      </c>
    </row>
    <row r="7219" spans="27:30" x14ac:dyDescent="0.3">
      <c r="AA7219" s="37">
        <v>7199</v>
      </c>
      <c r="AB7219" s="37">
        <v>1.8720296438552506</v>
      </c>
      <c r="AC7219" s="37">
        <v>3.0644057707997123</v>
      </c>
      <c r="AD7219" s="37">
        <v>3.1290372485254641</v>
      </c>
    </row>
    <row r="7220" spans="27:30" x14ac:dyDescent="0.3">
      <c r="AA7220" s="37">
        <v>7200</v>
      </c>
      <c r="AB7220" s="37">
        <v>1.7826643832630282</v>
      </c>
      <c r="AC7220" s="37">
        <v>2.8626381148842892</v>
      </c>
      <c r="AD7220" s="37">
        <v>3.372225240102507</v>
      </c>
    </row>
    <row r="7221" spans="27:30" x14ac:dyDescent="0.3">
      <c r="AA7221" s="37">
        <v>7201</v>
      </c>
      <c r="AB7221" s="37">
        <v>1.8335638200175928</v>
      </c>
      <c r="AC7221" s="37">
        <v>2.7542853730939094</v>
      </c>
      <c r="AD7221" s="37">
        <v>3.4151448657524415</v>
      </c>
    </row>
    <row r="7222" spans="27:30" x14ac:dyDescent="0.3">
      <c r="AA7222" s="37">
        <v>7202</v>
      </c>
      <c r="AB7222" s="37">
        <v>1.6820055118456123</v>
      </c>
      <c r="AC7222" s="37">
        <v>2.7881978992704117</v>
      </c>
      <c r="AD7222" s="37">
        <v>3.2679468710272759</v>
      </c>
    </row>
    <row r="7223" spans="27:30" x14ac:dyDescent="0.3">
      <c r="AA7223" s="37">
        <v>7203</v>
      </c>
      <c r="AB7223" s="37">
        <v>1.684774882164362</v>
      </c>
      <c r="AC7223" s="37">
        <v>2.8402953838826344</v>
      </c>
      <c r="AD7223" s="37">
        <v>3.460560661646749</v>
      </c>
    </row>
    <row r="7224" spans="27:30" x14ac:dyDescent="0.3">
      <c r="AA7224" s="37">
        <v>7204</v>
      </c>
      <c r="AB7224" s="37">
        <v>1.7649497449859723</v>
      </c>
      <c r="AC7224" s="37">
        <v>2.9166211048509121</v>
      </c>
      <c r="AD7224" s="37">
        <v>3.3357705664853903</v>
      </c>
    </row>
    <row r="7225" spans="27:30" x14ac:dyDescent="0.3">
      <c r="AA7225" s="37">
        <v>7205</v>
      </c>
      <c r="AB7225" s="37">
        <v>1.7875567339876364</v>
      </c>
      <c r="AC7225" s="37">
        <v>2.8971859321560443</v>
      </c>
      <c r="AD7225" s="37">
        <v>3.345690429178481</v>
      </c>
    </row>
    <row r="7226" spans="27:30" x14ac:dyDescent="0.3">
      <c r="AA7226" s="37">
        <v>7206</v>
      </c>
      <c r="AB7226" s="37">
        <v>1.8498351474635648</v>
      </c>
      <c r="AC7226" s="37">
        <v>2.9791203173317098</v>
      </c>
      <c r="AD7226" s="37">
        <v>3.2536822543442945</v>
      </c>
    </row>
    <row r="7227" spans="27:30" x14ac:dyDescent="0.3">
      <c r="AA7227" s="37">
        <v>7207</v>
      </c>
      <c r="AB7227" s="37">
        <v>1.7807292006469417</v>
      </c>
      <c r="AC7227" s="37">
        <v>2.6918937139676564</v>
      </c>
      <c r="AD7227" s="37">
        <v>3.2490355535080306</v>
      </c>
    </row>
    <row r="7228" spans="27:30" x14ac:dyDescent="0.3">
      <c r="AA7228" s="37">
        <v>7208</v>
      </c>
      <c r="AB7228" s="37">
        <v>1.7090840072076749</v>
      </c>
      <c r="AC7228" s="37">
        <v>2.7147093536375775</v>
      </c>
      <c r="AD7228" s="37">
        <v>3.4037534792947057</v>
      </c>
    </row>
    <row r="7229" spans="27:30" x14ac:dyDescent="0.3">
      <c r="AA7229" s="37">
        <v>7209</v>
      </c>
      <c r="AB7229" s="37">
        <v>1.7456070408021358</v>
      </c>
      <c r="AC7229" s="37">
        <v>2.7930945577768753</v>
      </c>
      <c r="AD7229" s="37">
        <v>3.3214094116939861</v>
      </c>
    </row>
    <row r="7230" spans="27:30" x14ac:dyDescent="0.3">
      <c r="AA7230" s="37">
        <v>7210</v>
      </c>
      <c r="AB7230" s="37">
        <v>1.8281988580928221</v>
      </c>
      <c r="AC7230" s="37">
        <v>2.8449088951753652</v>
      </c>
      <c r="AD7230" s="37">
        <v>3.2031766889034334</v>
      </c>
    </row>
    <row r="7231" spans="27:30" x14ac:dyDescent="0.3">
      <c r="AA7231" s="37">
        <v>7211</v>
      </c>
      <c r="AB7231" s="37">
        <v>1.712907581722237</v>
      </c>
      <c r="AC7231" s="37">
        <v>2.9498829332196914</v>
      </c>
      <c r="AD7231" s="37">
        <v>3.4493161206072087</v>
      </c>
    </row>
    <row r="7232" spans="27:30" x14ac:dyDescent="0.3">
      <c r="AA7232" s="37">
        <v>7212</v>
      </c>
      <c r="AB7232" s="37">
        <v>1.8459840330702755</v>
      </c>
      <c r="AC7232" s="37">
        <v>2.7293644979591321</v>
      </c>
      <c r="AD7232" s="37">
        <v>3.4581338408618718</v>
      </c>
    </row>
    <row r="7233" spans="27:30" x14ac:dyDescent="0.3">
      <c r="AA7233" s="37">
        <v>7213</v>
      </c>
      <c r="AB7233" s="37">
        <v>1.8958009954746706</v>
      </c>
      <c r="AC7233" s="37">
        <v>2.8866782173462364</v>
      </c>
      <c r="AD7233" s="37">
        <v>3.4381316273460394</v>
      </c>
    </row>
    <row r="7234" spans="27:30" x14ac:dyDescent="0.3">
      <c r="AA7234" s="37">
        <v>7214</v>
      </c>
      <c r="AB7234" s="37">
        <v>1.8280785313260508</v>
      </c>
      <c r="AC7234" s="37">
        <v>2.7100992450493164</v>
      </c>
      <c r="AD7234" s="37">
        <v>3.4945664049165739</v>
      </c>
    </row>
    <row r="7235" spans="27:30" x14ac:dyDescent="0.3">
      <c r="AA7235" s="37">
        <v>7215</v>
      </c>
      <c r="AB7235" s="37">
        <v>1.8610467546849658</v>
      </c>
      <c r="AC7235" s="37">
        <v>2.9099659266397682</v>
      </c>
      <c r="AD7235" s="37">
        <v>3.4075777710260375</v>
      </c>
    </row>
    <row r="7236" spans="27:30" x14ac:dyDescent="0.3">
      <c r="AA7236" s="37">
        <v>7216</v>
      </c>
      <c r="AB7236" s="37">
        <v>1.7329320287295324</v>
      </c>
      <c r="AC7236" s="37">
        <v>2.7222424006915276</v>
      </c>
      <c r="AD7236" s="37">
        <v>3.4431069272339179</v>
      </c>
    </row>
    <row r="7237" spans="27:30" x14ac:dyDescent="0.3">
      <c r="AA7237" s="37">
        <v>7217</v>
      </c>
      <c r="AB7237" s="37">
        <v>1.6926526053550737</v>
      </c>
      <c r="AC7237" s="37">
        <v>2.7494781677825686</v>
      </c>
      <c r="AD7237" s="37">
        <v>3.2330826300365154</v>
      </c>
    </row>
    <row r="7238" spans="27:30" x14ac:dyDescent="0.3">
      <c r="AA7238" s="37">
        <v>7218</v>
      </c>
      <c r="AB7238" s="37">
        <v>1.8938292209418408</v>
      </c>
      <c r="AC7238" s="37">
        <v>2.7367828299223715</v>
      </c>
      <c r="AD7238" s="37">
        <v>3.3653900198033222</v>
      </c>
    </row>
    <row r="7239" spans="27:30" x14ac:dyDescent="0.3">
      <c r="AA7239" s="37">
        <v>7219</v>
      </c>
      <c r="AB7239" s="37">
        <v>1.8395230029994953</v>
      </c>
      <c r="AC7239" s="37">
        <v>2.8012379016675242</v>
      </c>
      <c r="AD7239" s="37">
        <v>3.5575397368422075</v>
      </c>
    </row>
    <row r="7240" spans="27:30" x14ac:dyDescent="0.3">
      <c r="AA7240" s="37">
        <v>7220</v>
      </c>
      <c r="AB7240" s="37">
        <v>1.8607900812493354</v>
      </c>
      <c r="AC7240" s="37">
        <v>2.8599899331401617</v>
      </c>
      <c r="AD7240" s="37">
        <v>3.2269382797505113</v>
      </c>
    </row>
    <row r="7241" spans="27:30" x14ac:dyDescent="0.3">
      <c r="AA7241" s="37">
        <v>7221</v>
      </c>
      <c r="AB7241" s="37">
        <v>1.7111057443402142</v>
      </c>
      <c r="AC7241" s="37">
        <v>2.7835074716188797</v>
      </c>
      <c r="AD7241" s="37">
        <v>3.1986439906057882</v>
      </c>
    </row>
    <row r="7242" spans="27:30" x14ac:dyDescent="0.3">
      <c r="AA7242" s="37">
        <v>7222</v>
      </c>
      <c r="AB7242" s="37">
        <v>1.8092215850282052</v>
      </c>
      <c r="AC7242" s="37">
        <v>2.7615830851890357</v>
      </c>
      <c r="AD7242" s="37">
        <v>3.310134470940155</v>
      </c>
    </row>
    <row r="7243" spans="27:30" x14ac:dyDescent="0.3">
      <c r="AA7243" s="37">
        <v>7223</v>
      </c>
      <c r="AB7243" s="37">
        <v>1.8822669198620026</v>
      </c>
      <c r="AC7243" s="37">
        <v>2.7351916628122854</v>
      </c>
      <c r="AD7243" s="37">
        <v>3.3002802452195712</v>
      </c>
    </row>
    <row r="7244" spans="27:30" x14ac:dyDescent="0.3">
      <c r="AA7244" s="37">
        <v>7224</v>
      </c>
      <c r="AB7244" s="37">
        <v>1.7468109701406491</v>
      </c>
      <c r="AC7244" s="37">
        <v>2.8977697803775055</v>
      </c>
      <c r="AD7244" s="37">
        <v>3.3115279540708156</v>
      </c>
    </row>
    <row r="7245" spans="27:30" x14ac:dyDescent="0.3">
      <c r="AA7245" s="37">
        <v>7225</v>
      </c>
      <c r="AB7245" s="37">
        <v>1.7542596152938208</v>
      </c>
      <c r="AC7245" s="37">
        <v>2.7886207759189841</v>
      </c>
      <c r="AD7245" s="37">
        <v>3.2966151713098513</v>
      </c>
    </row>
    <row r="7246" spans="27:30" x14ac:dyDescent="0.3">
      <c r="AA7246" s="37">
        <v>7226</v>
      </c>
      <c r="AB7246" s="37">
        <v>1.7270981384957889</v>
      </c>
      <c r="AC7246" s="37">
        <v>2.9422890634848979</v>
      </c>
      <c r="AD7246" s="37">
        <v>3.3920168369740251</v>
      </c>
    </row>
    <row r="7247" spans="27:30" x14ac:dyDescent="0.3">
      <c r="AA7247" s="37">
        <v>7227</v>
      </c>
      <c r="AB7247" s="37">
        <v>1.8053399080933288</v>
      </c>
      <c r="AC7247" s="37">
        <v>2.7758448291138498</v>
      </c>
      <c r="AD7247" s="37">
        <v>3.2598247082781531</v>
      </c>
    </row>
    <row r="7248" spans="27:30" x14ac:dyDescent="0.3">
      <c r="AA7248" s="37">
        <v>7228</v>
      </c>
      <c r="AB7248" s="37">
        <v>1.7196559349814549</v>
      </c>
      <c r="AC7248" s="37">
        <v>2.8133469871592154</v>
      </c>
      <c r="AD7248" s="37">
        <v>3.3177655067174854</v>
      </c>
    </row>
    <row r="7249" spans="27:30" x14ac:dyDescent="0.3">
      <c r="AA7249" s="37">
        <v>7229</v>
      </c>
      <c r="AB7249" s="37">
        <v>1.872695274125483</v>
      </c>
      <c r="AC7249" s="37">
        <v>2.8280248705392048</v>
      </c>
      <c r="AD7249" s="37">
        <v>3.5241801937300026</v>
      </c>
    </row>
    <row r="7250" spans="27:30" x14ac:dyDescent="0.3">
      <c r="AA7250" s="37">
        <v>7230</v>
      </c>
      <c r="AB7250" s="37">
        <v>1.805638440055525</v>
      </c>
      <c r="AC7250" s="37">
        <v>2.7454195188817518</v>
      </c>
      <c r="AD7250" s="37">
        <v>3.2895840259377902</v>
      </c>
    </row>
    <row r="7251" spans="27:30" x14ac:dyDescent="0.3">
      <c r="AA7251" s="37">
        <v>7231</v>
      </c>
      <c r="AB7251" s="37">
        <v>1.8712764287832209</v>
      </c>
      <c r="AC7251" s="37">
        <v>2.7817424728351341</v>
      </c>
      <c r="AD7251" s="37">
        <v>3.2451480988447492</v>
      </c>
    </row>
    <row r="7252" spans="27:30" x14ac:dyDescent="0.3">
      <c r="AA7252" s="37">
        <v>7232</v>
      </c>
      <c r="AB7252" s="37">
        <v>1.77889745573882</v>
      </c>
      <c r="AC7252" s="37">
        <v>2.9455838027216643</v>
      </c>
      <c r="AD7252" s="37">
        <v>3.2875060100796465</v>
      </c>
    </row>
    <row r="7253" spans="27:30" x14ac:dyDescent="0.3">
      <c r="AA7253" s="37">
        <v>7233</v>
      </c>
      <c r="AB7253" s="37">
        <v>1.7322970313531576</v>
      </c>
      <c r="AC7253" s="37">
        <v>2.8983547122245219</v>
      </c>
      <c r="AD7253" s="37">
        <v>3.3425483806289495</v>
      </c>
    </row>
    <row r="7254" spans="27:30" x14ac:dyDescent="0.3">
      <c r="AA7254" s="37">
        <v>7234</v>
      </c>
      <c r="AB7254" s="37">
        <v>1.7815378985454067</v>
      </c>
      <c r="AC7254" s="37">
        <v>3.0291034855396077</v>
      </c>
      <c r="AD7254" s="37">
        <v>3.2952338744064789</v>
      </c>
    </row>
    <row r="7255" spans="27:30" x14ac:dyDescent="0.3">
      <c r="AA7255" s="37">
        <v>7235</v>
      </c>
      <c r="AB7255" s="37">
        <v>1.7745203052456784</v>
      </c>
      <c r="AC7255" s="37">
        <v>2.998395534155669</v>
      </c>
      <c r="AD7255" s="37">
        <v>3.336355306581563</v>
      </c>
    </row>
    <row r="7256" spans="27:30" x14ac:dyDescent="0.3">
      <c r="AA7256" s="37">
        <v>7236</v>
      </c>
      <c r="AB7256" s="37">
        <v>1.8680018954275621</v>
      </c>
      <c r="AC7256" s="37">
        <v>3.0001409065547517</v>
      </c>
      <c r="AD7256" s="37">
        <v>3.31830373786085</v>
      </c>
    </row>
    <row r="7257" spans="27:30" x14ac:dyDescent="0.3">
      <c r="AA7257" s="37">
        <v>7237</v>
      </c>
      <c r="AB7257" s="37">
        <v>1.8361454849064613</v>
      </c>
      <c r="AC7257" s="37">
        <v>2.7490086612013509</v>
      </c>
      <c r="AD7257" s="37">
        <v>3.446294087128539</v>
      </c>
    </row>
    <row r="7258" spans="27:30" x14ac:dyDescent="0.3">
      <c r="AA7258" s="37">
        <v>7238</v>
      </c>
      <c r="AB7258" s="37">
        <v>1.693454373719703</v>
      </c>
      <c r="AC7258" s="37">
        <v>2.8888062653689381</v>
      </c>
      <c r="AD7258" s="37">
        <v>3.4047784116621815</v>
      </c>
    </row>
    <row r="7259" spans="27:30" x14ac:dyDescent="0.3">
      <c r="AA7259" s="37">
        <v>7239</v>
      </c>
      <c r="AB7259" s="37">
        <v>1.7233008442501823</v>
      </c>
      <c r="AC7259" s="37">
        <v>2.684049924908757</v>
      </c>
      <c r="AD7259" s="37">
        <v>3.5992616790482295</v>
      </c>
    </row>
    <row r="7260" spans="27:30" x14ac:dyDescent="0.3">
      <c r="AA7260" s="37">
        <v>7240</v>
      </c>
      <c r="AB7260" s="37">
        <v>1.6722830439344543</v>
      </c>
      <c r="AC7260" s="37">
        <v>2.8300384333533679</v>
      </c>
      <c r="AD7260" s="37">
        <v>3.3044199282552902</v>
      </c>
    </row>
    <row r="7261" spans="27:30" x14ac:dyDescent="0.3">
      <c r="AA7261" s="37">
        <v>7241</v>
      </c>
      <c r="AB7261" s="37">
        <v>1.7807756681828131</v>
      </c>
      <c r="AC7261" s="37">
        <v>2.7149969656510335</v>
      </c>
      <c r="AD7261" s="37">
        <v>3.5176171129349387</v>
      </c>
    </row>
    <row r="7262" spans="27:30" x14ac:dyDescent="0.3">
      <c r="AA7262" s="37">
        <v>7242</v>
      </c>
      <c r="AB7262" s="37">
        <v>1.8496817954266767</v>
      </c>
      <c r="AC7262" s="37">
        <v>2.8022982782319472</v>
      </c>
      <c r="AD7262" s="37">
        <v>3.3083782681419542</v>
      </c>
    </row>
    <row r="7263" spans="27:30" x14ac:dyDescent="0.3">
      <c r="AA7263" s="37">
        <v>7243</v>
      </c>
      <c r="AB7263" s="37">
        <v>1.7786573493429862</v>
      </c>
      <c r="AC7263" s="37">
        <v>2.9479869738656475</v>
      </c>
      <c r="AD7263" s="37">
        <v>3.1778460013481111</v>
      </c>
    </row>
    <row r="7264" spans="27:30" x14ac:dyDescent="0.3">
      <c r="AA7264" s="37">
        <v>7244</v>
      </c>
      <c r="AB7264" s="37">
        <v>1.7711656798113942</v>
      </c>
      <c r="AC7264" s="37">
        <v>3.0798751801390765</v>
      </c>
      <c r="AD7264" s="37">
        <v>3.4513919184298496</v>
      </c>
    </row>
    <row r="7265" spans="27:30" x14ac:dyDescent="0.3">
      <c r="AA7265" s="37">
        <v>7245</v>
      </c>
      <c r="AB7265" s="37">
        <v>1.837273777773027</v>
      </c>
      <c r="AC7265" s="37">
        <v>3.0216555960093952</v>
      </c>
      <c r="AD7265" s="37">
        <v>3.2433154067286534</v>
      </c>
    </row>
    <row r="7266" spans="27:30" x14ac:dyDescent="0.3">
      <c r="AA7266" s="37">
        <v>7246</v>
      </c>
      <c r="AB7266" s="37">
        <v>1.7488356352193064</v>
      </c>
      <c r="AC7266" s="37">
        <v>2.9631028545145459</v>
      </c>
      <c r="AD7266" s="37">
        <v>3.47088549498458</v>
      </c>
    </row>
    <row r="7267" spans="27:30" x14ac:dyDescent="0.3">
      <c r="AA7267" s="37">
        <v>7247</v>
      </c>
      <c r="AB7267" s="37">
        <v>1.88832501650976</v>
      </c>
      <c r="AC7267" s="37">
        <v>2.7451823044181975</v>
      </c>
      <c r="AD7267" s="37">
        <v>3.6785231578003104</v>
      </c>
    </row>
    <row r="7268" spans="27:30" x14ac:dyDescent="0.3">
      <c r="AA7268" s="37">
        <v>7248</v>
      </c>
      <c r="AB7268" s="37">
        <v>1.6278889631724194</v>
      </c>
      <c r="AC7268" s="37">
        <v>2.9640773703886243</v>
      </c>
      <c r="AD7268" s="37">
        <v>3.4328508119594474</v>
      </c>
    </row>
    <row r="7269" spans="27:30" x14ac:dyDescent="0.3">
      <c r="AA7269" s="37">
        <v>7249</v>
      </c>
      <c r="AB7269" s="37">
        <v>1.6950543644661311</v>
      </c>
      <c r="AC7269" s="37">
        <v>2.9717895114200954</v>
      </c>
      <c r="AD7269" s="37">
        <v>3.5492177710219166</v>
      </c>
    </row>
    <row r="7270" spans="27:30" x14ac:dyDescent="0.3">
      <c r="AA7270" s="37">
        <v>7250</v>
      </c>
      <c r="AB7270" s="37">
        <v>1.8760859985305076</v>
      </c>
      <c r="AC7270" s="37">
        <v>3.0424476786332786</v>
      </c>
      <c r="AD7270" s="37">
        <v>3.2632953510196887</v>
      </c>
    </row>
    <row r="7271" spans="27:30" x14ac:dyDescent="0.3">
      <c r="AA7271" s="37">
        <v>7251</v>
      </c>
      <c r="AB7271" s="37">
        <v>1.8285015078296087</v>
      </c>
      <c r="AC7271" s="37">
        <v>2.6607346040541171</v>
      </c>
      <c r="AD7271" s="37">
        <v>3.2087805867538948</v>
      </c>
    </row>
    <row r="7272" spans="27:30" x14ac:dyDescent="0.3">
      <c r="AA7272" s="37">
        <v>7252</v>
      </c>
      <c r="AB7272" s="37">
        <v>1.885201197684798</v>
      </c>
      <c r="AC7272" s="37">
        <v>2.7192468053178929</v>
      </c>
      <c r="AD7272" s="37">
        <v>3.2078400734406207</v>
      </c>
    </row>
    <row r="7273" spans="27:30" x14ac:dyDescent="0.3">
      <c r="AA7273" s="37">
        <v>7253</v>
      </c>
      <c r="AB7273" s="37">
        <v>1.8040738442200337</v>
      </c>
      <c r="AC7273" s="37">
        <v>2.9013146593374075</v>
      </c>
      <c r="AD7273" s="37">
        <v>3.3421600629487576</v>
      </c>
    </row>
    <row r="7274" spans="27:30" x14ac:dyDescent="0.3">
      <c r="AA7274" s="37">
        <v>7254</v>
      </c>
      <c r="AB7274" s="37">
        <v>1.7694976162526577</v>
      </c>
      <c r="AC7274" s="37">
        <v>2.7564212786644191</v>
      </c>
      <c r="AD7274" s="37">
        <v>3.5689515222828425</v>
      </c>
    </row>
    <row r="7275" spans="27:30" x14ac:dyDescent="0.3">
      <c r="AA7275" s="37">
        <v>7255</v>
      </c>
      <c r="AB7275" s="37">
        <v>1.6881525937165982</v>
      </c>
      <c r="AC7275" s="37">
        <v>2.9068995108182731</v>
      </c>
      <c r="AD7275" s="37">
        <v>3.1718186604157479</v>
      </c>
    </row>
    <row r="7276" spans="27:30" x14ac:dyDescent="0.3">
      <c r="AA7276" s="37">
        <v>7256</v>
      </c>
      <c r="AB7276" s="37">
        <v>1.735852316823338</v>
      </c>
      <c r="AC7276" s="37">
        <v>2.8139233846560825</v>
      </c>
      <c r="AD7276" s="37">
        <v>3.2446210111847869</v>
      </c>
    </row>
    <row r="7277" spans="27:30" x14ac:dyDescent="0.3">
      <c r="AA7277" s="37">
        <v>7257</v>
      </c>
      <c r="AB7277" s="37">
        <v>1.837852159619737</v>
      </c>
      <c r="AC7277" s="37">
        <v>3.0036826417593567</v>
      </c>
      <c r="AD7277" s="37">
        <v>3.3308501741471681</v>
      </c>
    </row>
    <row r="7278" spans="27:30" x14ac:dyDescent="0.3">
      <c r="AA7278" s="37">
        <v>7258</v>
      </c>
      <c r="AB7278" s="37">
        <v>1.6733889585092101</v>
      </c>
      <c r="AC7278" s="37">
        <v>2.9318690383713428</v>
      </c>
      <c r="AD7278" s="37">
        <v>3.4812996118903832</v>
      </c>
    </row>
    <row r="7279" spans="27:30" x14ac:dyDescent="0.3">
      <c r="AA7279" s="37">
        <v>7259</v>
      </c>
      <c r="AB7279" s="37">
        <v>1.7432182327850732</v>
      </c>
      <c r="AC7279" s="37">
        <v>2.8206174300681539</v>
      </c>
      <c r="AD7279" s="37">
        <v>3.3396704498661522</v>
      </c>
    </row>
    <row r="7280" spans="27:30" x14ac:dyDescent="0.3">
      <c r="AA7280" s="37">
        <v>7260</v>
      </c>
      <c r="AB7280" s="37">
        <v>1.7974042827836667</v>
      </c>
      <c r="AC7280" s="37">
        <v>2.7086189508170193</v>
      </c>
      <c r="AD7280" s="37">
        <v>3.6602327519391862</v>
      </c>
    </row>
    <row r="7281" spans="27:30" x14ac:dyDescent="0.3">
      <c r="AA7281" s="37">
        <v>7261</v>
      </c>
      <c r="AB7281" s="37">
        <v>1.737088878843118</v>
      </c>
      <c r="AC7281" s="37">
        <v>2.9026101920169696</v>
      </c>
      <c r="AD7281" s="37">
        <v>3.4602900970265456</v>
      </c>
    </row>
    <row r="7282" spans="27:30" x14ac:dyDescent="0.3">
      <c r="AA7282" s="37">
        <v>7262</v>
      </c>
      <c r="AB7282" s="37">
        <v>1.8768388107805161</v>
      </c>
      <c r="AC7282" s="37">
        <v>2.8479923865340164</v>
      </c>
      <c r="AD7282" s="37">
        <v>3.3399300078092109</v>
      </c>
    </row>
    <row r="7283" spans="27:30" x14ac:dyDescent="0.3">
      <c r="AA7283" s="37">
        <v>7263</v>
      </c>
      <c r="AB7283" s="37">
        <v>1.7335019440671493</v>
      </c>
      <c r="AC7283" s="37">
        <v>2.7341754579293487</v>
      </c>
      <c r="AD7283" s="37">
        <v>3.4558571108510101</v>
      </c>
    </row>
    <row r="7284" spans="27:30" x14ac:dyDescent="0.3">
      <c r="AA7284" s="37">
        <v>7264</v>
      </c>
      <c r="AB7284" s="37">
        <v>1.6916453286465205</v>
      </c>
      <c r="AC7284" s="37">
        <v>2.8685594632712386</v>
      </c>
      <c r="AD7284" s="37">
        <v>3.5144725237889474</v>
      </c>
    </row>
    <row r="7285" spans="27:30" x14ac:dyDescent="0.3">
      <c r="AA7285" s="37">
        <v>7265</v>
      </c>
      <c r="AB7285" s="37">
        <v>1.7243986154223185</v>
      </c>
      <c r="AC7285" s="37">
        <v>2.8604999319211939</v>
      </c>
      <c r="AD7285" s="37">
        <v>3.2136827418723097</v>
      </c>
    </row>
    <row r="7286" spans="27:30" x14ac:dyDescent="0.3">
      <c r="AA7286" s="37">
        <v>7266</v>
      </c>
      <c r="AB7286" s="37">
        <v>1.8807871355762698</v>
      </c>
      <c r="AC7286" s="37">
        <v>2.8102315971351883</v>
      </c>
      <c r="AD7286" s="37">
        <v>3.2183431644665328</v>
      </c>
    </row>
    <row r="7287" spans="27:30" x14ac:dyDescent="0.3">
      <c r="AA7287" s="37">
        <v>7267</v>
      </c>
      <c r="AB7287" s="37">
        <v>1.8454340398290596</v>
      </c>
      <c r="AC7287" s="37">
        <v>2.7634548916720836</v>
      </c>
      <c r="AD7287" s="37">
        <v>3.3202158905350343</v>
      </c>
    </row>
    <row r="7288" spans="27:30" x14ac:dyDescent="0.3">
      <c r="AA7288" s="37">
        <v>7268</v>
      </c>
      <c r="AB7288" s="37">
        <v>1.8487830664252889</v>
      </c>
      <c r="AC7288" s="37">
        <v>2.8437517617488237</v>
      </c>
      <c r="AD7288" s="37">
        <v>3.0471334453483494</v>
      </c>
    </row>
    <row r="7289" spans="27:30" x14ac:dyDescent="0.3">
      <c r="AA7289" s="37">
        <v>7269</v>
      </c>
      <c r="AB7289" s="37">
        <v>1.6956093881378522</v>
      </c>
      <c r="AC7289" s="37">
        <v>2.8831912096867947</v>
      </c>
      <c r="AD7289" s="37">
        <v>3.2905728407611736</v>
      </c>
    </row>
    <row r="7290" spans="27:30" x14ac:dyDescent="0.3">
      <c r="AA7290" s="37">
        <v>7270</v>
      </c>
      <c r="AB7290" s="37">
        <v>1.7185348921878882</v>
      </c>
      <c r="AC7290" s="37">
        <v>2.8152992040574114</v>
      </c>
      <c r="AD7290" s="37">
        <v>3.3886661228317223</v>
      </c>
    </row>
    <row r="7291" spans="27:30" x14ac:dyDescent="0.3">
      <c r="AA7291" s="37">
        <v>7271</v>
      </c>
      <c r="AB7291" s="37">
        <v>1.7884798402617925</v>
      </c>
      <c r="AC7291" s="37">
        <v>2.754270280632146</v>
      </c>
      <c r="AD7291" s="37">
        <v>3.2741731692334555</v>
      </c>
    </row>
    <row r="7292" spans="27:30" x14ac:dyDescent="0.3">
      <c r="AA7292" s="37">
        <v>7272</v>
      </c>
      <c r="AB7292" s="37">
        <v>1.7639471847720471</v>
      </c>
      <c r="AC7292" s="37">
        <v>2.917833293378969</v>
      </c>
      <c r="AD7292" s="37">
        <v>3.5143870492444207</v>
      </c>
    </row>
    <row r="7293" spans="27:30" x14ac:dyDescent="0.3">
      <c r="AA7293" s="37">
        <v>7273</v>
      </c>
      <c r="AB7293" s="37">
        <v>1.8245035479818132</v>
      </c>
      <c r="AC7293" s="37">
        <v>2.8881618796030657</v>
      </c>
      <c r="AD7293" s="37">
        <v>3.6043169414101985</v>
      </c>
    </row>
    <row r="7294" spans="27:30" x14ac:dyDescent="0.3">
      <c r="AA7294" s="37">
        <v>7274</v>
      </c>
      <c r="AB7294" s="37">
        <v>1.8046657997056379</v>
      </c>
      <c r="AC7294" s="37">
        <v>2.7765225033367229</v>
      </c>
      <c r="AD7294" s="37">
        <v>3.4111245239390704</v>
      </c>
    </row>
    <row r="7295" spans="27:30" x14ac:dyDescent="0.3">
      <c r="AA7295" s="37">
        <v>7275</v>
      </c>
      <c r="AB7295" s="37">
        <v>1.8114408441892369</v>
      </c>
      <c r="AC7295" s="37">
        <v>2.8368038134953379</v>
      </c>
      <c r="AD7295" s="37">
        <v>3.2287858564175029</v>
      </c>
    </row>
    <row r="7296" spans="27:30" x14ac:dyDescent="0.3">
      <c r="AA7296" s="37">
        <v>7276</v>
      </c>
      <c r="AB7296" s="37">
        <v>1.8391141386663874</v>
      </c>
      <c r="AC7296" s="37">
        <v>3.0048849879490414</v>
      </c>
      <c r="AD7296" s="37">
        <v>3.4689372793885545</v>
      </c>
    </row>
    <row r="7297" spans="27:30" x14ac:dyDescent="0.3">
      <c r="AA7297" s="37">
        <v>7277</v>
      </c>
      <c r="AB7297" s="37">
        <v>1.8150925616159141</v>
      </c>
      <c r="AC7297" s="37">
        <v>2.9731277789052468</v>
      </c>
      <c r="AD7297" s="37">
        <v>3.4282372661288121</v>
      </c>
    </row>
    <row r="7298" spans="27:30" x14ac:dyDescent="0.3">
      <c r="AA7298" s="37">
        <v>7278</v>
      </c>
      <c r="AB7298" s="37">
        <v>1.7223153507682121</v>
      </c>
      <c r="AC7298" s="37">
        <v>3.0229428614676079</v>
      </c>
      <c r="AD7298" s="37">
        <v>3.1143221273662793</v>
      </c>
    </row>
    <row r="7299" spans="27:30" x14ac:dyDescent="0.3">
      <c r="AA7299" s="37">
        <v>7279</v>
      </c>
      <c r="AB7299" s="37">
        <v>1.8058443356854061</v>
      </c>
      <c r="AC7299" s="37">
        <v>2.6931572298853999</v>
      </c>
      <c r="AD7299" s="37">
        <v>3.3587964796341403</v>
      </c>
    </row>
    <row r="7300" spans="27:30" x14ac:dyDescent="0.3">
      <c r="AA7300" s="37">
        <v>7280</v>
      </c>
      <c r="AB7300" s="37">
        <v>1.7599617007404766</v>
      </c>
      <c r="AC7300" s="37">
        <v>2.9224306227260937</v>
      </c>
      <c r="AD7300" s="37">
        <v>3.4200819652581762</v>
      </c>
    </row>
    <row r="7301" spans="27:30" x14ac:dyDescent="0.3">
      <c r="AA7301" s="37">
        <v>7281</v>
      </c>
      <c r="AB7301" s="37">
        <v>1.8352861783348098</v>
      </c>
      <c r="AC7301" s="37">
        <v>2.5079224802272306</v>
      </c>
      <c r="AD7301" s="37">
        <v>3.3771949571004454</v>
      </c>
    </row>
    <row r="7302" spans="27:30" x14ac:dyDescent="0.3">
      <c r="AA7302" s="37">
        <v>7282</v>
      </c>
      <c r="AB7302" s="37">
        <v>1.904851202463874</v>
      </c>
      <c r="AC7302" s="37">
        <v>2.8196109063970014</v>
      </c>
      <c r="AD7302" s="37">
        <v>3.3260238263874875</v>
      </c>
    </row>
    <row r="7303" spans="27:30" x14ac:dyDescent="0.3">
      <c r="AA7303" s="37">
        <v>7283</v>
      </c>
      <c r="AB7303" s="37">
        <v>1.8635414628323037</v>
      </c>
      <c r="AC7303" s="37">
        <v>2.8287794920120937</v>
      </c>
      <c r="AD7303" s="37">
        <v>3.3468840347754765</v>
      </c>
    </row>
    <row r="7304" spans="27:30" x14ac:dyDescent="0.3">
      <c r="AA7304" s="37">
        <v>7284</v>
      </c>
      <c r="AB7304" s="37">
        <v>1.7337112282727976</v>
      </c>
      <c r="AC7304" s="37">
        <v>2.7778558307528409</v>
      </c>
      <c r="AD7304" s="37">
        <v>3.2624138854172444</v>
      </c>
    </row>
    <row r="7305" spans="27:30" x14ac:dyDescent="0.3">
      <c r="AA7305" s="37">
        <v>7285</v>
      </c>
      <c r="AB7305" s="37">
        <v>1.8669306259131837</v>
      </c>
      <c r="AC7305" s="37">
        <v>2.7205428337775444</v>
      </c>
      <c r="AD7305" s="37">
        <v>3.4211716228504732</v>
      </c>
    </row>
    <row r="7306" spans="27:30" x14ac:dyDescent="0.3">
      <c r="AA7306" s="37">
        <v>7286</v>
      </c>
      <c r="AB7306" s="37">
        <v>1.7674035339748257</v>
      </c>
      <c r="AC7306" s="37">
        <v>2.8681109901822714</v>
      </c>
      <c r="AD7306" s="37">
        <v>3.4852977664524629</v>
      </c>
    </row>
    <row r="7307" spans="27:30" x14ac:dyDescent="0.3">
      <c r="AA7307" s="37">
        <v>7287</v>
      </c>
      <c r="AB7307" s="37">
        <v>1.7451003554699274</v>
      </c>
      <c r="AC7307" s="37">
        <v>2.7942842714959037</v>
      </c>
      <c r="AD7307" s="37">
        <v>3.3361065459551749</v>
      </c>
    </row>
    <row r="7308" spans="27:30" x14ac:dyDescent="0.3">
      <c r="AA7308" s="37">
        <v>7288</v>
      </c>
      <c r="AB7308" s="37">
        <v>1.7982496334966185</v>
      </c>
      <c r="AC7308" s="37">
        <v>2.9020127877287019</v>
      </c>
      <c r="AD7308" s="37">
        <v>3.2716503753861188</v>
      </c>
    </row>
    <row r="7309" spans="27:30" x14ac:dyDescent="0.3">
      <c r="AA7309" s="37">
        <v>7289</v>
      </c>
      <c r="AB7309" s="37">
        <v>1.7079107389039136</v>
      </c>
      <c r="AC7309" s="37">
        <v>2.8010383631388112</v>
      </c>
      <c r="AD7309" s="37">
        <v>3.1647573688662316</v>
      </c>
    </row>
    <row r="7310" spans="27:30" x14ac:dyDescent="0.3">
      <c r="AA7310" s="37">
        <v>7290</v>
      </c>
      <c r="AB7310" s="37">
        <v>1.7235237602065849</v>
      </c>
      <c r="AC7310" s="37">
        <v>2.9277060319937527</v>
      </c>
      <c r="AD7310" s="37">
        <v>3.3125000454117233</v>
      </c>
    </row>
    <row r="7311" spans="27:30" x14ac:dyDescent="0.3">
      <c r="AA7311" s="37">
        <v>7291</v>
      </c>
      <c r="AB7311" s="37">
        <v>1.8149726210482013</v>
      </c>
      <c r="AC7311" s="37">
        <v>2.8540471119398783</v>
      </c>
      <c r="AD7311" s="37">
        <v>3.5095086999759508</v>
      </c>
    </row>
    <row r="7312" spans="27:30" x14ac:dyDescent="0.3">
      <c r="AA7312" s="37">
        <v>7292</v>
      </c>
      <c r="AB7312" s="37">
        <v>1.7328836004272807</v>
      </c>
      <c r="AC7312" s="37">
        <v>2.700266234069832</v>
      </c>
      <c r="AD7312" s="37">
        <v>3.3127527899135787</v>
      </c>
    </row>
    <row r="7313" spans="27:30" x14ac:dyDescent="0.3">
      <c r="AA7313" s="37">
        <v>7293</v>
      </c>
      <c r="AB7313" s="37">
        <v>1.7637777296214543</v>
      </c>
      <c r="AC7313" s="37">
        <v>2.7302185264560768</v>
      </c>
      <c r="AD7313" s="37">
        <v>3.2210945962390261</v>
      </c>
    </row>
    <row r="7314" spans="27:30" x14ac:dyDescent="0.3">
      <c r="AA7314" s="37">
        <v>7294</v>
      </c>
      <c r="AB7314" s="37">
        <v>1.8117063735629975</v>
      </c>
      <c r="AC7314" s="37">
        <v>2.9654181235648394</v>
      </c>
      <c r="AD7314" s="37">
        <v>3.3944411961417065</v>
      </c>
    </row>
    <row r="7315" spans="27:30" x14ac:dyDescent="0.3">
      <c r="AA7315" s="37">
        <v>7295</v>
      </c>
      <c r="AB7315" s="37">
        <v>1.7661974382325594</v>
      </c>
      <c r="AC7315" s="37">
        <v>2.8317144107142695</v>
      </c>
      <c r="AD7315" s="37">
        <v>3.4701995425538712</v>
      </c>
    </row>
    <row r="7316" spans="27:30" x14ac:dyDescent="0.3">
      <c r="AA7316" s="37">
        <v>7296</v>
      </c>
      <c r="AB7316" s="37">
        <v>1.8522966207106264</v>
      </c>
      <c r="AC7316" s="37">
        <v>2.7434402343034772</v>
      </c>
      <c r="AD7316" s="37">
        <v>3.3007515570293786</v>
      </c>
    </row>
    <row r="7317" spans="27:30" x14ac:dyDescent="0.3">
      <c r="AA7317" s="37">
        <v>7297</v>
      </c>
      <c r="AB7317" s="37">
        <v>1.7492434365010483</v>
      </c>
      <c r="AC7317" s="37">
        <v>2.925510832724763</v>
      </c>
      <c r="AD7317" s="37">
        <v>3.4482968316747331</v>
      </c>
    </row>
    <row r="7318" spans="27:30" x14ac:dyDescent="0.3">
      <c r="AA7318" s="37">
        <v>7298</v>
      </c>
      <c r="AB7318" s="37">
        <v>1.738876542636052</v>
      </c>
      <c r="AC7318" s="37">
        <v>2.7482973682760647</v>
      </c>
      <c r="AD7318" s="37">
        <v>3.2107252427365958</v>
      </c>
    </row>
    <row r="7319" spans="27:30" x14ac:dyDescent="0.3">
      <c r="AA7319" s="37">
        <v>7299</v>
      </c>
      <c r="AB7319" s="37">
        <v>1.7855900544109431</v>
      </c>
      <c r="AC7319" s="37">
        <v>2.8205814839410266</v>
      </c>
      <c r="AD7319" s="37">
        <v>3.4742904937328714</v>
      </c>
    </row>
    <row r="7320" spans="27:30" x14ac:dyDescent="0.3">
      <c r="AA7320" s="37">
        <v>7300</v>
      </c>
      <c r="AB7320" s="37">
        <v>1.7490069905352916</v>
      </c>
      <c r="AC7320" s="37">
        <v>2.893569419703137</v>
      </c>
      <c r="AD7320" s="37">
        <v>3.3696350761920697</v>
      </c>
    </row>
    <row r="7321" spans="27:30" x14ac:dyDescent="0.3">
      <c r="AA7321" s="37">
        <v>7301</v>
      </c>
      <c r="AB7321" s="37">
        <v>1.8641294940243986</v>
      </c>
      <c r="AC7321" s="37">
        <v>2.7918158560394284</v>
      </c>
      <c r="AD7321" s="37">
        <v>3.4142790887261296</v>
      </c>
    </row>
    <row r="7322" spans="27:30" x14ac:dyDescent="0.3">
      <c r="AA7322" s="37">
        <v>7302</v>
      </c>
      <c r="AB7322" s="37">
        <v>1.7805549561055838</v>
      </c>
      <c r="AC7322" s="37">
        <v>3.0388233919191387</v>
      </c>
      <c r="AD7322" s="37">
        <v>3.3992126729141812</v>
      </c>
    </row>
    <row r="7323" spans="27:30" x14ac:dyDescent="0.3">
      <c r="AA7323" s="37">
        <v>7303</v>
      </c>
      <c r="AB7323" s="37">
        <v>1.7325693222899516</v>
      </c>
      <c r="AC7323" s="37">
        <v>3.0228708211309416</v>
      </c>
      <c r="AD7323" s="37">
        <v>3.3461394511554534</v>
      </c>
    </row>
    <row r="7324" spans="27:30" x14ac:dyDescent="0.3">
      <c r="AA7324" s="37">
        <v>7304</v>
      </c>
      <c r="AB7324" s="37">
        <v>1.8162788600357469</v>
      </c>
      <c r="AC7324" s="37">
        <v>2.6659148181086816</v>
      </c>
      <c r="AD7324" s="37">
        <v>3.2496182683685357</v>
      </c>
    </row>
    <row r="7325" spans="27:30" x14ac:dyDescent="0.3">
      <c r="AA7325" s="37">
        <v>7305</v>
      </c>
      <c r="AB7325" s="37">
        <v>1.8662255210189125</v>
      </c>
      <c r="AC7325" s="37">
        <v>2.8733862997676125</v>
      </c>
      <c r="AD7325" s="37">
        <v>3.7051504278654881</v>
      </c>
    </row>
    <row r="7326" spans="27:30" x14ac:dyDescent="0.3">
      <c r="AA7326" s="37">
        <v>7306</v>
      </c>
      <c r="AB7326" s="37">
        <v>1.7931797507992839</v>
      </c>
      <c r="AC7326" s="37">
        <v>2.9112240151179414</v>
      </c>
      <c r="AD7326" s="37">
        <v>3.4834863500484912</v>
      </c>
    </row>
    <row r="7327" spans="27:30" x14ac:dyDescent="0.3">
      <c r="AA7327" s="37">
        <v>7307</v>
      </c>
      <c r="AB7327" s="37">
        <v>1.8877922077219564</v>
      </c>
      <c r="AC7327" s="37">
        <v>2.8745069244817287</v>
      </c>
      <c r="AD7327" s="37">
        <v>3.3426465284245612</v>
      </c>
    </row>
    <row r="7328" spans="27:30" x14ac:dyDescent="0.3">
      <c r="AA7328" s="37">
        <v>7308</v>
      </c>
      <c r="AB7328" s="37">
        <v>1.6817664834283972</v>
      </c>
      <c r="AC7328" s="37">
        <v>2.9287051420838481</v>
      </c>
      <c r="AD7328" s="37">
        <v>3.4295404724072505</v>
      </c>
    </row>
    <row r="7329" spans="27:30" x14ac:dyDescent="0.3">
      <c r="AA7329" s="37">
        <v>7309</v>
      </c>
      <c r="AB7329" s="37">
        <v>1.8532288120652123</v>
      </c>
      <c r="AC7329" s="37">
        <v>2.7876744765189834</v>
      </c>
      <c r="AD7329" s="37">
        <v>3.1440031238569026</v>
      </c>
    </row>
    <row r="7330" spans="27:30" x14ac:dyDescent="0.3">
      <c r="AA7330" s="37">
        <v>7310</v>
      </c>
      <c r="AB7330" s="37">
        <v>1.8094100212696091</v>
      </c>
      <c r="AC7330" s="37">
        <v>2.873713244505796</v>
      </c>
      <c r="AD7330" s="37">
        <v>3.2373025675647402</v>
      </c>
    </row>
    <row r="7331" spans="27:30" x14ac:dyDescent="0.3">
      <c r="AA7331" s="37">
        <v>7311</v>
      </c>
      <c r="AB7331" s="37">
        <v>1.9053877222143039</v>
      </c>
      <c r="AC7331" s="37">
        <v>2.979573581109586</v>
      </c>
      <c r="AD7331" s="37">
        <v>3.468536955481377</v>
      </c>
    </row>
    <row r="7332" spans="27:30" x14ac:dyDescent="0.3">
      <c r="AA7332" s="37">
        <v>7312</v>
      </c>
      <c r="AB7332" s="37">
        <v>1.8637067841855177</v>
      </c>
      <c r="AC7332" s="37">
        <v>2.8107879912075528</v>
      </c>
      <c r="AD7332" s="37">
        <v>3.425325926287782</v>
      </c>
    </row>
    <row r="7333" spans="27:30" x14ac:dyDescent="0.3">
      <c r="AA7333" s="37">
        <v>7313</v>
      </c>
      <c r="AB7333" s="37">
        <v>1.7500093859956947</v>
      </c>
      <c r="AC7333" s="37">
        <v>2.8001127071748435</v>
      </c>
      <c r="AD7333" s="37">
        <v>3.3513671496129955</v>
      </c>
    </row>
    <row r="7334" spans="27:30" x14ac:dyDescent="0.3">
      <c r="AA7334" s="37">
        <v>7314</v>
      </c>
      <c r="AB7334" s="37">
        <v>1.8118593266683185</v>
      </c>
      <c r="AC7334" s="37">
        <v>2.8626174221067013</v>
      </c>
      <c r="AD7334" s="37">
        <v>3.3234255844534433</v>
      </c>
    </row>
    <row r="7335" spans="27:30" x14ac:dyDescent="0.3">
      <c r="AA7335" s="37">
        <v>7315</v>
      </c>
      <c r="AB7335" s="37">
        <v>1.7222822259572039</v>
      </c>
      <c r="AC7335" s="37">
        <v>3.0171907262027147</v>
      </c>
      <c r="AD7335" s="37">
        <v>3.3933142672549956</v>
      </c>
    </row>
    <row r="7336" spans="27:30" x14ac:dyDescent="0.3">
      <c r="AA7336" s="37">
        <v>7316</v>
      </c>
      <c r="AB7336" s="37">
        <v>1.751563746123356</v>
      </c>
      <c r="AC7336" s="37">
        <v>2.8167270091276868</v>
      </c>
      <c r="AD7336" s="37">
        <v>3.3375286887939422</v>
      </c>
    </row>
    <row r="7337" spans="27:30" x14ac:dyDescent="0.3">
      <c r="AA7337" s="37">
        <v>7317</v>
      </c>
      <c r="AB7337" s="37">
        <v>1.9287877771414408</v>
      </c>
      <c r="AC7337" s="37">
        <v>3.1402998551237657</v>
      </c>
      <c r="AD7337" s="37">
        <v>3.1040841877810998</v>
      </c>
    </row>
    <row r="7338" spans="27:30" x14ac:dyDescent="0.3">
      <c r="AA7338" s="37">
        <v>7318</v>
      </c>
      <c r="AB7338" s="37">
        <v>1.7285679620454362</v>
      </c>
      <c r="AC7338" s="37">
        <v>2.7427136374007857</v>
      </c>
      <c r="AD7338" s="37">
        <v>3.3591270668710669</v>
      </c>
    </row>
    <row r="7339" spans="27:30" x14ac:dyDescent="0.3">
      <c r="AA7339" s="37">
        <v>7319</v>
      </c>
      <c r="AB7339" s="37">
        <v>1.7926335384572898</v>
      </c>
      <c r="AC7339" s="37">
        <v>2.7602154441831739</v>
      </c>
      <c r="AD7339" s="37">
        <v>3.2871917802816366</v>
      </c>
    </row>
    <row r="7340" spans="27:30" x14ac:dyDescent="0.3">
      <c r="AA7340" s="37">
        <v>7320</v>
      </c>
      <c r="AB7340" s="37">
        <v>1.7097502085548115</v>
      </c>
      <c r="AC7340" s="37">
        <v>2.9663697473670267</v>
      </c>
      <c r="AD7340" s="37">
        <v>3.4055014409948647</v>
      </c>
    </row>
    <row r="7341" spans="27:30" x14ac:dyDescent="0.3">
      <c r="AA7341" s="37">
        <v>7321</v>
      </c>
      <c r="AB7341" s="37">
        <v>1.7761493389995249</v>
      </c>
      <c r="AC7341" s="37">
        <v>2.8531184715597537</v>
      </c>
      <c r="AD7341" s="37">
        <v>3.3249707916319844</v>
      </c>
    </row>
    <row r="7342" spans="27:30" x14ac:dyDescent="0.3">
      <c r="AA7342" s="37">
        <v>7322</v>
      </c>
      <c r="AB7342" s="37">
        <v>1.8137506899655664</v>
      </c>
      <c r="AC7342" s="37">
        <v>2.6875887960578204</v>
      </c>
      <c r="AD7342" s="37">
        <v>3.4312808020262566</v>
      </c>
    </row>
    <row r="7343" spans="27:30" x14ac:dyDescent="0.3">
      <c r="AA7343" s="37">
        <v>7323</v>
      </c>
      <c r="AB7343" s="37">
        <v>1.7835616346467482</v>
      </c>
      <c r="AC7343" s="37">
        <v>2.7826251489380955</v>
      </c>
      <c r="AD7343" s="37">
        <v>3.3692226142311554</v>
      </c>
    </row>
    <row r="7344" spans="27:30" x14ac:dyDescent="0.3">
      <c r="AA7344" s="37">
        <v>7324</v>
      </c>
      <c r="AB7344" s="37">
        <v>1.8268897645097861</v>
      </c>
      <c r="AC7344" s="37">
        <v>2.8268999701811905</v>
      </c>
      <c r="AD7344" s="37">
        <v>3.3398830433460929</v>
      </c>
    </row>
    <row r="7345" spans="27:30" x14ac:dyDescent="0.3">
      <c r="AA7345" s="37">
        <v>7325</v>
      </c>
      <c r="AB7345" s="37">
        <v>1.6613002926053322</v>
      </c>
      <c r="AC7345" s="37">
        <v>2.9489697431915962</v>
      </c>
      <c r="AD7345" s="37">
        <v>3.5261381868776986</v>
      </c>
    </row>
    <row r="7346" spans="27:30" x14ac:dyDescent="0.3">
      <c r="AA7346" s="37">
        <v>7326</v>
      </c>
      <c r="AB7346" s="37">
        <v>1.7827972258857669</v>
      </c>
      <c r="AC7346" s="37">
        <v>2.7050486109039351</v>
      </c>
      <c r="AD7346" s="37">
        <v>3.2905962462891281</v>
      </c>
    </row>
    <row r="7347" spans="27:30" x14ac:dyDescent="0.3">
      <c r="AA7347" s="37">
        <v>7327</v>
      </c>
      <c r="AB7347" s="37">
        <v>1.7844000186867055</v>
      </c>
      <c r="AC7347" s="37">
        <v>2.8472505299463777</v>
      </c>
      <c r="AD7347" s="37">
        <v>3.3943096386962957</v>
      </c>
    </row>
    <row r="7348" spans="27:30" x14ac:dyDescent="0.3">
      <c r="AA7348" s="37">
        <v>7328</v>
      </c>
      <c r="AB7348" s="37">
        <v>1.8725337262936612</v>
      </c>
      <c r="AC7348" s="37">
        <v>2.8099854482697837</v>
      </c>
      <c r="AD7348" s="37">
        <v>3.1206606137741875</v>
      </c>
    </row>
    <row r="7349" spans="27:30" x14ac:dyDescent="0.3">
      <c r="AA7349" s="37">
        <v>7329</v>
      </c>
      <c r="AB7349" s="37">
        <v>1.7617095280287911</v>
      </c>
      <c r="AC7349" s="37">
        <v>2.8811002782195785</v>
      </c>
      <c r="AD7349" s="37">
        <v>3.2070162140605629</v>
      </c>
    </row>
    <row r="7350" spans="27:30" x14ac:dyDescent="0.3">
      <c r="AA7350" s="37">
        <v>7330</v>
      </c>
      <c r="AB7350" s="37">
        <v>1.7872285722929995</v>
      </c>
      <c r="AC7350" s="37">
        <v>2.7247998801825415</v>
      </c>
      <c r="AD7350" s="37">
        <v>3.4540687485896342</v>
      </c>
    </row>
    <row r="7351" spans="27:30" x14ac:dyDescent="0.3">
      <c r="AA7351" s="37">
        <v>7331</v>
      </c>
      <c r="AB7351" s="37">
        <v>1.8120721645831783</v>
      </c>
      <c r="AC7351" s="37">
        <v>2.6944178253084701</v>
      </c>
      <c r="AD7351" s="37">
        <v>3.3701721894917345</v>
      </c>
    </row>
    <row r="7352" spans="27:30" x14ac:dyDescent="0.3">
      <c r="AA7352" s="37">
        <v>7332</v>
      </c>
      <c r="AB7352" s="37">
        <v>1.8560544335806379</v>
      </c>
      <c r="AC7352" s="37">
        <v>3.0193714122814477</v>
      </c>
      <c r="AD7352" s="37">
        <v>3.2777085255782943</v>
      </c>
    </row>
    <row r="7353" spans="27:30" x14ac:dyDescent="0.3">
      <c r="AA7353" s="37">
        <v>7333</v>
      </c>
      <c r="AB7353" s="37">
        <v>1.7191897105938065</v>
      </c>
      <c r="AC7353" s="37">
        <v>3.0827715049783015</v>
      </c>
      <c r="AD7353" s="37">
        <v>3.6354937484901551</v>
      </c>
    </row>
    <row r="7354" spans="27:30" x14ac:dyDescent="0.3">
      <c r="AA7354" s="37">
        <v>7334</v>
      </c>
      <c r="AB7354" s="37">
        <v>1.7563928451688233</v>
      </c>
      <c r="AC7354" s="37">
        <v>2.808012032610939</v>
      </c>
      <c r="AD7354" s="37">
        <v>3.2972105931508042</v>
      </c>
    </row>
    <row r="7355" spans="27:30" x14ac:dyDescent="0.3">
      <c r="AA7355" s="37">
        <v>7335</v>
      </c>
      <c r="AB7355" s="37">
        <v>1.7106449525833067</v>
      </c>
      <c r="AC7355" s="37">
        <v>2.7219705013208952</v>
      </c>
      <c r="AD7355" s="37">
        <v>3.3590868365606208</v>
      </c>
    </row>
    <row r="7356" spans="27:30" x14ac:dyDescent="0.3">
      <c r="AA7356" s="37">
        <v>7336</v>
      </c>
      <c r="AB7356" s="37">
        <v>1.8036641648764302</v>
      </c>
      <c r="AC7356" s="37">
        <v>2.8657701156104078</v>
      </c>
      <c r="AD7356" s="37">
        <v>3.4505828358729236</v>
      </c>
    </row>
    <row r="7357" spans="27:30" x14ac:dyDescent="0.3">
      <c r="AA7357" s="37">
        <v>7337</v>
      </c>
      <c r="AB7357" s="37">
        <v>1.8565625470876495</v>
      </c>
      <c r="AC7357" s="37">
        <v>2.9750298548855367</v>
      </c>
      <c r="AD7357" s="37">
        <v>3.4732928622101475</v>
      </c>
    </row>
    <row r="7358" spans="27:30" x14ac:dyDescent="0.3">
      <c r="AA7358" s="37">
        <v>7338</v>
      </c>
      <c r="AB7358" s="37">
        <v>1.8241850184053106</v>
      </c>
      <c r="AC7358" s="37">
        <v>2.8133352465041455</v>
      </c>
      <c r="AD7358" s="37">
        <v>3.2616241596165341</v>
      </c>
    </row>
    <row r="7359" spans="27:30" x14ac:dyDescent="0.3">
      <c r="AA7359" s="37">
        <v>7339</v>
      </c>
      <c r="AB7359" s="37">
        <v>1.7740750746778744</v>
      </c>
      <c r="AC7359" s="37">
        <v>2.8321277879628224</v>
      </c>
      <c r="AD7359" s="37">
        <v>3.2576984617739519</v>
      </c>
    </row>
    <row r="7360" spans="27:30" x14ac:dyDescent="0.3">
      <c r="AA7360" s="37">
        <v>7340</v>
      </c>
      <c r="AB7360" s="37">
        <v>1.8785885646599858</v>
      </c>
      <c r="AC7360" s="37">
        <v>2.7586997226132537</v>
      </c>
      <c r="AD7360" s="37">
        <v>3.3202160402121095</v>
      </c>
    </row>
    <row r="7361" spans="27:30" x14ac:dyDescent="0.3">
      <c r="AA7361" s="37">
        <v>7341</v>
      </c>
      <c r="AB7361" s="37">
        <v>1.7254561219555569</v>
      </c>
      <c r="AC7361" s="37">
        <v>2.708529341933763</v>
      </c>
      <c r="AD7361" s="37">
        <v>3.1557315054137454</v>
      </c>
    </row>
    <row r="7362" spans="27:30" x14ac:dyDescent="0.3">
      <c r="AA7362" s="37">
        <v>7342</v>
      </c>
      <c r="AB7362" s="37">
        <v>1.8792401499799345</v>
      </c>
      <c r="AC7362" s="37">
        <v>2.9100594628480692</v>
      </c>
      <c r="AD7362" s="37">
        <v>3.4159210063802652</v>
      </c>
    </row>
    <row r="7363" spans="27:30" x14ac:dyDescent="0.3">
      <c r="AA7363" s="37">
        <v>7343</v>
      </c>
      <c r="AB7363" s="37">
        <v>1.8798024948335537</v>
      </c>
      <c r="AC7363" s="37">
        <v>2.624682885224475</v>
      </c>
      <c r="AD7363" s="37">
        <v>3.3016543433675749</v>
      </c>
    </row>
    <row r="7364" spans="27:30" x14ac:dyDescent="0.3">
      <c r="AA7364" s="37">
        <v>7344</v>
      </c>
      <c r="AB7364" s="37">
        <v>1.8052105657024957</v>
      </c>
      <c r="AC7364" s="37">
        <v>2.8530064462431342</v>
      </c>
      <c r="AD7364" s="37">
        <v>3.1906593267857302</v>
      </c>
    </row>
    <row r="7365" spans="27:30" x14ac:dyDescent="0.3">
      <c r="AA7365" s="37">
        <v>7345</v>
      </c>
      <c r="AB7365" s="37">
        <v>1.7675364870323995</v>
      </c>
      <c r="AC7365" s="37">
        <v>3.1289450990729146</v>
      </c>
      <c r="AD7365" s="37">
        <v>3.2948019606913794</v>
      </c>
    </row>
    <row r="7366" spans="27:30" x14ac:dyDescent="0.3">
      <c r="AA7366" s="37">
        <v>7346</v>
      </c>
      <c r="AB7366" s="37">
        <v>1.9002044292790459</v>
      </c>
      <c r="AC7366" s="37">
        <v>2.7717245020175025</v>
      </c>
      <c r="AD7366" s="37">
        <v>3.2110386426872433</v>
      </c>
    </row>
    <row r="7367" spans="27:30" x14ac:dyDescent="0.3">
      <c r="AA7367" s="37">
        <v>7347</v>
      </c>
      <c r="AB7367" s="37">
        <v>1.7897359166508935</v>
      </c>
      <c r="AC7367" s="37">
        <v>2.7761323370132076</v>
      </c>
      <c r="AD7367" s="37">
        <v>3.2637360769092854</v>
      </c>
    </row>
    <row r="7368" spans="27:30" x14ac:dyDescent="0.3">
      <c r="AA7368" s="37">
        <v>7348</v>
      </c>
      <c r="AB7368" s="37">
        <v>1.7927575226302108</v>
      </c>
      <c r="AC7368" s="37">
        <v>2.8366378048883103</v>
      </c>
      <c r="AD7368" s="37">
        <v>3.2161934494074695</v>
      </c>
    </row>
    <row r="7369" spans="27:30" x14ac:dyDescent="0.3">
      <c r="AA7369" s="37">
        <v>7349</v>
      </c>
      <c r="AB7369" s="37">
        <v>1.8929041704776008</v>
      </c>
      <c r="AC7369" s="37">
        <v>2.9228149224061903</v>
      </c>
      <c r="AD7369" s="37">
        <v>3.1473630193510318</v>
      </c>
    </row>
    <row r="7370" spans="27:30" x14ac:dyDescent="0.3">
      <c r="AA7370" s="37">
        <v>7350</v>
      </c>
      <c r="AB7370" s="37">
        <v>1.7940746504728775</v>
      </c>
      <c r="AC7370" s="37">
        <v>2.8679395548305195</v>
      </c>
      <c r="AD7370" s="37">
        <v>3.3058178442563553</v>
      </c>
    </row>
    <row r="7371" spans="27:30" x14ac:dyDescent="0.3">
      <c r="AA7371" s="37">
        <v>7351</v>
      </c>
      <c r="AB7371" s="37">
        <v>1.8301746811590252</v>
      </c>
      <c r="AC7371" s="37">
        <v>2.7889892341270865</v>
      </c>
      <c r="AD7371" s="37">
        <v>3.2834868615846107</v>
      </c>
    </row>
    <row r="7372" spans="27:30" x14ac:dyDescent="0.3">
      <c r="AA7372" s="37">
        <v>7352</v>
      </c>
      <c r="AB7372" s="37">
        <v>1.8008326374501475</v>
      </c>
      <c r="AC7372" s="37">
        <v>2.8184790724480044</v>
      </c>
      <c r="AD7372" s="37">
        <v>3.1125939658507225</v>
      </c>
    </row>
    <row r="7373" spans="27:30" x14ac:dyDescent="0.3">
      <c r="AA7373" s="37">
        <v>7353</v>
      </c>
      <c r="AB7373" s="37">
        <v>1.7993420539292138</v>
      </c>
      <c r="AC7373" s="37">
        <v>2.832608482972593</v>
      </c>
      <c r="AD7373" s="37">
        <v>3.2440049663633679</v>
      </c>
    </row>
    <row r="7374" spans="27:30" x14ac:dyDescent="0.3">
      <c r="AA7374" s="37">
        <v>7354</v>
      </c>
      <c r="AB7374" s="37">
        <v>1.9040590785656677</v>
      </c>
      <c r="AC7374" s="37">
        <v>2.8923698185194224</v>
      </c>
      <c r="AD7374" s="37">
        <v>3.2897124934453696</v>
      </c>
    </row>
    <row r="7375" spans="27:30" x14ac:dyDescent="0.3">
      <c r="AA7375" s="37">
        <v>7355</v>
      </c>
      <c r="AB7375" s="37">
        <v>1.8477695739700515</v>
      </c>
      <c r="AC7375" s="37">
        <v>2.8906176564946713</v>
      </c>
      <c r="AD7375" s="37">
        <v>3.2766880174236279</v>
      </c>
    </row>
    <row r="7376" spans="27:30" x14ac:dyDescent="0.3">
      <c r="AA7376" s="37">
        <v>7356</v>
      </c>
      <c r="AB7376" s="37">
        <v>1.8005094257378651</v>
      </c>
      <c r="AC7376" s="37">
        <v>2.8059688070039082</v>
      </c>
      <c r="AD7376" s="37">
        <v>3.2970370300091374</v>
      </c>
    </row>
    <row r="7377" spans="27:30" x14ac:dyDescent="0.3">
      <c r="AA7377" s="37">
        <v>7357</v>
      </c>
      <c r="AB7377" s="37">
        <v>1.7352205980784075</v>
      </c>
      <c r="AC7377" s="37">
        <v>2.6708451936597548</v>
      </c>
      <c r="AD7377" s="37">
        <v>3.5358448384621526</v>
      </c>
    </row>
    <row r="7378" spans="27:30" x14ac:dyDescent="0.3">
      <c r="AA7378" s="37">
        <v>7358</v>
      </c>
      <c r="AB7378" s="37">
        <v>1.7204336391659028</v>
      </c>
      <c r="AC7378" s="37">
        <v>2.8497206176452901</v>
      </c>
      <c r="AD7378" s="37">
        <v>3.2988067811025283</v>
      </c>
    </row>
    <row r="7379" spans="27:30" x14ac:dyDescent="0.3">
      <c r="AA7379" s="37">
        <v>7359</v>
      </c>
      <c r="AB7379" s="37">
        <v>1.8287350637383091</v>
      </c>
      <c r="AC7379" s="37">
        <v>2.8290699896029605</v>
      </c>
      <c r="AD7379" s="37">
        <v>3.4017436494160549</v>
      </c>
    </row>
    <row r="7380" spans="27:30" x14ac:dyDescent="0.3">
      <c r="AA7380" s="37">
        <v>7360</v>
      </c>
      <c r="AB7380" s="37">
        <v>1.7687165206129207</v>
      </c>
      <c r="AC7380" s="37">
        <v>2.8293473098775417</v>
      </c>
      <c r="AD7380" s="37">
        <v>3.3868294131011849</v>
      </c>
    </row>
    <row r="7381" spans="27:30" x14ac:dyDescent="0.3">
      <c r="AA7381" s="37">
        <v>7361</v>
      </c>
      <c r="AB7381" s="37">
        <v>1.7147036077464184</v>
      </c>
      <c r="AC7381" s="37">
        <v>2.8844812145276975</v>
      </c>
      <c r="AD7381" s="37">
        <v>3.3236714876897913</v>
      </c>
    </row>
    <row r="7382" spans="27:30" x14ac:dyDescent="0.3">
      <c r="AA7382" s="37">
        <v>7362</v>
      </c>
      <c r="AB7382" s="37">
        <v>1.8848498001619562</v>
      </c>
      <c r="AC7382" s="37">
        <v>2.8653127138194576</v>
      </c>
      <c r="AD7382" s="37">
        <v>3.2058937293251195</v>
      </c>
    </row>
    <row r="7383" spans="27:30" x14ac:dyDescent="0.3">
      <c r="AA7383" s="37">
        <v>7363</v>
      </c>
      <c r="AB7383" s="37">
        <v>1.755483573441909</v>
      </c>
      <c r="AC7383" s="37">
        <v>2.7266016456673325</v>
      </c>
      <c r="AD7383" s="37">
        <v>3.3601964532350537</v>
      </c>
    </row>
    <row r="7384" spans="27:30" x14ac:dyDescent="0.3">
      <c r="AA7384" s="37">
        <v>7364</v>
      </c>
      <c r="AB7384" s="37">
        <v>1.7947205532278812</v>
      </c>
      <c r="AC7384" s="37">
        <v>2.8471198893989906</v>
      </c>
      <c r="AD7384" s="37">
        <v>3.4074025137865944</v>
      </c>
    </row>
    <row r="7385" spans="27:30" x14ac:dyDescent="0.3">
      <c r="AA7385" s="37">
        <v>7365</v>
      </c>
      <c r="AB7385" s="37">
        <v>1.9150593612810649</v>
      </c>
      <c r="AC7385" s="37">
        <v>2.8459566723064382</v>
      </c>
      <c r="AD7385" s="37">
        <v>3.1372392633594162</v>
      </c>
    </row>
    <row r="7386" spans="27:30" x14ac:dyDescent="0.3">
      <c r="AA7386" s="37">
        <v>7366</v>
      </c>
      <c r="AB7386" s="37">
        <v>1.7923225695834357</v>
      </c>
      <c r="AC7386" s="37">
        <v>2.5699406712582418</v>
      </c>
      <c r="AD7386" s="37">
        <v>3.4732088367986012</v>
      </c>
    </row>
    <row r="7387" spans="27:30" x14ac:dyDescent="0.3">
      <c r="AA7387" s="37">
        <v>7367</v>
      </c>
      <c r="AB7387" s="37">
        <v>1.7053655860310208</v>
      </c>
      <c r="AC7387" s="37">
        <v>2.955649940305594</v>
      </c>
      <c r="AD7387" s="37">
        <v>3.4044982603520424</v>
      </c>
    </row>
    <row r="7388" spans="27:30" x14ac:dyDescent="0.3">
      <c r="AA7388" s="37">
        <v>7368</v>
      </c>
      <c r="AB7388" s="37">
        <v>1.8253494473337126</v>
      </c>
      <c r="AC7388" s="37">
        <v>2.8574286986000037</v>
      </c>
      <c r="AD7388" s="37">
        <v>3.231006226379022</v>
      </c>
    </row>
    <row r="7389" spans="27:30" x14ac:dyDescent="0.3">
      <c r="AA7389" s="37">
        <v>7369</v>
      </c>
      <c r="AB7389" s="37">
        <v>1.8141225476215694</v>
      </c>
      <c r="AC7389" s="37">
        <v>2.6834139202390488</v>
      </c>
      <c r="AD7389" s="37">
        <v>3.3500557817731225</v>
      </c>
    </row>
    <row r="7390" spans="27:30" x14ac:dyDescent="0.3">
      <c r="AA7390" s="37">
        <v>7370</v>
      </c>
      <c r="AB7390" s="37">
        <v>1.6580914574889944</v>
      </c>
      <c r="AC7390" s="37">
        <v>2.7838825748160119</v>
      </c>
      <c r="AD7390" s="37">
        <v>3.5440866703913683</v>
      </c>
    </row>
    <row r="7391" spans="27:30" x14ac:dyDescent="0.3">
      <c r="AA7391" s="37">
        <v>7371</v>
      </c>
      <c r="AB7391" s="37">
        <v>1.9063024599475165</v>
      </c>
      <c r="AC7391" s="37">
        <v>2.6844927471925724</v>
      </c>
      <c r="AD7391" s="37">
        <v>3.3695931388475868</v>
      </c>
    </row>
    <row r="7392" spans="27:30" x14ac:dyDescent="0.3">
      <c r="AA7392" s="37">
        <v>7372</v>
      </c>
      <c r="AB7392" s="37">
        <v>1.7163007200588469</v>
      </c>
      <c r="AC7392" s="37">
        <v>2.6781868568789235</v>
      </c>
      <c r="AD7392" s="37">
        <v>3.360757965376989</v>
      </c>
    </row>
    <row r="7393" spans="27:30" x14ac:dyDescent="0.3">
      <c r="AA7393" s="37">
        <v>7373</v>
      </c>
      <c r="AB7393" s="37">
        <v>1.8245844960203157</v>
      </c>
      <c r="AC7393" s="37">
        <v>2.8097486473252742</v>
      </c>
      <c r="AD7393" s="37">
        <v>3.2815604183392364</v>
      </c>
    </row>
    <row r="7394" spans="27:30" x14ac:dyDescent="0.3">
      <c r="AA7394" s="37">
        <v>7374</v>
      </c>
      <c r="AB7394" s="37">
        <v>1.7278554842306129</v>
      </c>
      <c r="AC7394" s="37">
        <v>2.836965889997705</v>
      </c>
      <c r="AD7394" s="37">
        <v>3.2632630006077599</v>
      </c>
    </row>
    <row r="7395" spans="27:30" x14ac:dyDescent="0.3">
      <c r="AA7395" s="37">
        <v>7375</v>
      </c>
      <c r="AB7395" s="37">
        <v>1.8252869037438189</v>
      </c>
      <c r="AC7395" s="37">
        <v>2.9093490216746374</v>
      </c>
      <c r="AD7395" s="37">
        <v>3.3964547661601099</v>
      </c>
    </row>
    <row r="7396" spans="27:30" x14ac:dyDescent="0.3">
      <c r="AA7396" s="37">
        <v>7376</v>
      </c>
      <c r="AB7396" s="37">
        <v>1.8960984927507982</v>
      </c>
      <c r="AC7396" s="37">
        <v>2.9561613794086892</v>
      </c>
      <c r="AD7396" s="37">
        <v>3.1868911048720099</v>
      </c>
    </row>
    <row r="7397" spans="27:30" x14ac:dyDescent="0.3">
      <c r="AA7397" s="37">
        <v>7377</v>
      </c>
      <c r="AB7397" s="37">
        <v>1.8458757443651037</v>
      </c>
      <c r="AC7397" s="37">
        <v>2.9013483889107157</v>
      </c>
      <c r="AD7397" s="37">
        <v>3.2999320368239098</v>
      </c>
    </row>
    <row r="7398" spans="27:30" x14ac:dyDescent="0.3">
      <c r="AA7398" s="37">
        <v>7378</v>
      </c>
      <c r="AB7398" s="37">
        <v>1.8419269708394648</v>
      </c>
      <c r="AC7398" s="37">
        <v>2.6671525472243482</v>
      </c>
      <c r="AD7398" s="37">
        <v>3.21830229340895</v>
      </c>
    </row>
    <row r="7399" spans="27:30" x14ac:dyDescent="0.3">
      <c r="AA7399" s="37">
        <v>7379</v>
      </c>
      <c r="AB7399" s="37">
        <v>1.7515049825464952</v>
      </c>
      <c r="AC7399" s="37">
        <v>2.9306965217295611</v>
      </c>
      <c r="AD7399" s="37">
        <v>3.337207428466987</v>
      </c>
    </row>
    <row r="7400" spans="27:30" x14ac:dyDescent="0.3">
      <c r="AA7400" s="37">
        <v>7380</v>
      </c>
      <c r="AB7400" s="37">
        <v>1.7004864536813933</v>
      </c>
      <c r="AC7400" s="37">
        <v>2.9383479691068422</v>
      </c>
      <c r="AD7400" s="37">
        <v>3.3083068235651325</v>
      </c>
    </row>
    <row r="7401" spans="27:30" x14ac:dyDescent="0.3">
      <c r="AA7401" s="37">
        <v>7381</v>
      </c>
      <c r="AB7401" s="37">
        <v>1.9244948834264779</v>
      </c>
      <c r="AC7401" s="37">
        <v>3.0394083881624452</v>
      </c>
      <c r="AD7401" s="37">
        <v>3.2903360335148961</v>
      </c>
    </row>
    <row r="7402" spans="27:30" x14ac:dyDescent="0.3">
      <c r="AA7402" s="37">
        <v>7382</v>
      </c>
      <c r="AB7402" s="37">
        <v>1.7737529639998011</v>
      </c>
      <c r="AC7402" s="37">
        <v>2.9000446043946795</v>
      </c>
      <c r="AD7402" s="37">
        <v>3.3535068529932373</v>
      </c>
    </row>
    <row r="7403" spans="27:30" x14ac:dyDescent="0.3">
      <c r="AA7403" s="37">
        <v>7383</v>
      </c>
      <c r="AB7403" s="37">
        <v>1.7867966076676842</v>
      </c>
      <c r="AC7403" s="37">
        <v>2.6417339435055864</v>
      </c>
      <c r="AD7403" s="37">
        <v>3.3942572100688042</v>
      </c>
    </row>
    <row r="7404" spans="27:30" x14ac:dyDescent="0.3">
      <c r="AA7404" s="37">
        <v>7384</v>
      </c>
      <c r="AB7404" s="37">
        <v>1.9741467062575992</v>
      </c>
      <c r="AC7404" s="37">
        <v>2.8338708719680294</v>
      </c>
      <c r="AD7404" s="37">
        <v>3.3789380850438158</v>
      </c>
    </row>
    <row r="7405" spans="27:30" x14ac:dyDescent="0.3">
      <c r="AA7405" s="37">
        <v>7385</v>
      </c>
      <c r="AB7405" s="37">
        <v>1.7516467852996414</v>
      </c>
      <c r="AC7405" s="37">
        <v>3.0115689222249156</v>
      </c>
      <c r="AD7405" s="37">
        <v>3.4394458654093043</v>
      </c>
    </row>
    <row r="7406" spans="27:30" x14ac:dyDescent="0.3">
      <c r="AA7406" s="37">
        <v>7386</v>
      </c>
      <c r="AB7406" s="37">
        <v>1.8945159634900917</v>
      </c>
      <c r="AC7406" s="37">
        <v>2.855531049898135</v>
      </c>
      <c r="AD7406" s="37">
        <v>3.4179257395111793</v>
      </c>
    </row>
    <row r="7407" spans="27:30" x14ac:dyDescent="0.3">
      <c r="AA7407" s="37">
        <v>7387</v>
      </c>
      <c r="AB7407" s="37">
        <v>1.7168292376119114</v>
      </c>
      <c r="AC7407" s="37">
        <v>2.8296999264647633</v>
      </c>
      <c r="AD7407" s="37">
        <v>3.3236278146268168</v>
      </c>
    </row>
    <row r="7408" spans="27:30" x14ac:dyDescent="0.3">
      <c r="AA7408" s="37">
        <v>7388</v>
      </c>
      <c r="AB7408" s="37">
        <v>1.7913763603346367</v>
      </c>
      <c r="AC7408" s="37">
        <v>2.9048458863465578</v>
      </c>
      <c r="AD7408" s="37">
        <v>3.3876829503028394</v>
      </c>
    </row>
    <row r="7409" spans="27:30" x14ac:dyDescent="0.3">
      <c r="AA7409" s="37">
        <v>7389</v>
      </c>
      <c r="AB7409" s="37">
        <v>1.8785431516162119</v>
      </c>
      <c r="AC7409" s="37">
        <v>2.8987139237353268</v>
      </c>
      <c r="AD7409" s="37">
        <v>3.422256720733662</v>
      </c>
    </row>
    <row r="7410" spans="27:30" x14ac:dyDescent="0.3">
      <c r="AA7410" s="37">
        <v>7390</v>
      </c>
      <c r="AB7410" s="37">
        <v>1.8256194913914479</v>
      </c>
      <c r="AC7410" s="37">
        <v>2.8080956953655121</v>
      </c>
      <c r="AD7410" s="37">
        <v>3.3079508927138677</v>
      </c>
    </row>
    <row r="7411" spans="27:30" x14ac:dyDescent="0.3">
      <c r="AA7411" s="37">
        <v>7391</v>
      </c>
      <c r="AB7411" s="37">
        <v>1.7995167533984975</v>
      </c>
      <c r="AC7411" s="37">
        <v>2.9006742968901236</v>
      </c>
      <c r="AD7411" s="37">
        <v>3.298989352184273</v>
      </c>
    </row>
    <row r="7412" spans="27:30" x14ac:dyDescent="0.3">
      <c r="AA7412" s="37">
        <v>7392</v>
      </c>
      <c r="AB7412" s="37">
        <v>1.8459645229084671</v>
      </c>
      <c r="AC7412" s="37">
        <v>2.9410480641831573</v>
      </c>
      <c r="AD7412" s="37">
        <v>3.4892656506406761</v>
      </c>
    </row>
    <row r="7413" spans="27:30" x14ac:dyDescent="0.3">
      <c r="AA7413" s="37">
        <v>7393</v>
      </c>
      <c r="AB7413" s="37">
        <v>1.8309014662941898</v>
      </c>
      <c r="AC7413" s="37">
        <v>2.8292810004137054</v>
      </c>
      <c r="AD7413" s="37">
        <v>3.339522038984815</v>
      </c>
    </row>
    <row r="7414" spans="27:30" x14ac:dyDescent="0.3">
      <c r="AA7414" s="37">
        <v>7394</v>
      </c>
      <c r="AB7414" s="37">
        <v>1.827149196712988</v>
      </c>
      <c r="AC7414" s="37">
        <v>2.777020230999224</v>
      </c>
      <c r="AD7414" s="37">
        <v>3.3060928538912231</v>
      </c>
    </row>
    <row r="7415" spans="27:30" x14ac:dyDescent="0.3">
      <c r="AA7415" s="37">
        <v>7395</v>
      </c>
      <c r="AB7415" s="37">
        <v>1.8503274555297591</v>
      </c>
      <c r="AC7415" s="37">
        <v>2.7617885814171044</v>
      </c>
      <c r="AD7415" s="37">
        <v>3.1870967439099873</v>
      </c>
    </row>
    <row r="7416" spans="27:30" x14ac:dyDescent="0.3">
      <c r="AA7416" s="37">
        <v>7396</v>
      </c>
      <c r="AB7416" s="37">
        <v>1.7398327394105764</v>
      </c>
      <c r="AC7416" s="37">
        <v>2.7258441125374757</v>
      </c>
      <c r="AD7416" s="37">
        <v>3.3484637269925575</v>
      </c>
    </row>
    <row r="7417" spans="27:30" x14ac:dyDescent="0.3">
      <c r="AA7417" s="37">
        <v>7397</v>
      </c>
      <c r="AB7417" s="37">
        <v>1.8777330708035065</v>
      </c>
      <c r="AC7417" s="37">
        <v>2.8816724113990908</v>
      </c>
      <c r="AD7417" s="37">
        <v>3.2089058944067332</v>
      </c>
    </row>
    <row r="7418" spans="27:30" x14ac:dyDescent="0.3">
      <c r="AA7418" s="37">
        <v>7398</v>
      </c>
      <c r="AB7418" s="37">
        <v>1.8830734193940313</v>
      </c>
      <c r="AC7418" s="37">
        <v>2.8947776467265323</v>
      </c>
      <c r="AD7418" s="37">
        <v>3.4180133564666648</v>
      </c>
    </row>
    <row r="7419" spans="27:30" x14ac:dyDescent="0.3">
      <c r="AA7419" s="37">
        <v>7399</v>
      </c>
      <c r="AB7419" s="37">
        <v>1.7753516185052391</v>
      </c>
      <c r="AC7419" s="37">
        <v>2.720097531652192</v>
      </c>
      <c r="AD7419" s="37">
        <v>3.1839351373602525</v>
      </c>
    </row>
    <row r="7420" spans="27:30" x14ac:dyDescent="0.3">
      <c r="AA7420" s="37">
        <v>7400</v>
      </c>
      <c r="AB7420" s="37">
        <v>1.8160515587913968</v>
      </c>
      <c r="AC7420" s="37">
        <v>2.7203146046860214</v>
      </c>
      <c r="AD7420" s="37">
        <v>3.3128741910967037</v>
      </c>
    </row>
    <row r="7421" spans="27:30" x14ac:dyDescent="0.3">
      <c r="AA7421" s="37">
        <v>7401</v>
      </c>
      <c r="AB7421" s="37">
        <v>1.6783715348361907</v>
      </c>
      <c r="AC7421" s="37">
        <v>2.809202727944867</v>
      </c>
      <c r="AD7421" s="37">
        <v>3.192616877803113</v>
      </c>
    </row>
    <row r="7422" spans="27:30" x14ac:dyDescent="0.3">
      <c r="AA7422" s="37">
        <v>7402</v>
      </c>
      <c r="AB7422" s="37">
        <v>1.722440118948001</v>
      </c>
      <c r="AC7422" s="37">
        <v>2.7129035401484001</v>
      </c>
      <c r="AD7422" s="37">
        <v>3.459765293377274</v>
      </c>
    </row>
    <row r="7423" spans="27:30" x14ac:dyDescent="0.3">
      <c r="AA7423" s="37">
        <v>7403</v>
      </c>
      <c r="AB7423" s="37">
        <v>1.7837456621732841</v>
      </c>
      <c r="AC7423" s="37">
        <v>3.0246627953645895</v>
      </c>
      <c r="AD7423" s="37">
        <v>3.4329214217296173</v>
      </c>
    </row>
    <row r="7424" spans="27:30" x14ac:dyDescent="0.3">
      <c r="AA7424" s="37">
        <v>7404</v>
      </c>
      <c r="AB7424" s="37">
        <v>1.7540874962392556</v>
      </c>
      <c r="AC7424" s="37">
        <v>2.973996429113138</v>
      </c>
      <c r="AD7424" s="37">
        <v>3.3498607574224533</v>
      </c>
    </row>
    <row r="7425" spans="27:30" x14ac:dyDescent="0.3">
      <c r="AA7425" s="37">
        <v>7405</v>
      </c>
      <c r="AB7425" s="37">
        <v>1.7839891074134793</v>
      </c>
      <c r="AC7425" s="37">
        <v>2.8533160174996124</v>
      </c>
      <c r="AD7425" s="37">
        <v>3.3092083817390434</v>
      </c>
    </row>
    <row r="7426" spans="27:30" x14ac:dyDescent="0.3">
      <c r="AA7426" s="37">
        <v>7406</v>
      </c>
      <c r="AB7426" s="37">
        <v>1.6079958817131439</v>
      </c>
      <c r="AC7426" s="37">
        <v>2.8393142221821503</v>
      </c>
      <c r="AD7426" s="37">
        <v>3.383256659850602</v>
      </c>
    </row>
    <row r="7427" spans="27:30" x14ac:dyDescent="0.3">
      <c r="AA7427" s="37">
        <v>7407</v>
      </c>
      <c r="AB7427" s="37">
        <v>1.7694158652346892</v>
      </c>
      <c r="AC7427" s="37">
        <v>2.8624248597119011</v>
      </c>
      <c r="AD7427" s="37">
        <v>3.3791227961017154</v>
      </c>
    </row>
    <row r="7428" spans="27:30" x14ac:dyDescent="0.3">
      <c r="AA7428" s="37">
        <v>7408</v>
      </c>
      <c r="AB7428" s="37">
        <v>1.888019091415041</v>
      </c>
      <c r="AC7428" s="37">
        <v>3.0122467586957722</v>
      </c>
      <c r="AD7428" s="37">
        <v>3.4552778442006078</v>
      </c>
    </row>
    <row r="7429" spans="27:30" x14ac:dyDescent="0.3">
      <c r="AA7429" s="37">
        <v>7409</v>
      </c>
      <c r="AB7429" s="37">
        <v>1.8305057260866655</v>
      </c>
      <c r="AC7429" s="37">
        <v>2.7034049384715897</v>
      </c>
      <c r="AD7429" s="37">
        <v>3.5044237164381817</v>
      </c>
    </row>
    <row r="7430" spans="27:30" x14ac:dyDescent="0.3">
      <c r="AA7430" s="37">
        <v>7410</v>
      </c>
      <c r="AB7430" s="37">
        <v>1.9181837516651774</v>
      </c>
      <c r="AC7430" s="37">
        <v>2.6175472131774851</v>
      </c>
      <c r="AD7430" s="37">
        <v>3.5183392165056735</v>
      </c>
    </row>
    <row r="7431" spans="27:30" x14ac:dyDescent="0.3">
      <c r="AA7431" s="37">
        <v>7411</v>
      </c>
      <c r="AB7431" s="37">
        <v>1.8052084815433751</v>
      </c>
      <c r="AC7431" s="37">
        <v>2.692318619941632</v>
      </c>
      <c r="AD7431" s="37">
        <v>3.2493055983271861</v>
      </c>
    </row>
    <row r="7432" spans="27:30" x14ac:dyDescent="0.3">
      <c r="AA7432" s="37">
        <v>7412</v>
      </c>
      <c r="AB7432" s="37">
        <v>1.8031103838878897</v>
      </c>
      <c r="AC7432" s="37">
        <v>2.7467272615229428</v>
      </c>
      <c r="AD7432" s="37">
        <v>3.3348527799349554</v>
      </c>
    </row>
    <row r="7433" spans="27:30" x14ac:dyDescent="0.3">
      <c r="AA7433" s="37">
        <v>7413</v>
      </c>
      <c r="AB7433" s="37">
        <v>1.759937237047704</v>
      </c>
      <c r="AC7433" s="37">
        <v>2.9244852996370247</v>
      </c>
      <c r="AD7433" s="37">
        <v>3.3825797659627499</v>
      </c>
    </row>
    <row r="7434" spans="27:30" x14ac:dyDescent="0.3">
      <c r="AA7434" s="37">
        <v>7414</v>
      </c>
      <c r="AB7434" s="37">
        <v>1.7984247058316254</v>
      </c>
      <c r="AC7434" s="37">
        <v>2.728892538056054</v>
      </c>
      <c r="AD7434" s="37">
        <v>3.3941825177806759</v>
      </c>
    </row>
    <row r="7435" spans="27:30" x14ac:dyDescent="0.3">
      <c r="AA7435" s="37">
        <v>7415</v>
      </c>
      <c r="AB7435" s="37">
        <v>1.7465214268529063</v>
      </c>
      <c r="AC7435" s="37">
        <v>2.8684439321886637</v>
      </c>
      <c r="AD7435" s="37">
        <v>3.3635544500519172</v>
      </c>
    </row>
    <row r="7436" spans="27:30" x14ac:dyDescent="0.3">
      <c r="AA7436" s="37">
        <v>7416</v>
      </c>
      <c r="AB7436" s="37">
        <v>1.8012113197570725</v>
      </c>
      <c r="AC7436" s="37">
        <v>2.8274777263823907</v>
      </c>
      <c r="AD7436" s="37">
        <v>3.3852454087427559</v>
      </c>
    </row>
    <row r="7437" spans="27:30" x14ac:dyDescent="0.3">
      <c r="AA7437" s="37">
        <v>7417</v>
      </c>
      <c r="AB7437" s="37">
        <v>1.748731635717</v>
      </c>
      <c r="AC7437" s="37">
        <v>2.8792717456799046</v>
      </c>
      <c r="AD7437" s="37">
        <v>3.3126898691815558</v>
      </c>
    </row>
    <row r="7438" spans="27:30" x14ac:dyDescent="0.3">
      <c r="AA7438" s="37">
        <v>7418</v>
      </c>
      <c r="AB7438" s="37">
        <v>1.7849556106729962</v>
      </c>
      <c r="AC7438" s="37">
        <v>2.8839588173316244</v>
      </c>
      <c r="AD7438" s="37">
        <v>3.4032997857682781</v>
      </c>
    </row>
    <row r="7439" spans="27:30" x14ac:dyDescent="0.3">
      <c r="AA7439" s="37">
        <v>7419</v>
      </c>
      <c r="AB7439" s="37">
        <v>1.89230644268065</v>
      </c>
      <c r="AC7439" s="37">
        <v>2.7399050894902031</v>
      </c>
      <c r="AD7439" s="37">
        <v>3.3962054100435632</v>
      </c>
    </row>
    <row r="7440" spans="27:30" x14ac:dyDescent="0.3">
      <c r="AA7440" s="37">
        <v>7420</v>
      </c>
      <c r="AB7440" s="37">
        <v>1.7821879310834241</v>
      </c>
      <c r="AC7440" s="37">
        <v>2.7844051844145978</v>
      </c>
      <c r="AD7440" s="37">
        <v>3.3452316988769044</v>
      </c>
    </row>
    <row r="7441" spans="27:30" x14ac:dyDescent="0.3">
      <c r="AA7441" s="37">
        <v>7421</v>
      </c>
      <c r="AB7441" s="37">
        <v>1.8056902424636563</v>
      </c>
      <c r="AC7441" s="37">
        <v>2.7482512891680324</v>
      </c>
      <c r="AD7441" s="37">
        <v>3.2161066940385128</v>
      </c>
    </row>
    <row r="7442" spans="27:30" x14ac:dyDescent="0.3">
      <c r="AA7442" s="37">
        <v>7422</v>
      </c>
      <c r="AB7442" s="37">
        <v>1.8132940637968544</v>
      </c>
      <c r="AC7442" s="37">
        <v>3.0131382282489523</v>
      </c>
      <c r="AD7442" s="37">
        <v>3.2386515088738177</v>
      </c>
    </row>
    <row r="7443" spans="27:30" x14ac:dyDescent="0.3">
      <c r="AA7443" s="37">
        <v>7423</v>
      </c>
      <c r="AB7443" s="37">
        <v>1.6682341968674501</v>
      </c>
      <c r="AC7443" s="37">
        <v>2.8280266014256616</v>
      </c>
      <c r="AD7443" s="37">
        <v>3.3314424753944891</v>
      </c>
    </row>
    <row r="7444" spans="27:30" x14ac:dyDescent="0.3">
      <c r="AA7444" s="37">
        <v>7424</v>
      </c>
      <c r="AB7444" s="37">
        <v>1.8266084564125797</v>
      </c>
      <c r="AC7444" s="37">
        <v>2.8359572318687043</v>
      </c>
      <c r="AD7444" s="37">
        <v>3.4273553775531034</v>
      </c>
    </row>
    <row r="7445" spans="27:30" x14ac:dyDescent="0.3">
      <c r="AA7445" s="37">
        <v>7425</v>
      </c>
      <c r="AB7445" s="37">
        <v>1.7939392721411433</v>
      </c>
      <c r="AC7445" s="37">
        <v>2.861929985241106</v>
      </c>
      <c r="AD7445" s="37">
        <v>3.401116876788298</v>
      </c>
    </row>
    <row r="7446" spans="27:30" x14ac:dyDescent="0.3">
      <c r="AA7446" s="37">
        <v>7426</v>
      </c>
      <c r="AB7446" s="37">
        <v>1.8484652381159712</v>
      </c>
      <c r="AC7446" s="37">
        <v>2.7834401944876901</v>
      </c>
      <c r="AD7446" s="37">
        <v>3.3176686787315002</v>
      </c>
    </row>
    <row r="7447" spans="27:30" x14ac:dyDescent="0.3">
      <c r="AA7447" s="37">
        <v>7427</v>
      </c>
      <c r="AB7447" s="37">
        <v>1.8646526657848552</v>
      </c>
      <c r="AC7447" s="37">
        <v>2.9557167617646547</v>
      </c>
      <c r="AD7447" s="37">
        <v>3.4551714236477946</v>
      </c>
    </row>
    <row r="7448" spans="27:30" x14ac:dyDescent="0.3">
      <c r="AA7448" s="37">
        <v>7428</v>
      </c>
      <c r="AB7448" s="37">
        <v>1.7953904177786448</v>
      </c>
      <c r="AC7448" s="37">
        <v>2.9464604073706782</v>
      </c>
      <c r="AD7448" s="37">
        <v>3.2704768990451822</v>
      </c>
    </row>
    <row r="7449" spans="27:30" x14ac:dyDescent="0.3">
      <c r="AA7449" s="37">
        <v>7429</v>
      </c>
      <c r="AB7449" s="37">
        <v>1.8471402701810935</v>
      </c>
      <c r="AC7449" s="37">
        <v>2.7550056981477606</v>
      </c>
      <c r="AD7449" s="37">
        <v>3.3223865483112145</v>
      </c>
    </row>
    <row r="7450" spans="27:30" x14ac:dyDescent="0.3">
      <c r="AA7450" s="37">
        <v>7430</v>
      </c>
      <c r="AB7450" s="37">
        <v>1.8333826255264654</v>
      </c>
      <c r="AC7450" s="37">
        <v>2.9403763203009627</v>
      </c>
      <c r="AD7450" s="37">
        <v>3.489578460387202</v>
      </c>
    </row>
    <row r="7451" spans="27:30" x14ac:dyDescent="0.3">
      <c r="AA7451" s="37">
        <v>7431</v>
      </c>
      <c r="AB7451" s="37">
        <v>1.8484324874533724</v>
      </c>
      <c r="AC7451" s="37">
        <v>2.7961839245643811</v>
      </c>
      <c r="AD7451" s="37">
        <v>3.3946694662498498</v>
      </c>
    </row>
    <row r="7452" spans="27:30" x14ac:dyDescent="0.3">
      <c r="AA7452" s="37">
        <v>7432</v>
      </c>
      <c r="AB7452" s="37">
        <v>1.9387342296516255</v>
      </c>
      <c r="AC7452" s="37">
        <v>2.9337812040082953</v>
      </c>
      <c r="AD7452" s="37">
        <v>3.3752353488166014</v>
      </c>
    </row>
    <row r="7453" spans="27:30" x14ac:dyDescent="0.3">
      <c r="AA7453" s="37">
        <v>7433</v>
      </c>
      <c r="AB7453" s="37">
        <v>1.7417697799973921</v>
      </c>
      <c r="AC7453" s="37">
        <v>2.9025188945992735</v>
      </c>
      <c r="AD7453" s="37">
        <v>3.2604123354916541</v>
      </c>
    </row>
    <row r="7454" spans="27:30" x14ac:dyDescent="0.3">
      <c r="AA7454" s="37">
        <v>7434</v>
      </c>
      <c r="AB7454" s="37">
        <v>1.8863665926443323</v>
      </c>
      <c r="AC7454" s="37">
        <v>2.8736532545425395</v>
      </c>
      <c r="AD7454" s="37">
        <v>3.4420819173052344</v>
      </c>
    </row>
    <row r="7455" spans="27:30" x14ac:dyDescent="0.3">
      <c r="AA7455" s="37">
        <v>7435</v>
      </c>
      <c r="AB7455" s="37">
        <v>1.8864730203865518</v>
      </c>
      <c r="AC7455" s="37">
        <v>2.8481407131846574</v>
      </c>
      <c r="AD7455" s="37">
        <v>3.4637950435210123</v>
      </c>
    </row>
    <row r="7456" spans="27:30" x14ac:dyDescent="0.3">
      <c r="AA7456" s="37">
        <v>7436</v>
      </c>
      <c r="AB7456" s="37">
        <v>1.7116211747638237</v>
      </c>
      <c r="AC7456" s="37">
        <v>2.8542707541795891</v>
      </c>
      <c r="AD7456" s="37">
        <v>3.322876098633468</v>
      </c>
    </row>
    <row r="7457" spans="27:30" x14ac:dyDescent="0.3">
      <c r="AA7457" s="37">
        <v>7437</v>
      </c>
      <c r="AB7457" s="37">
        <v>1.7983469743827178</v>
      </c>
      <c r="AC7457" s="37">
        <v>2.771023657667381</v>
      </c>
      <c r="AD7457" s="37">
        <v>3.3244904648952325</v>
      </c>
    </row>
    <row r="7458" spans="27:30" x14ac:dyDescent="0.3">
      <c r="AA7458" s="37">
        <v>7438</v>
      </c>
      <c r="AB7458" s="37">
        <v>1.8292585196062836</v>
      </c>
      <c r="AC7458" s="37">
        <v>2.7533253416660752</v>
      </c>
      <c r="AD7458" s="37">
        <v>3.2165895916398983</v>
      </c>
    </row>
    <row r="7459" spans="27:30" x14ac:dyDescent="0.3">
      <c r="AA7459" s="37">
        <v>7439</v>
      </c>
      <c r="AB7459" s="37">
        <v>1.707275334247268</v>
      </c>
      <c r="AC7459" s="37">
        <v>2.9092617976842061</v>
      </c>
      <c r="AD7459" s="37">
        <v>3.3378900449867759</v>
      </c>
    </row>
    <row r="7460" spans="27:30" x14ac:dyDescent="0.3">
      <c r="AA7460" s="37">
        <v>7440</v>
      </c>
      <c r="AB7460" s="37">
        <v>1.6456328268592195</v>
      </c>
      <c r="AC7460" s="37">
        <v>2.7771392076697237</v>
      </c>
      <c r="AD7460" s="37">
        <v>3.2531282460481106</v>
      </c>
    </row>
    <row r="7461" spans="27:30" x14ac:dyDescent="0.3">
      <c r="AA7461" s="37">
        <v>7441</v>
      </c>
      <c r="AB7461" s="37">
        <v>1.8196015979095204</v>
      </c>
      <c r="AC7461" s="37">
        <v>2.8625717289220542</v>
      </c>
      <c r="AD7461" s="37">
        <v>3.3937866631274307</v>
      </c>
    </row>
    <row r="7462" spans="27:30" x14ac:dyDescent="0.3">
      <c r="AA7462" s="37">
        <v>7442</v>
      </c>
      <c r="AB7462" s="37">
        <v>1.8740028142152185</v>
      </c>
      <c r="AC7462" s="37">
        <v>3.0029392658157943</v>
      </c>
      <c r="AD7462" s="37">
        <v>3.3409681284548927</v>
      </c>
    </row>
    <row r="7463" spans="27:30" x14ac:dyDescent="0.3">
      <c r="AA7463" s="37">
        <v>7443</v>
      </c>
      <c r="AB7463" s="37">
        <v>1.7248013086107359</v>
      </c>
      <c r="AC7463" s="37">
        <v>2.7847096118987946</v>
      </c>
      <c r="AD7463" s="37">
        <v>3.3949362162589911</v>
      </c>
    </row>
    <row r="7464" spans="27:30" x14ac:dyDescent="0.3">
      <c r="AA7464" s="37">
        <v>7444</v>
      </c>
      <c r="AB7464" s="37">
        <v>1.7920466144566571</v>
      </c>
      <c r="AC7464" s="37">
        <v>3.056384508319872</v>
      </c>
      <c r="AD7464" s="37">
        <v>3.4141053515854365</v>
      </c>
    </row>
    <row r="7465" spans="27:30" x14ac:dyDescent="0.3">
      <c r="AA7465" s="37">
        <v>7445</v>
      </c>
      <c r="AB7465" s="37">
        <v>1.7918827762709069</v>
      </c>
      <c r="AC7465" s="37">
        <v>2.7303382307648203</v>
      </c>
      <c r="AD7465" s="37">
        <v>3.3676692720224413</v>
      </c>
    </row>
    <row r="7466" spans="27:30" x14ac:dyDescent="0.3">
      <c r="AA7466" s="37">
        <v>7446</v>
      </c>
      <c r="AB7466" s="37">
        <v>1.9381023745988712</v>
      </c>
      <c r="AC7466" s="37">
        <v>2.7879787518724397</v>
      </c>
      <c r="AD7466" s="37">
        <v>3.1343581980089374</v>
      </c>
    </row>
    <row r="7467" spans="27:30" x14ac:dyDescent="0.3">
      <c r="AA7467" s="37">
        <v>7447</v>
      </c>
      <c r="AB7467" s="37">
        <v>1.861298849435445</v>
      </c>
      <c r="AC7467" s="37">
        <v>2.8813674075739169</v>
      </c>
      <c r="AD7467" s="37">
        <v>3.5480603950931324</v>
      </c>
    </row>
    <row r="7468" spans="27:30" x14ac:dyDescent="0.3">
      <c r="AA7468" s="37">
        <v>7448</v>
      </c>
      <c r="AB7468" s="37">
        <v>1.790636462464867</v>
      </c>
      <c r="AC7468" s="37">
        <v>3.0217612918698329</v>
      </c>
      <c r="AD7468" s="37">
        <v>3.2642965332929443</v>
      </c>
    </row>
    <row r="7469" spans="27:30" x14ac:dyDescent="0.3">
      <c r="AA7469" s="37">
        <v>7449</v>
      </c>
      <c r="AB7469" s="37">
        <v>1.7777985691590508</v>
      </c>
      <c r="AC7469" s="37">
        <v>2.8957831657386448</v>
      </c>
      <c r="AD7469" s="37">
        <v>3.4506674101609827</v>
      </c>
    </row>
    <row r="7470" spans="27:30" x14ac:dyDescent="0.3">
      <c r="AA7470" s="37">
        <v>7450</v>
      </c>
      <c r="AB7470" s="37">
        <v>1.7358239991949116</v>
      </c>
      <c r="AC7470" s="37">
        <v>2.9024299766729089</v>
      </c>
      <c r="AD7470" s="37">
        <v>3.5366871519933611</v>
      </c>
    </row>
    <row r="7471" spans="27:30" x14ac:dyDescent="0.3">
      <c r="AA7471" s="37">
        <v>7451</v>
      </c>
      <c r="AB7471" s="37">
        <v>1.8812808043046869</v>
      </c>
      <c r="AC7471" s="37">
        <v>2.7378252302672017</v>
      </c>
      <c r="AD7471" s="37">
        <v>3.226286632745198</v>
      </c>
    </row>
    <row r="7472" spans="27:30" x14ac:dyDescent="0.3">
      <c r="AA7472" s="37">
        <v>7452</v>
      </c>
      <c r="AB7472" s="37">
        <v>1.7851917008184448</v>
      </c>
      <c r="AC7472" s="37">
        <v>3.0373514552623204</v>
      </c>
      <c r="AD7472" s="37">
        <v>3.3814266865757752</v>
      </c>
    </row>
    <row r="7473" spans="27:30" x14ac:dyDescent="0.3">
      <c r="AA7473" s="37">
        <v>7453</v>
      </c>
      <c r="AB7473" s="37">
        <v>1.8540246721365503</v>
      </c>
      <c r="AC7473" s="37">
        <v>2.7116590876468947</v>
      </c>
      <c r="AD7473" s="37">
        <v>3.2500302886294534</v>
      </c>
    </row>
    <row r="7474" spans="27:30" x14ac:dyDescent="0.3">
      <c r="AA7474" s="37">
        <v>7454</v>
      </c>
      <c r="AB7474" s="37">
        <v>1.7852376620211154</v>
      </c>
      <c r="AC7474" s="37">
        <v>2.8772039761151826</v>
      </c>
      <c r="AD7474" s="37">
        <v>2.9985060462065309</v>
      </c>
    </row>
    <row r="7475" spans="27:30" x14ac:dyDescent="0.3">
      <c r="AA7475" s="37">
        <v>7455</v>
      </c>
      <c r="AB7475" s="37">
        <v>1.8087684187602362</v>
      </c>
      <c r="AC7475" s="37">
        <v>2.8589013611493659</v>
      </c>
      <c r="AD7475" s="37">
        <v>3.3192415104829038</v>
      </c>
    </row>
    <row r="7476" spans="27:30" x14ac:dyDescent="0.3">
      <c r="AA7476" s="37">
        <v>7456</v>
      </c>
      <c r="AB7476" s="37">
        <v>1.7320179219866068</v>
      </c>
      <c r="AC7476" s="37">
        <v>2.8553715408642981</v>
      </c>
      <c r="AD7476" s="37">
        <v>3.1963471604878002</v>
      </c>
    </row>
    <row r="7477" spans="27:30" x14ac:dyDescent="0.3">
      <c r="AA7477" s="37">
        <v>7457</v>
      </c>
      <c r="AB7477" s="37">
        <v>1.8176746442925942</v>
      </c>
      <c r="AC7477" s="37">
        <v>2.7149993719229482</v>
      </c>
      <c r="AD7477" s="37">
        <v>3.1715660518516633</v>
      </c>
    </row>
    <row r="7478" spans="27:30" x14ac:dyDescent="0.3">
      <c r="AA7478" s="37">
        <v>7458</v>
      </c>
      <c r="AB7478" s="37">
        <v>1.8848697092115254</v>
      </c>
      <c r="AC7478" s="37">
        <v>2.7615650647848513</v>
      </c>
      <c r="AD7478" s="37">
        <v>3.4345675392733366</v>
      </c>
    </row>
    <row r="7479" spans="27:30" x14ac:dyDescent="0.3">
      <c r="AA7479" s="37">
        <v>7459</v>
      </c>
      <c r="AB7479" s="37">
        <v>1.8618486290030223</v>
      </c>
      <c r="AC7479" s="37">
        <v>2.9751647730130997</v>
      </c>
      <c r="AD7479" s="37">
        <v>3.3765081637236922</v>
      </c>
    </row>
    <row r="7480" spans="27:30" x14ac:dyDescent="0.3">
      <c r="AA7480" s="37">
        <v>7460</v>
      </c>
      <c r="AB7480" s="37">
        <v>1.7707703863579758</v>
      </c>
      <c r="AC7480" s="37">
        <v>2.8333514933336033</v>
      </c>
      <c r="AD7480" s="37">
        <v>3.2972395449797807</v>
      </c>
    </row>
    <row r="7481" spans="27:30" x14ac:dyDescent="0.3">
      <c r="AA7481" s="37">
        <v>7461</v>
      </c>
      <c r="AB7481" s="37">
        <v>1.7549302346916082</v>
      </c>
      <c r="AC7481" s="37">
        <v>2.9319804491473587</v>
      </c>
      <c r="AD7481" s="37">
        <v>3.5745196663258034</v>
      </c>
    </row>
    <row r="7482" spans="27:30" x14ac:dyDescent="0.3">
      <c r="AA7482" s="37">
        <v>7462</v>
      </c>
      <c r="AB7482" s="37">
        <v>1.7622367874179505</v>
      </c>
      <c r="AC7482" s="37">
        <v>3.0412760430279677</v>
      </c>
      <c r="AD7482" s="37">
        <v>3.3650303599445754</v>
      </c>
    </row>
    <row r="7483" spans="27:30" x14ac:dyDescent="0.3">
      <c r="AA7483" s="37">
        <v>7463</v>
      </c>
      <c r="AB7483" s="37">
        <v>1.8711249871046756</v>
      </c>
      <c r="AC7483" s="37">
        <v>3.0067438183958939</v>
      </c>
      <c r="AD7483" s="37">
        <v>3.1587214333590885</v>
      </c>
    </row>
    <row r="7484" spans="27:30" x14ac:dyDescent="0.3">
      <c r="AA7484" s="37">
        <v>7464</v>
      </c>
      <c r="AB7484" s="37">
        <v>1.7624182775777033</v>
      </c>
      <c r="AC7484" s="37">
        <v>2.7718701025452956</v>
      </c>
      <c r="AD7484" s="37">
        <v>3.3784086253183436</v>
      </c>
    </row>
    <row r="7485" spans="27:30" x14ac:dyDescent="0.3">
      <c r="AA7485" s="37">
        <v>7465</v>
      </c>
      <c r="AB7485" s="37">
        <v>1.7022951263589368</v>
      </c>
      <c r="AC7485" s="37">
        <v>2.8156785829320978</v>
      </c>
      <c r="AD7485" s="37">
        <v>3.292220478287029</v>
      </c>
    </row>
    <row r="7486" spans="27:30" x14ac:dyDescent="0.3">
      <c r="AA7486" s="37">
        <v>7466</v>
      </c>
      <c r="AB7486" s="37">
        <v>1.7989073150028756</v>
      </c>
      <c r="AC7486" s="37">
        <v>2.7254099636176332</v>
      </c>
      <c r="AD7486" s="37">
        <v>3.2894144390951534</v>
      </c>
    </row>
    <row r="7487" spans="27:30" x14ac:dyDescent="0.3">
      <c r="AA7487" s="37">
        <v>7467</v>
      </c>
      <c r="AB7487" s="37">
        <v>1.8701085073587005</v>
      </c>
      <c r="AC7487" s="37">
        <v>2.8100187473452798</v>
      </c>
      <c r="AD7487" s="37">
        <v>3.3070218266339033</v>
      </c>
    </row>
    <row r="7488" spans="27:30" x14ac:dyDescent="0.3">
      <c r="AA7488" s="37">
        <v>7468</v>
      </c>
      <c r="AB7488" s="37">
        <v>1.803365867918699</v>
      </c>
      <c r="AC7488" s="37">
        <v>2.7034463173328955</v>
      </c>
      <c r="AD7488" s="37">
        <v>3.343036338500557</v>
      </c>
    </row>
    <row r="7489" spans="27:30" x14ac:dyDescent="0.3">
      <c r="AA7489" s="37">
        <v>7469</v>
      </c>
      <c r="AB7489" s="37">
        <v>1.8312671967053873</v>
      </c>
      <c r="AC7489" s="37">
        <v>2.740259538630311</v>
      </c>
      <c r="AD7489" s="37">
        <v>3.2928155498475937</v>
      </c>
    </row>
    <row r="7490" spans="27:30" x14ac:dyDescent="0.3">
      <c r="AA7490" s="37">
        <v>7470</v>
      </c>
      <c r="AB7490" s="37">
        <v>1.7603622148057008</v>
      </c>
      <c r="AC7490" s="37">
        <v>2.8404230633336245</v>
      </c>
      <c r="AD7490" s="37">
        <v>3.1284647068305604</v>
      </c>
    </row>
    <row r="7491" spans="27:30" x14ac:dyDescent="0.3">
      <c r="AA7491" s="37">
        <v>7471</v>
      </c>
      <c r="AB7491" s="37">
        <v>1.7081909930172452</v>
      </c>
      <c r="AC7491" s="37">
        <v>2.5866271493220458</v>
      </c>
      <c r="AD7491" s="37">
        <v>3.1997739626582447</v>
      </c>
    </row>
    <row r="7492" spans="27:30" x14ac:dyDescent="0.3">
      <c r="AA7492" s="37">
        <v>7472</v>
      </c>
      <c r="AB7492" s="37">
        <v>1.904188811053374</v>
      </c>
      <c r="AC7492" s="37">
        <v>2.8656509984888157</v>
      </c>
      <c r="AD7492" s="37">
        <v>3.2477740965487376</v>
      </c>
    </row>
    <row r="7493" spans="27:30" x14ac:dyDescent="0.3">
      <c r="AA7493" s="37">
        <v>7473</v>
      </c>
      <c r="AB7493" s="37">
        <v>1.7781244052255898</v>
      </c>
      <c r="AC7493" s="37">
        <v>2.9708519449384347</v>
      </c>
      <c r="AD7493" s="37">
        <v>3.1570550072090224</v>
      </c>
    </row>
    <row r="7494" spans="27:30" x14ac:dyDescent="0.3">
      <c r="AA7494" s="37">
        <v>7474</v>
      </c>
      <c r="AB7494" s="37">
        <v>1.8563978920677064</v>
      </c>
      <c r="AC7494" s="37">
        <v>2.9372086643334794</v>
      </c>
      <c r="AD7494" s="37">
        <v>3.4855329278973417</v>
      </c>
    </row>
    <row r="7495" spans="27:30" x14ac:dyDescent="0.3">
      <c r="AA7495" s="37">
        <v>7475</v>
      </c>
      <c r="AB7495" s="37">
        <v>1.8119813603607264</v>
      </c>
      <c r="AC7495" s="37">
        <v>2.9465043306851157</v>
      </c>
      <c r="AD7495" s="37">
        <v>3.3674069147225447</v>
      </c>
    </row>
    <row r="7496" spans="27:30" x14ac:dyDescent="0.3">
      <c r="AA7496" s="37">
        <v>7476</v>
      </c>
      <c r="AB7496" s="37">
        <v>1.8199090898742394</v>
      </c>
      <c r="AC7496" s="37">
        <v>2.9230848712102602</v>
      </c>
      <c r="AD7496" s="37">
        <v>3.2559872692705873</v>
      </c>
    </row>
    <row r="7497" spans="27:30" x14ac:dyDescent="0.3">
      <c r="AA7497" s="37">
        <v>7477</v>
      </c>
      <c r="AB7497" s="37">
        <v>1.8670661756611462</v>
      </c>
      <c r="AC7497" s="37">
        <v>2.7489930382824435</v>
      </c>
      <c r="AD7497" s="37">
        <v>3.2616240520820687</v>
      </c>
    </row>
    <row r="7498" spans="27:30" x14ac:dyDescent="0.3">
      <c r="AA7498" s="37">
        <v>7478</v>
      </c>
      <c r="AB7498" s="37">
        <v>1.7992374712058605</v>
      </c>
      <c r="AC7498" s="37">
        <v>2.8994630236415628</v>
      </c>
      <c r="AD7498" s="37">
        <v>3.4192825294188385</v>
      </c>
    </row>
    <row r="7499" spans="27:30" x14ac:dyDescent="0.3">
      <c r="AA7499" s="37">
        <v>7479</v>
      </c>
      <c r="AB7499" s="37">
        <v>1.7678154530422292</v>
      </c>
      <c r="AC7499" s="37">
        <v>2.7868524709550346</v>
      </c>
      <c r="AD7499" s="37">
        <v>3.1959089280812347</v>
      </c>
    </row>
    <row r="7500" spans="27:30" x14ac:dyDescent="0.3">
      <c r="AA7500" s="37">
        <v>7480</v>
      </c>
      <c r="AB7500" s="37">
        <v>1.8612847274626667</v>
      </c>
      <c r="AC7500" s="37">
        <v>2.9507414769656855</v>
      </c>
      <c r="AD7500" s="37">
        <v>3.248183402240028</v>
      </c>
    </row>
    <row r="7501" spans="27:30" x14ac:dyDescent="0.3">
      <c r="AA7501" s="37">
        <v>7481</v>
      </c>
      <c r="AB7501" s="37">
        <v>1.7468507630165537</v>
      </c>
      <c r="AC7501" s="37">
        <v>2.9772127922819096</v>
      </c>
      <c r="AD7501" s="37">
        <v>3.451817228222394</v>
      </c>
    </row>
    <row r="7502" spans="27:30" x14ac:dyDescent="0.3">
      <c r="AA7502" s="37">
        <v>7482</v>
      </c>
      <c r="AB7502" s="37">
        <v>1.7688966204725365</v>
      </c>
      <c r="AC7502" s="37">
        <v>2.7458597420036215</v>
      </c>
      <c r="AD7502" s="37">
        <v>3.291627053497209</v>
      </c>
    </row>
    <row r="7503" spans="27:30" x14ac:dyDescent="0.3">
      <c r="AA7503" s="37">
        <v>7483</v>
      </c>
      <c r="AB7503" s="37">
        <v>1.894124600409125</v>
      </c>
      <c r="AC7503" s="37">
        <v>2.7547269958030518</v>
      </c>
      <c r="AD7503" s="37">
        <v>3.6679644900548078</v>
      </c>
    </row>
    <row r="7504" spans="27:30" x14ac:dyDescent="0.3">
      <c r="AA7504" s="37">
        <v>7484</v>
      </c>
      <c r="AB7504" s="37">
        <v>1.7859215114024147</v>
      </c>
      <c r="AC7504" s="37">
        <v>2.8434303668006651</v>
      </c>
      <c r="AD7504" s="37">
        <v>3.4460847343804408</v>
      </c>
    </row>
    <row r="7505" spans="27:30" x14ac:dyDescent="0.3">
      <c r="AA7505" s="37">
        <v>7485</v>
      </c>
      <c r="AB7505" s="37">
        <v>1.8683777198765983</v>
      </c>
      <c r="AC7505" s="37">
        <v>2.9277515860645544</v>
      </c>
      <c r="AD7505" s="37">
        <v>3.2628722353387469</v>
      </c>
    </row>
    <row r="7506" spans="27:30" x14ac:dyDescent="0.3">
      <c r="AA7506" s="37">
        <v>7486</v>
      </c>
      <c r="AB7506" s="37">
        <v>1.7677145881128664</v>
      </c>
      <c r="AC7506" s="37">
        <v>2.8788170387366661</v>
      </c>
      <c r="AD7506" s="37">
        <v>3.1782648072557227</v>
      </c>
    </row>
    <row r="7507" spans="27:30" x14ac:dyDescent="0.3">
      <c r="AA7507" s="37">
        <v>7487</v>
      </c>
      <c r="AB7507" s="37">
        <v>1.8256598494813596</v>
      </c>
      <c r="AC7507" s="37">
        <v>2.8830622361916465</v>
      </c>
      <c r="AD7507" s="37">
        <v>3.5661640662900989</v>
      </c>
    </row>
    <row r="7508" spans="27:30" x14ac:dyDescent="0.3">
      <c r="AA7508" s="37">
        <v>7488</v>
      </c>
      <c r="AB7508" s="37">
        <v>1.8521376660050699</v>
      </c>
      <c r="AC7508" s="37">
        <v>2.8557095645609634</v>
      </c>
      <c r="AD7508" s="37">
        <v>3.4014433969294702</v>
      </c>
    </row>
    <row r="7509" spans="27:30" x14ac:dyDescent="0.3">
      <c r="AA7509" s="37">
        <v>7489</v>
      </c>
      <c r="AB7509" s="37">
        <v>1.7601814826474835</v>
      </c>
      <c r="AC7509" s="37">
        <v>2.7210207499522192</v>
      </c>
      <c r="AD7509" s="37">
        <v>3.2826332561036136</v>
      </c>
    </row>
    <row r="7510" spans="27:30" x14ac:dyDescent="0.3">
      <c r="AA7510" s="37">
        <v>7490</v>
      </c>
      <c r="AB7510" s="37">
        <v>1.8140544861693149</v>
      </c>
      <c r="AC7510" s="37">
        <v>2.6379970095354008</v>
      </c>
      <c r="AD7510" s="37">
        <v>3.2719627835979685</v>
      </c>
    </row>
    <row r="7511" spans="27:30" x14ac:dyDescent="0.3">
      <c r="AA7511" s="37">
        <v>7491</v>
      </c>
      <c r="AB7511" s="37">
        <v>1.6591038753148979</v>
      </c>
      <c r="AC7511" s="37">
        <v>2.9427275927590997</v>
      </c>
      <c r="AD7511" s="37">
        <v>3.6399863171936988</v>
      </c>
    </row>
    <row r="7512" spans="27:30" x14ac:dyDescent="0.3">
      <c r="AA7512" s="37">
        <v>7492</v>
      </c>
      <c r="AB7512" s="37">
        <v>1.8021915000214266</v>
      </c>
      <c r="AC7512" s="37">
        <v>2.6403926420617201</v>
      </c>
      <c r="AD7512" s="37">
        <v>3.2468673928683649</v>
      </c>
    </row>
    <row r="7513" spans="27:30" x14ac:dyDescent="0.3">
      <c r="AA7513" s="37">
        <v>7493</v>
      </c>
      <c r="AB7513" s="37">
        <v>1.6887564120898835</v>
      </c>
      <c r="AC7513" s="37">
        <v>2.7957054773165577</v>
      </c>
      <c r="AD7513" s="37">
        <v>3.1168254631138348</v>
      </c>
    </row>
    <row r="7514" spans="27:30" x14ac:dyDescent="0.3">
      <c r="AA7514" s="37">
        <v>7494</v>
      </c>
      <c r="AB7514" s="37">
        <v>1.8772765348549374</v>
      </c>
      <c r="AC7514" s="37">
        <v>2.8986039681667637</v>
      </c>
      <c r="AD7514" s="37">
        <v>3.2893163426109315</v>
      </c>
    </row>
    <row r="7515" spans="27:30" x14ac:dyDescent="0.3">
      <c r="AA7515" s="37">
        <v>7495</v>
      </c>
      <c r="AB7515" s="37">
        <v>1.8326817041597605</v>
      </c>
      <c r="AC7515" s="37">
        <v>2.9942405491344144</v>
      </c>
      <c r="AD7515" s="37">
        <v>3.1039136956593358</v>
      </c>
    </row>
    <row r="7516" spans="27:30" x14ac:dyDescent="0.3">
      <c r="AA7516" s="37">
        <v>7496</v>
      </c>
      <c r="AB7516" s="37">
        <v>1.7841851301680349</v>
      </c>
      <c r="AC7516" s="37">
        <v>2.8993210828191081</v>
      </c>
      <c r="AD7516" s="37">
        <v>3.1610482117116572</v>
      </c>
    </row>
    <row r="7517" spans="27:30" x14ac:dyDescent="0.3">
      <c r="AA7517" s="37">
        <v>7497</v>
      </c>
      <c r="AB7517" s="37">
        <v>1.82703257794598</v>
      </c>
      <c r="AC7517" s="37">
        <v>2.8770478047584707</v>
      </c>
      <c r="AD7517" s="37">
        <v>3.4975123021903705</v>
      </c>
    </row>
    <row r="7518" spans="27:30" x14ac:dyDescent="0.3">
      <c r="AA7518" s="37">
        <v>7498</v>
      </c>
      <c r="AB7518" s="37">
        <v>1.8812120262127017</v>
      </c>
      <c r="AC7518" s="37">
        <v>2.8643375361658872</v>
      </c>
      <c r="AD7518" s="37">
        <v>3.2965231746799115</v>
      </c>
    </row>
    <row r="7519" spans="27:30" x14ac:dyDescent="0.3">
      <c r="AA7519" s="37">
        <v>7499</v>
      </c>
      <c r="AB7519" s="37">
        <v>1.7369405520986965</v>
      </c>
      <c r="AC7519" s="37">
        <v>2.7588265307622577</v>
      </c>
      <c r="AD7519" s="37">
        <v>3.2076702069260419</v>
      </c>
    </row>
    <row r="7520" spans="27:30" x14ac:dyDescent="0.3">
      <c r="AA7520" s="37">
        <v>7500</v>
      </c>
      <c r="AB7520" s="37">
        <v>1.7728816846321416</v>
      </c>
      <c r="AC7520" s="37">
        <v>3.0272472212336194</v>
      </c>
      <c r="AD7520" s="37">
        <v>3.7405490671092623</v>
      </c>
    </row>
    <row r="7521" spans="27:30" x14ac:dyDescent="0.3">
      <c r="AA7521" s="37">
        <v>7501</v>
      </c>
      <c r="AB7521" s="37">
        <v>1.6862675093061443</v>
      </c>
      <c r="AC7521" s="37">
        <v>2.6924133338641214</v>
      </c>
      <c r="AD7521" s="37">
        <v>3.4242078331929822</v>
      </c>
    </row>
    <row r="7522" spans="27:30" x14ac:dyDescent="0.3">
      <c r="AA7522" s="37">
        <v>7502</v>
      </c>
      <c r="AB7522" s="37">
        <v>1.7276355251282529</v>
      </c>
      <c r="AC7522" s="37">
        <v>2.8221696933042306</v>
      </c>
      <c r="AD7522" s="37">
        <v>3.231358178333898</v>
      </c>
    </row>
    <row r="7523" spans="27:30" x14ac:dyDescent="0.3">
      <c r="AA7523" s="37">
        <v>7503</v>
      </c>
      <c r="AB7523" s="37">
        <v>1.7412304756273289</v>
      </c>
      <c r="AC7523" s="37">
        <v>2.785568284856172</v>
      </c>
      <c r="AD7523" s="37">
        <v>3.3013078575910528</v>
      </c>
    </row>
    <row r="7524" spans="27:30" x14ac:dyDescent="0.3">
      <c r="AA7524" s="37">
        <v>7504</v>
      </c>
      <c r="AB7524" s="37">
        <v>1.7637885748897406</v>
      </c>
      <c r="AC7524" s="37">
        <v>2.931726530250931</v>
      </c>
      <c r="AD7524" s="37">
        <v>3.3411342503972379</v>
      </c>
    </row>
    <row r="7525" spans="27:30" x14ac:dyDescent="0.3">
      <c r="AA7525" s="37">
        <v>7505</v>
      </c>
      <c r="AB7525" s="37">
        <v>1.7052850326274605</v>
      </c>
      <c r="AC7525" s="37">
        <v>2.9143885335512114</v>
      </c>
      <c r="AD7525" s="37">
        <v>3.2683377027786329</v>
      </c>
    </row>
    <row r="7526" spans="27:30" x14ac:dyDescent="0.3">
      <c r="AA7526" s="37">
        <v>7506</v>
      </c>
      <c r="AB7526" s="37">
        <v>1.8750147102076176</v>
      </c>
      <c r="AC7526" s="37">
        <v>2.8282971172389884</v>
      </c>
      <c r="AD7526" s="37">
        <v>3.353973958096216</v>
      </c>
    </row>
    <row r="7527" spans="27:30" x14ac:dyDescent="0.3">
      <c r="AA7527" s="37">
        <v>7507</v>
      </c>
      <c r="AB7527" s="37">
        <v>1.8319243276611743</v>
      </c>
      <c r="AC7527" s="37">
        <v>2.6918802538587698</v>
      </c>
      <c r="AD7527" s="37">
        <v>3.3157021648414795</v>
      </c>
    </row>
    <row r="7528" spans="27:30" x14ac:dyDescent="0.3">
      <c r="AA7528" s="37">
        <v>7508</v>
      </c>
      <c r="AB7528" s="37">
        <v>1.8413974646610838</v>
      </c>
      <c r="AC7528" s="37">
        <v>2.8991015047605639</v>
      </c>
      <c r="AD7528" s="37">
        <v>3.306698542416298</v>
      </c>
    </row>
    <row r="7529" spans="27:30" x14ac:dyDescent="0.3">
      <c r="AA7529" s="37">
        <v>7509</v>
      </c>
      <c r="AB7529" s="37">
        <v>1.7988456527317727</v>
      </c>
      <c r="AC7529" s="37">
        <v>3.0660574011947523</v>
      </c>
      <c r="AD7529" s="37">
        <v>3.2774259302429289</v>
      </c>
    </row>
    <row r="7530" spans="27:30" x14ac:dyDescent="0.3">
      <c r="AA7530" s="37">
        <v>7510</v>
      </c>
      <c r="AB7530" s="37">
        <v>1.6791819869337192</v>
      </c>
      <c r="AC7530" s="37">
        <v>2.7676164342320684</v>
      </c>
      <c r="AD7530" s="37">
        <v>3.3583497163018481</v>
      </c>
    </row>
    <row r="7531" spans="27:30" x14ac:dyDescent="0.3">
      <c r="AA7531" s="37">
        <v>7511</v>
      </c>
      <c r="AB7531" s="37">
        <v>1.8406694936141541</v>
      </c>
      <c r="AC7531" s="37">
        <v>2.894052137088114</v>
      </c>
      <c r="AD7531" s="37">
        <v>3.3891503529923774</v>
      </c>
    </row>
    <row r="7532" spans="27:30" x14ac:dyDescent="0.3">
      <c r="AA7532" s="37">
        <v>7512</v>
      </c>
      <c r="AB7532" s="37">
        <v>1.6876089165495136</v>
      </c>
      <c r="AC7532" s="37">
        <v>2.8774518591589819</v>
      </c>
      <c r="AD7532" s="37">
        <v>3.1768372042903157</v>
      </c>
    </row>
    <row r="7533" spans="27:30" x14ac:dyDescent="0.3">
      <c r="AA7533" s="37">
        <v>7513</v>
      </c>
      <c r="AB7533" s="37">
        <v>1.75765927422715</v>
      </c>
      <c r="AC7533" s="37">
        <v>2.7279987182242977</v>
      </c>
      <c r="AD7533" s="37">
        <v>3.1934748722467288</v>
      </c>
    </row>
    <row r="7534" spans="27:30" x14ac:dyDescent="0.3">
      <c r="AA7534" s="37">
        <v>7514</v>
      </c>
      <c r="AB7534" s="37">
        <v>1.7208842810827889</v>
      </c>
      <c r="AC7534" s="37">
        <v>2.9292092230711342</v>
      </c>
      <c r="AD7534" s="37">
        <v>3.1484505161958745</v>
      </c>
    </row>
    <row r="7535" spans="27:30" x14ac:dyDescent="0.3">
      <c r="AA7535" s="37">
        <v>7515</v>
      </c>
      <c r="AB7535" s="37">
        <v>1.7395123474220708</v>
      </c>
      <c r="AC7535" s="37">
        <v>2.9129542759129392</v>
      </c>
      <c r="AD7535" s="37">
        <v>3.3661636279529636</v>
      </c>
    </row>
    <row r="7536" spans="27:30" x14ac:dyDescent="0.3">
      <c r="AA7536" s="37">
        <v>7516</v>
      </c>
      <c r="AB7536" s="37">
        <v>1.8743332898845015</v>
      </c>
      <c r="AC7536" s="37">
        <v>3.0139420534644086</v>
      </c>
      <c r="AD7536" s="37">
        <v>3.1416867931925894</v>
      </c>
    </row>
    <row r="7537" spans="27:30" x14ac:dyDescent="0.3">
      <c r="AA7537" s="37">
        <v>7517</v>
      </c>
      <c r="AB7537" s="37">
        <v>1.6960764207545391</v>
      </c>
      <c r="AC7537" s="37">
        <v>2.8735889990526542</v>
      </c>
      <c r="AD7537" s="37">
        <v>3.3343899019928713</v>
      </c>
    </row>
    <row r="7538" spans="27:30" x14ac:dyDescent="0.3">
      <c r="AA7538" s="37">
        <v>7518</v>
      </c>
      <c r="AB7538" s="37">
        <v>1.7453218209706951</v>
      </c>
      <c r="AC7538" s="37">
        <v>2.896136422749704</v>
      </c>
      <c r="AD7538" s="37">
        <v>3.2453566463149164</v>
      </c>
    </row>
    <row r="7539" spans="27:30" x14ac:dyDescent="0.3">
      <c r="AA7539" s="37">
        <v>7519</v>
      </c>
      <c r="AB7539" s="37">
        <v>1.7682259526094306</v>
      </c>
      <c r="AC7539" s="37">
        <v>2.7669726522140832</v>
      </c>
      <c r="AD7539" s="37">
        <v>3.4627231337229278</v>
      </c>
    </row>
    <row r="7540" spans="27:30" x14ac:dyDescent="0.3">
      <c r="AA7540" s="37">
        <v>7520</v>
      </c>
      <c r="AB7540" s="37">
        <v>1.7738259580728037</v>
      </c>
      <c r="AC7540" s="37">
        <v>2.8756555798749051</v>
      </c>
      <c r="AD7540" s="37">
        <v>3.3590545638388196</v>
      </c>
    </row>
    <row r="7541" spans="27:30" x14ac:dyDescent="0.3">
      <c r="AA7541" s="37">
        <v>7521</v>
      </c>
      <c r="AB7541" s="37">
        <v>1.7257224849551696</v>
      </c>
      <c r="AC7541" s="37">
        <v>2.8765745649891001</v>
      </c>
      <c r="AD7541" s="37">
        <v>3.36606176948716</v>
      </c>
    </row>
    <row r="7542" spans="27:30" x14ac:dyDescent="0.3">
      <c r="AA7542" s="37">
        <v>7522</v>
      </c>
      <c r="AB7542" s="37">
        <v>1.7655159451057008</v>
      </c>
      <c r="AC7542" s="37">
        <v>2.9714076715018436</v>
      </c>
      <c r="AD7542" s="37">
        <v>3.3922550489616943</v>
      </c>
    </row>
    <row r="7543" spans="27:30" x14ac:dyDescent="0.3">
      <c r="AA7543" s="37">
        <v>7523</v>
      </c>
      <c r="AB7543" s="37">
        <v>1.9310184850674901</v>
      </c>
      <c r="AC7543" s="37">
        <v>2.8831475760138026</v>
      </c>
      <c r="AD7543" s="37">
        <v>3.4094708751887022</v>
      </c>
    </row>
    <row r="7544" spans="27:30" x14ac:dyDescent="0.3">
      <c r="AA7544" s="37">
        <v>7524</v>
      </c>
      <c r="AB7544" s="37">
        <v>1.8543891263770296</v>
      </c>
      <c r="AC7544" s="37">
        <v>2.9173053233195096</v>
      </c>
      <c r="AD7544" s="37">
        <v>3.2754282297682646</v>
      </c>
    </row>
    <row r="7545" spans="27:30" x14ac:dyDescent="0.3">
      <c r="AA7545" s="37">
        <v>7525</v>
      </c>
      <c r="AB7545" s="37">
        <v>1.8234681204020147</v>
      </c>
      <c r="AC7545" s="37">
        <v>2.7836849472155576</v>
      </c>
      <c r="AD7545" s="37">
        <v>3.2714913956220353</v>
      </c>
    </row>
    <row r="7546" spans="27:30" x14ac:dyDescent="0.3">
      <c r="AA7546" s="37">
        <v>7526</v>
      </c>
      <c r="AB7546" s="37">
        <v>1.815702539323923</v>
      </c>
      <c r="AC7546" s="37">
        <v>3.0087382057695193</v>
      </c>
      <c r="AD7546" s="37">
        <v>3.1604787255641753</v>
      </c>
    </row>
    <row r="7547" spans="27:30" x14ac:dyDescent="0.3">
      <c r="AA7547" s="37">
        <v>7527</v>
      </c>
      <c r="AB7547" s="37">
        <v>1.8152629081669873</v>
      </c>
      <c r="AC7547" s="37">
        <v>2.7670809160273264</v>
      </c>
      <c r="AD7547" s="37">
        <v>3.4610620671358836</v>
      </c>
    </row>
    <row r="7548" spans="27:30" x14ac:dyDescent="0.3">
      <c r="AA7548" s="37">
        <v>7528</v>
      </c>
      <c r="AB7548" s="37">
        <v>1.842333519328182</v>
      </c>
      <c r="AC7548" s="37">
        <v>2.9664364730863344</v>
      </c>
      <c r="AD7548" s="37">
        <v>3.225495469280351</v>
      </c>
    </row>
    <row r="7549" spans="27:30" x14ac:dyDescent="0.3">
      <c r="AA7549" s="37">
        <v>7529</v>
      </c>
      <c r="AB7549" s="37">
        <v>1.6450891550318125</v>
      </c>
      <c r="AC7549" s="37">
        <v>2.6997700566597738</v>
      </c>
      <c r="AD7549" s="37">
        <v>3.154664517074274</v>
      </c>
    </row>
    <row r="7550" spans="27:30" x14ac:dyDescent="0.3">
      <c r="AA7550" s="37">
        <v>7530</v>
      </c>
      <c r="AB7550" s="37">
        <v>1.7414318537075963</v>
      </c>
      <c r="AC7550" s="37">
        <v>2.7339803174091482</v>
      </c>
      <c r="AD7550" s="37">
        <v>3.6235002257134781</v>
      </c>
    </row>
    <row r="7551" spans="27:30" x14ac:dyDescent="0.3">
      <c r="AA7551" s="37">
        <v>7531</v>
      </c>
      <c r="AB7551" s="37">
        <v>1.7921298168269866</v>
      </c>
      <c r="AC7551" s="37">
        <v>2.6648201148399218</v>
      </c>
      <c r="AD7551" s="37">
        <v>3.2193900096286119</v>
      </c>
    </row>
    <row r="7552" spans="27:30" x14ac:dyDescent="0.3">
      <c r="AA7552" s="37">
        <v>7532</v>
      </c>
      <c r="AB7552" s="37">
        <v>1.7283941060243</v>
      </c>
      <c r="AC7552" s="37">
        <v>2.927133830246528</v>
      </c>
      <c r="AD7552" s="37">
        <v>3.2444848898810381</v>
      </c>
    </row>
    <row r="7553" spans="27:30" x14ac:dyDescent="0.3">
      <c r="AA7553" s="37">
        <v>7533</v>
      </c>
      <c r="AB7553" s="37">
        <v>1.7958517950811845</v>
      </c>
      <c r="AC7553" s="37">
        <v>2.8631029713852008</v>
      </c>
      <c r="AD7553" s="37">
        <v>3.5758321313521302</v>
      </c>
    </row>
    <row r="7554" spans="27:30" x14ac:dyDescent="0.3">
      <c r="AA7554" s="37">
        <v>7534</v>
      </c>
      <c r="AB7554" s="37">
        <v>1.711502915645112</v>
      </c>
      <c r="AC7554" s="37">
        <v>2.7773779913789651</v>
      </c>
      <c r="AD7554" s="37">
        <v>3.2266648926030634</v>
      </c>
    </row>
    <row r="7555" spans="27:30" x14ac:dyDescent="0.3">
      <c r="AA7555" s="37">
        <v>7535</v>
      </c>
      <c r="AB7555" s="37">
        <v>1.8020182784529273</v>
      </c>
      <c r="AC7555" s="37">
        <v>2.7602816104261887</v>
      </c>
      <c r="AD7555" s="37">
        <v>3.6017833901240848</v>
      </c>
    </row>
    <row r="7556" spans="27:30" x14ac:dyDescent="0.3">
      <c r="AA7556" s="37">
        <v>7536</v>
      </c>
      <c r="AB7556" s="37">
        <v>1.7577487535809282</v>
      </c>
      <c r="AC7556" s="37">
        <v>2.9057029049567245</v>
      </c>
      <c r="AD7556" s="37">
        <v>3.2081767171671962</v>
      </c>
    </row>
    <row r="7557" spans="27:30" x14ac:dyDescent="0.3">
      <c r="AA7557" s="37">
        <v>7537</v>
      </c>
      <c r="AB7557" s="37">
        <v>1.7722373217070522</v>
      </c>
      <c r="AC7557" s="37">
        <v>2.8974786036615297</v>
      </c>
      <c r="AD7557" s="37">
        <v>3.2952421306478406</v>
      </c>
    </row>
    <row r="7558" spans="27:30" x14ac:dyDescent="0.3">
      <c r="AA7558" s="37">
        <v>7538</v>
      </c>
      <c r="AB7558" s="37">
        <v>1.8624851287625139</v>
      </c>
      <c r="AC7558" s="37">
        <v>3.0560431807371882</v>
      </c>
      <c r="AD7558" s="37">
        <v>3.2138892924571727</v>
      </c>
    </row>
    <row r="7559" spans="27:30" x14ac:dyDescent="0.3">
      <c r="AA7559" s="37">
        <v>7539</v>
      </c>
      <c r="AB7559" s="37">
        <v>1.763305906601925</v>
      </c>
      <c r="AC7559" s="37">
        <v>2.8285512666874859</v>
      </c>
      <c r="AD7559" s="37">
        <v>3.4713710658146155</v>
      </c>
    </row>
    <row r="7560" spans="27:30" x14ac:dyDescent="0.3">
      <c r="AA7560" s="37">
        <v>7540</v>
      </c>
      <c r="AB7560" s="37">
        <v>1.7892000098395415</v>
      </c>
      <c r="AC7560" s="37">
        <v>2.6540214463318237</v>
      </c>
      <c r="AD7560" s="37">
        <v>3.2621479880149131</v>
      </c>
    </row>
    <row r="7561" spans="27:30" x14ac:dyDescent="0.3">
      <c r="AA7561" s="37">
        <v>7541</v>
      </c>
      <c r="AB7561" s="37">
        <v>1.9560793692577154</v>
      </c>
      <c r="AC7561" s="37">
        <v>2.9158200148064499</v>
      </c>
      <c r="AD7561" s="37">
        <v>3.1773977965074849</v>
      </c>
    </row>
    <row r="7562" spans="27:30" x14ac:dyDescent="0.3">
      <c r="AA7562" s="37">
        <v>7542</v>
      </c>
      <c r="AB7562" s="37">
        <v>1.7813160305399101</v>
      </c>
      <c r="AC7562" s="37">
        <v>2.6505179629573701</v>
      </c>
      <c r="AD7562" s="37">
        <v>3.0906208322253081</v>
      </c>
    </row>
    <row r="7563" spans="27:30" x14ac:dyDescent="0.3">
      <c r="AA7563" s="37">
        <v>7543</v>
      </c>
      <c r="AB7563" s="37">
        <v>1.8078670681642119</v>
      </c>
      <c r="AC7563" s="37">
        <v>2.8268430167702348</v>
      </c>
      <c r="AD7563" s="37">
        <v>3.4630363523394911</v>
      </c>
    </row>
    <row r="7564" spans="27:30" x14ac:dyDescent="0.3">
      <c r="AA7564" s="37">
        <v>7544</v>
      </c>
      <c r="AB7564" s="37">
        <v>1.8968348769077217</v>
      </c>
      <c r="AC7564" s="37">
        <v>2.8166794626402414</v>
      </c>
      <c r="AD7564" s="37">
        <v>3.2712929069965422</v>
      </c>
    </row>
    <row r="7565" spans="27:30" x14ac:dyDescent="0.3">
      <c r="AA7565" s="37">
        <v>7545</v>
      </c>
      <c r="AB7565" s="37">
        <v>1.7636281726584155</v>
      </c>
      <c r="AC7565" s="37">
        <v>2.9715293621479071</v>
      </c>
      <c r="AD7565" s="37">
        <v>3.4878971269440182</v>
      </c>
    </row>
    <row r="7566" spans="27:30" x14ac:dyDescent="0.3">
      <c r="AA7566" s="37">
        <v>7546</v>
      </c>
      <c r="AB7566" s="37">
        <v>1.7783597116401286</v>
      </c>
      <c r="AC7566" s="37">
        <v>2.778717547921199</v>
      </c>
      <c r="AD7566" s="37">
        <v>3.4674409001041688</v>
      </c>
    </row>
    <row r="7567" spans="27:30" x14ac:dyDescent="0.3">
      <c r="AA7567" s="37">
        <v>7547</v>
      </c>
      <c r="AB7567" s="37">
        <v>1.786493872089882</v>
      </c>
      <c r="AC7567" s="37">
        <v>2.8241798752412577</v>
      </c>
      <c r="AD7567" s="37">
        <v>3.3236507349818365</v>
      </c>
    </row>
    <row r="7568" spans="27:30" x14ac:dyDescent="0.3">
      <c r="AA7568" s="37">
        <v>7548</v>
      </c>
      <c r="AB7568" s="37">
        <v>1.7548031683967804</v>
      </c>
      <c r="AC7568" s="37">
        <v>3.0212594235794437</v>
      </c>
      <c r="AD7568" s="37">
        <v>3.6684072104260399</v>
      </c>
    </row>
    <row r="7569" spans="27:30" x14ac:dyDescent="0.3">
      <c r="AA7569" s="37">
        <v>7549</v>
      </c>
      <c r="AB7569" s="37">
        <v>1.8098498392348663</v>
      </c>
      <c r="AC7569" s="37">
        <v>2.8157336130121178</v>
      </c>
      <c r="AD7569" s="37">
        <v>3.2047072179322651</v>
      </c>
    </row>
    <row r="7570" spans="27:30" x14ac:dyDescent="0.3">
      <c r="AA7570" s="37">
        <v>7550</v>
      </c>
      <c r="AB7570" s="37">
        <v>1.7010968696125033</v>
      </c>
      <c r="AC7570" s="37">
        <v>2.734792425609784</v>
      </c>
      <c r="AD7570" s="37">
        <v>3.4479256369557887</v>
      </c>
    </row>
    <row r="7571" spans="27:30" x14ac:dyDescent="0.3">
      <c r="AA7571" s="37">
        <v>7551</v>
      </c>
      <c r="AB7571" s="37">
        <v>1.7694765558428298</v>
      </c>
      <c r="AC7571" s="37">
        <v>2.9376658913930078</v>
      </c>
      <c r="AD7571" s="37">
        <v>3.5762685846885551</v>
      </c>
    </row>
    <row r="7572" spans="27:30" x14ac:dyDescent="0.3">
      <c r="AA7572" s="37">
        <v>7552</v>
      </c>
      <c r="AB7572" s="37">
        <v>1.8342517098455393</v>
      </c>
      <c r="AC7572" s="37">
        <v>2.838076516259576</v>
      </c>
      <c r="AD7572" s="37">
        <v>3.421787830812006</v>
      </c>
    </row>
    <row r="7573" spans="27:30" x14ac:dyDescent="0.3">
      <c r="AA7573" s="37">
        <v>7553</v>
      </c>
      <c r="AB7573" s="37">
        <v>1.7819377569135821</v>
      </c>
      <c r="AC7573" s="37">
        <v>2.8261984516366825</v>
      </c>
      <c r="AD7573" s="37">
        <v>3.1485003913028602</v>
      </c>
    </row>
    <row r="7574" spans="27:30" x14ac:dyDescent="0.3">
      <c r="AA7574" s="37">
        <v>7554</v>
      </c>
      <c r="AB7574" s="37">
        <v>1.7873911635827855</v>
      </c>
      <c r="AC7574" s="37">
        <v>2.9933779053400142</v>
      </c>
      <c r="AD7574" s="37">
        <v>3.4755492139545621</v>
      </c>
    </row>
    <row r="7575" spans="27:30" x14ac:dyDescent="0.3">
      <c r="AA7575" s="37">
        <v>7555</v>
      </c>
      <c r="AB7575" s="37">
        <v>1.7483444243531334</v>
      </c>
      <c r="AC7575" s="37">
        <v>2.7987195406196692</v>
      </c>
      <c r="AD7575" s="37">
        <v>3.3373503622966734</v>
      </c>
    </row>
    <row r="7576" spans="27:30" x14ac:dyDescent="0.3">
      <c r="AA7576" s="37">
        <v>7556</v>
      </c>
      <c r="AB7576" s="37">
        <v>1.7460084853215156</v>
      </c>
      <c r="AC7576" s="37">
        <v>2.9409376978230659</v>
      </c>
      <c r="AD7576" s="37">
        <v>3.4340263903777575</v>
      </c>
    </row>
    <row r="7577" spans="27:30" x14ac:dyDescent="0.3">
      <c r="AA7577" s="37">
        <v>7557</v>
      </c>
      <c r="AB7577" s="37">
        <v>1.7788227431397714</v>
      </c>
      <c r="AC7577" s="37">
        <v>2.9915160986763691</v>
      </c>
      <c r="AD7577" s="37">
        <v>3.176295349685871</v>
      </c>
    </row>
    <row r="7578" spans="27:30" x14ac:dyDescent="0.3">
      <c r="AA7578" s="37">
        <v>7558</v>
      </c>
      <c r="AB7578" s="37">
        <v>1.7894637474974635</v>
      </c>
      <c r="AC7578" s="37">
        <v>2.9159531028801076</v>
      </c>
      <c r="AD7578" s="37">
        <v>3.3769288967644413</v>
      </c>
    </row>
    <row r="7579" spans="27:30" x14ac:dyDescent="0.3">
      <c r="AA7579" s="37">
        <v>7559</v>
      </c>
      <c r="AB7579" s="37">
        <v>1.8021705374967032</v>
      </c>
      <c r="AC7579" s="37">
        <v>2.5925529462727974</v>
      </c>
      <c r="AD7579" s="37">
        <v>3.6125015489125292</v>
      </c>
    </row>
    <row r="7580" spans="27:30" x14ac:dyDescent="0.3">
      <c r="AA7580" s="37">
        <v>7560</v>
      </c>
      <c r="AB7580" s="37">
        <v>1.9298947141008755</v>
      </c>
      <c r="AC7580" s="37">
        <v>2.8034327726031387</v>
      </c>
      <c r="AD7580" s="37">
        <v>3.2222511586553626</v>
      </c>
    </row>
    <row r="7581" spans="27:30" x14ac:dyDescent="0.3">
      <c r="AA7581" s="37">
        <v>7561</v>
      </c>
      <c r="AB7581" s="37">
        <v>1.7876835858692268</v>
      </c>
      <c r="AC7581" s="37">
        <v>2.7918759048518975</v>
      </c>
      <c r="AD7581" s="37">
        <v>3.277750455719489</v>
      </c>
    </row>
    <row r="7582" spans="27:30" x14ac:dyDescent="0.3">
      <c r="AA7582" s="37">
        <v>7562</v>
      </c>
      <c r="AB7582" s="37">
        <v>1.861167238990584</v>
      </c>
      <c r="AC7582" s="37">
        <v>2.7962332345437075</v>
      </c>
      <c r="AD7582" s="37">
        <v>3.2230635080354344</v>
      </c>
    </row>
    <row r="7583" spans="27:30" x14ac:dyDescent="0.3">
      <c r="AA7583" s="37">
        <v>7563</v>
      </c>
      <c r="AB7583" s="37">
        <v>1.8191503779340124</v>
      </c>
      <c r="AC7583" s="37">
        <v>2.946919499285118</v>
      </c>
      <c r="AD7583" s="37">
        <v>3.0147033421931404</v>
      </c>
    </row>
    <row r="7584" spans="27:30" x14ac:dyDescent="0.3">
      <c r="AA7584" s="37">
        <v>7564</v>
      </c>
      <c r="AB7584" s="37">
        <v>1.639410924486264</v>
      </c>
      <c r="AC7584" s="37">
        <v>2.8305364765431933</v>
      </c>
      <c r="AD7584" s="37">
        <v>3.3990567328936967</v>
      </c>
    </row>
    <row r="7585" spans="27:30" x14ac:dyDescent="0.3">
      <c r="AA7585" s="37">
        <v>7565</v>
      </c>
      <c r="AB7585" s="37">
        <v>1.7946007745645209</v>
      </c>
      <c r="AC7585" s="37">
        <v>2.8022927980952796</v>
      </c>
      <c r="AD7585" s="37">
        <v>3.1238843273125325</v>
      </c>
    </row>
    <row r="7586" spans="27:30" x14ac:dyDescent="0.3">
      <c r="AA7586" s="37">
        <v>7566</v>
      </c>
      <c r="AB7586" s="37">
        <v>1.7925871150565058</v>
      </c>
      <c r="AC7586" s="37">
        <v>2.7598957269112088</v>
      </c>
      <c r="AD7586" s="37">
        <v>3.4636108331809861</v>
      </c>
    </row>
    <row r="7587" spans="27:30" x14ac:dyDescent="0.3">
      <c r="AA7587" s="37">
        <v>7567</v>
      </c>
      <c r="AB7587" s="37">
        <v>1.7985636754113674</v>
      </c>
      <c r="AC7587" s="37">
        <v>2.9080032801291691</v>
      </c>
      <c r="AD7587" s="37">
        <v>3.4657724374476149</v>
      </c>
    </row>
    <row r="7588" spans="27:30" x14ac:dyDescent="0.3">
      <c r="AA7588" s="37">
        <v>7568</v>
      </c>
      <c r="AB7588" s="37">
        <v>1.7486748622115478</v>
      </c>
      <c r="AC7588" s="37">
        <v>2.6856246636797656</v>
      </c>
      <c r="AD7588" s="37">
        <v>3.2921194026057869</v>
      </c>
    </row>
    <row r="7589" spans="27:30" x14ac:dyDescent="0.3">
      <c r="AA7589" s="37">
        <v>7569</v>
      </c>
      <c r="AB7589" s="37">
        <v>1.9410486097292858</v>
      </c>
      <c r="AC7589" s="37">
        <v>2.8328932697861879</v>
      </c>
      <c r="AD7589" s="37">
        <v>3.3757417664469962</v>
      </c>
    </row>
    <row r="7590" spans="27:30" x14ac:dyDescent="0.3">
      <c r="AA7590" s="37">
        <v>7570</v>
      </c>
      <c r="AB7590" s="37">
        <v>1.7815654333362405</v>
      </c>
      <c r="AC7590" s="37">
        <v>2.7140932872065942</v>
      </c>
      <c r="AD7590" s="37">
        <v>3.457454538502776</v>
      </c>
    </row>
    <row r="7591" spans="27:30" x14ac:dyDescent="0.3">
      <c r="AA7591" s="37">
        <v>7571</v>
      </c>
      <c r="AB7591" s="37">
        <v>1.7890311792344913</v>
      </c>
      <c r="AC7591" s="37">
        <v>2.9018662012169782</v>
      </c>
      <c r="AD7591" s="37">
        <v>3.2917620304137727</v>
      </c>
    </row>
    <row r="7592" spans="27:30" x14ac:dyDescent="0.3">
      <c r="AA7592" s="37">
        <v>7572</v>
      </c>
      <c r="AB7592" s="37">
        <v>1.8264671546932036</v>
      </c>
      <c r="AC7592" s="37">
        <v>2.7352782654409249</v>
      </c>
      <c r="AD7592" s="37">
        <v>3.1564692340004536</v>
      </c>
    </row>
    <row r="7593" spans="27:30" x14ac:dyDescent="0.3">
      <c r="AA7593" s="37">
        <v>7573</v>
      </c>
      <c r="AB7593" s="37">
        <v>1.7939639408630175</v>
      </c>
      <c r="AC7593" s="37">
        <v>2.8001198547417285</v>
      </c>
      <c r="AD7593" s="37">
        <v>3.3703466681120484</v>
      </c>
    </row>
    <row r="7594" spans="27:30" x14ac:dyDescent="0.3">
      <c r="AA7594" s="37">
        <v>7574</v>
      </c>
      <c r="AB7594" s="37">
        <v>1.6715552945839875</v>
      </c>
      <c r="AC7594" s="37">
        <v>2.8704525446072635</v>
      </c>
      <c r="AD7594" s="37">
        <v>3.4291622719161126</v>
      </c>
    </row>
    <row r="7595" spans="27:30" x14ac:dyDescent="0.3">
      <c r="AA7595" s="37">
        <v>7575</v>
      </c>
      <c r="AB7595" s="37">
        <v>1.6988485862147114</v>
      </c>
      <c r="AC7595" s="37">
        <v>2.8828456987654669</v>
      </c>
      <c r="AD7595" s="37">
        <v>3.4513877271647173</v>
      </c>
    </row>
    <row r="7596" spans="27:30" x14ac:dyDescent="0.3">
      <c r="AA7596" s="37">
        <v>7576</v>
      </c>
      <c r="AB7596" s="37">
        <v>1.7329388884978703</v>
      </c>
      <c r="AC7596" s="37">
        <v>3.1083541845421392</v>
      </c>
      <c r="AD7596" s="37">
        <v>3.3446065115600119</v>
      </c>
    </row>
    <row r="7597" spans="27:30" x14ac:dyDescent="0.3">
      <c r="AA7597" s="37">
        <v>7577</v>
      </c>
      <c r="AB7597" s="37">
        <v>1.8734463014570237</v>
      </c>
      <c r="AC7597" s="37">
        <v>2.8955178724278126</v>
      </c>
      <c r="AD7597" s="37">
        <v>3.2156197775062525</v>
      </c>
    </row>
    <row r="7598" spans="27:30" x14ac:dyDescent="0.3">
      <c r="AA7598" s="37">
        <v>7578</v>
      </c>
      <c r="AB7598" s="37">
        <v>1.8183489339773762</v>
      </c>
      <c r="AC7598" s="37">
        <v>2.7967881997188071</v>
      </c>
      <c r="AD7598" s="37">
        <v>3.497044513339894</v>
      </c>
    </row>
    <row r="7599" spans="27:30" x14ac:dyDescent="0.3">
      <c r="AA7599" s="37">
        <v>7579</v>
      </c>
      <c r="AB7599" s="37">
        <v>1.7548186687176095</v>
      </c>
      <c r="AC7599" s="37">
        <v>2.9903690602195545</v>
      </c>
      <c r="AD7599" s="37">
        <v>3.4397940540184528</v>
      </c>
    </row>
    <row r="7600" spans="27:30" x14ac:dyDescent="0.3">
      <c r="AA7600" s="37">
        <v>7580</v>
      </c>
      <c r="AB7600" s="37">
        <v>1.7001442990878153</v>
      </c>
      <c r="AC7600" s="37">
        <v>2.7671240076573409</v>
      </c>
      <c r="AD7600" s="37">
        <v>3.2583161635898334</v>
      </c>
    </row>
    <row r="7601" spans="27:30" x14ac:dyDescent="0.3">
      <c r="AA7601" s="37">
        <v>7581</v>
      </c>
      <c r="AB7601" s="37">
        <v>1.6741628755393643</v>
      </c>
      <c r="AC7601" s="37">
        <v>2.9572401072456413</v>
      </c>
      <c r="AD7601" s="37">
        <v>3.2140385072802338</v>
      </c>
    </row>
    <row r="7602" spans="27:30" x14ac:dyDescent="0.3">
      <c r="AA7602" s="37">
        <v>7582</v>
      </c>
      <c r="AB7602" s="37">
        <v>1.8425576245890973</v>
      </c>
      <c r="AC7602" s="37">
        <v>2.9115958004272802</v>
      </c>
      <c r="AD7602" s="37">
        <v>3.2166369924401415</v>
      </c>
    </row>
    <row r="7603" spans="27:30" x14ac:dyDescent="0.3">
      <c r="AA7603" s="37">
        <v>7583</v>
      </c>
      <c r="AB7603" s="37">
        <v>1.7897561368966843</v>
      </c>
      <c r="AC7603" s="37">
        <v>2.9588282135850466</v>
      </c>
      <c r="AD7603" s="37">
        <v>3.4583281413552327</v>
      </c>
    </row>
    <row r="7604" spans="27:30" x14ac:dyDescent="0.3">
      <c r="AA7604" s="37">
        <v>7584</v>
      </c>
      <c r="AB7604" s="37">
        <v>1.8301812681072753</v>
      </c>
      <c r="AC7604" s="37">
        <v>2.7616819489437661</v>
      </c>
      <c r="AD7604" s="37">
        <v>3.0396905304730351</v>
      </c>
    </row>
    <row r="7605" spans="27:30" x14ac:dyDescent="0.3">
      <c r="AA7605" s="37">
        <v>7585</v>
      </c>
      <c r="AB7605" s="37">
        <v>1.786969559519898</v>
      </c>
      <c r="AC7605" s="37">
        <v>2.8815836036815172</v>
      </c>
      <c r="AD7605" s="37">
        <v>3.5565518048260221</v>
      </c>
    </row>
    <row r="7606" spans="27:30" x14ac:dyDescent="0.3">
      <c r="AA7606" s="37">
        <v>7586</v>
      </c>
      <c r="AB7606" s="37">
        <v>1.8296004696827211</v>
      </c>
      <c r="AC7606" s="37">
        <v>2.9122661074805336</v>
      </c>
      <c r="AD7606" s="37">
        <v>3.2474901944331238</v>
      </c>
    </row>
    <row r="7607" spans="27:30" x14ac:dyDescent="0.3">
      <c r="AA7607" s="37">
        <v>7587</v>
      </c>
      <c r="AB7607" s="37">
        <v>1.8774728260218343</v>
      </c>
      <c r="AC7607" s="37">
        <v>2.7711167171813296</v>
      </c>
      <c r="AD7607" s="37">
        <v>3.3917536852955301</v>
      </c>
    </row>
    <row r="7608" spans="27:30" x14ac:dyDescent="0.3">
      <c r="AA7608" s="37">
        <v>7588</v>
      </c>
      <c r="AB7608" s="37">
        <v>1.7563193905652597</v>
      </c>
      <c r="AC7608" s="37">
        <v>2.790985156445855</v>
      </c>
      <c r="AD7608" s="37">
        <v>3.2762927983921792</v>
      </c>
    </row>
    <row r="7609" spans="27:30" x14ac:dyDescent="0.3">
      <c r="AA7609" s="37">
        <v>7589</v>
      </c>
      <c r="AB7609" s="37">
        <v>1.7594830588929191</v>
      </c>
      <c r="AC7609" s="37">
        <v>2.6007502556126383</v>
      </c>
      <c r="AD7609" s="37">
        <v>3.3205076449133601</v>
      </c>
    </row>
    <row r="7610" spans="27:30" x14ac:dyDescent="0.3">
      <c r="AA7610" s="37">
        <v>7590</v>
      </c>
      <c r="AB7610" s="37">
        <v>1.8647008497861735</v>
      </c>
      <c r="AC7610" s="37">
        <v>2.9614349627842271</v>
      </c>
      <c r="AD7610" s="37">
        <v>3.3191274375456565</v>
      </c>
    </row>
    <row r="7611" spans="27:30" x14ac:dyDescent="0.3">
      <c r="AA7611" s="37">
        <v>7591</v>
      </c>
      <c r="AB7611" s="37">
        <v>1.7908871298842703</v>
      </c>
      <c r="AC7611" s="37">
        <v>2.7594094522917296</v>
      </c>
      <c r="AD7611" s="37">
        <v>3.1030232953592991</v>
      </c>
    </row>
    <row r="7612" spans="27:30" x14ac:dyDescent="0.3">
      <c r="AA7612" s="37">
        <v>7592</v>
      </c>
      <c r="AB7612" s="37">
        <v>1.7872990550144525</v>
      </c>
      <c r="AC7612" s="37">
        <v>2.8674864223301681</v>
      </c>
      <c r="AD7612" s="37">
        <v>3.7695409504456578</v>
      </c>
    </row>
    <row r="7613" spans="27:30" x14ac:dyDescent="0.3">
      <c r="AA7613" s="37">
        <v>7593</v>
      </c>
      <c r="AB7613" s="37">
        <v>1.8650960388957534</v>
      </c>
      <c r="AC7613" s="37">
        <v>2.8204269658565311</v>
      </c>
      <c r="AD7613" s="37">
        <v>3.1274467704711313</v>
      </c>
    </row>
    <row r="7614" spans="27:30" x14ac:dyDescent="0.3">
      <c r="AA7614" s="37">
        <v>7594</v>
      </c>
      <c r="AB7614" s="37">
        <v>1.8103011523851271</v>
      </c>
      <c r="AC7614" s="37">
        <v>2.8467362620106096</v>
      </c>
      <c r="AD7614" s="37">
        <v>3.2786368923209275</v>
      </c>
    </row>
    <row r="7615" spans="27:30" x14ac:dyDescent="0.3">
      <c r="AA7615" s="37">
        <v>7595</v>
      </c>
      <c r="AB7615" s="37">
        <v>1.7325044379354748</v>
      </c>
      <c r="AC7615" s="37">
        <v>2.9027257706099543</v>
      </c>
      <c r="AD7615" s="37">
        <v>3.4147748696821245</v>
      </c>
    </row>
    <row r="7616" spans="27:30" x14ac:dyDescent="0.3">
      <c r="AA7616" s="37">
        <v>7596</v>
      </c>
      <c r="AB7616" s="37">
        <v>1.7579269113440823</v>
      </c>
      <c r="AC7616" s="37">
        <v>2.8489264473732376</v>
      </c>
      <c r="AD7616" s="37">
        <v>3.5112216353998322</v>
      </c>
    </row>
    <row r="7617" spans="27:30" x14ac:dyDescent="0.3">
      <c r="AA7617" s="37">
        <v>7597</v>
      </c>
      <c r="AB7617" s="37">
        <v>1.8318562052022485</v>
      </c>
      <c r="AC7617" s="37">
        <v>2.8255600563318319</v>
      </c>
      <c r="AD7617" s="37">
        <v>3.4943664877790437</v>
      </c>
    </row>
    <row r="7618" spans="27:30" x14ac:dyDescent="0.3">
      <c r="AA7618" s="37">
        <v>7598</v>
      </c>
      <c r="AB7618" s="37">
        <v>1.7411881420299298</v>
      </c>
      <c r="AC7618" s="37">
        <v>2.7412454762910237</v>
      </c>
      <c r="AD7618" s="37">
        <v>3.2264717442239106</v>
      </c>
    </row>
    <row r="7619" spans="27:30" x14ac:dyDescent="0.3">
      <c r="AA7619" s="37">
        <v>7599</v>
      </c>
      <c r="AB7619" s="37">
        <v>1.8559889791718667</v>
      </c>
      <c r="AC7619" s="37">
        <v>2.7967722422106895</v>
      </c>
      <c r="AD7619" s="37">
        <v>3.3489252975092816</v>
      </c>
    </row>
    <row r="7620" spans="27:30" x14ac:dyDescent="0.3">
      <c r="AA7620" s="37">
        <v>7600</v>
      </c>
      <c r="AB7620" s="37">
        <v>1.7319674454272389</v>
      </c>
      <c r="AC7620" s="37">
        <v>2.7708100327183347</v>
      </c>
      <c r="AD7620" s="37">
        <v>3.6104101565054787</v>
      </c>
    </row>
    <row r="7621" spans="27:30" x14ac:dyDescent="0.3">
      <c r="AA7621" s="37">
        <v>7601</v>
      </c>
      <c r="AB7621" s="37">
        <v>1.9628038533650358</v>
      </c>
      <c r="AC7621" s="37">
        <v>2.7698397569845152</v>
      </c>
      <c r="AD7621" s="37">
        <v>3.4977226642443999</v>
      </c>
    </row>
    <row r="7622" spans="27:30" x14ac:dyDescent="0.3">
      <c r="AA7622" s="37">
        <v>7602</v>
      </c>
      <c r="AB7622" s="37">
        <v>1.7847025625183381</v>
      </c>
      <c r="AC7622" s="37">
        <v>2.8445428669163841</v>
      </c>
      <c r="AD7622" s="37">
        <v>3.3130631568861291</v>
      </c>
    </row>
    <row r="7623" spans="27:30" x14ac:dyDescent="0.3">
      <c r="AA7623" s="37">
        <v>7603</v>
      </c>
      <c r="AB7623" s="37">
        <v>1.7021660967004302</v>
      </c>
      <c r="AC7623" s="37">
        <v>2.8831627066612162</v>
      </c>
      <c r="AD7623" s="37">
        <v>3.2123351994886331</v>
      </c>
    </row>
    <row r="7624" spans="27:30" x14ac:dyDescent="0.3">
      <c r="AA7624" s="37">
        <v>7604</v>
      </c>
      <c r="AB7624" s="37">
        <v>1.8051769826753767</v>
      </c>
      <c r="AC7624" s="37">
        <v>2.9912457932415504</v>
      </c>
      <c r="AD7624" s="37">
        <v>3.3690069680692765</v>
      </c>
    </row>
    <row r="7625" spans="27:30" x14ac:dyDescent="0.3">
      <c r="AA7625" s="37">
        <v>7605</v>
      </c>
      <c r="AB7625" s="37">
        <v>1.8576582397612267</v>
      </c>
      <c r="AC7625" s="37">
        <v>2.9593825998696586</v>
      </c>
      <c r="AD7625" s="37">
        <v>3.3902130949854281</v>
      </c>
    </row>
    <row r="7626" spans="27:30" x14ac:dyDescent="0.3">
      <c r="AA7626" s="37">
        <v>7606</v>
      </c>
      <c r="AB7626" s="37">
        <v>1.757375094332176</v>
      </c>
      <c r="AC7626" s="37">
        <v>2.9771877888070435</v>
      </c>
      <c r="AD7626" s="37">
        <v>3.2529172552116479</v>
      </c>
    </row>
    <row r="7627" spans="27:30" x14ac:dyDescent="0.3">
      <c r="AA7627" s="37">
        <v>7607</v>
      </c>
      <c r="AB7627" s="37">
        <v>1.8707685400243765</v>
      </c>
      <c r="AC7627" s="37">
        <v>2.8355648082337606</v>
      </c>
      <c r="AD7627" s="37">
        <v>3.3206255415461801</v>
      </c>
    </row>
    <row r="7628" spans="27:30" x14ac:dyDescent="0.3">
      <c r="AA7628" s="37">
        <v>7608</v>
      </c>
      <c r="AB7628" s="37">
        <v>1.7611575539295952</v>
      </c>
      <c r="AC7628" s="37">
        <v>2.7971569926013919</v>
      </c>
      <c r="AD7628" s="37">
        <v>3.1459374511254357</v>
      </c>
    </row>
    <row r="7629" spans="27:30" x14ac:dyDescent="0.3">
      <c r="AA7629" s="37">
        <v>7609</v>
      </c>
      <c r="AB7629" s="37">
        <v>1.7820193440004426</v>
      </c>
      <c r="AC7629" s="37">
        <v>2.899664636524002</v>
      </c>
      <c r="AD7629" s="37">
        <v>3.3588754033915666</v>
      </c>
    </row>
    <row r="7630" spans="27:30" x14ac:dyDescent="0.3">
      <c r="AA7630" s="37">
        <v>7610</v>
      </c>
      <c r="AB7630" s="37">
        <v>1.8086091449909327</v>
      </c>
      <c r="AC7630" s="37">
        <v>2.7535423744060803</v>
      </c>
      <c r="AD7630" s="37">
        <v>3.147152741860586</v>
      </c>
    </row>
    <row r="7631" spans="27:30" x14ac:dyDescent="0.3">
      <c r="AA7631" s="37">
        <v>7611</v>
      </c>
      <c r="AB7631" s="37">
        <v>1.6953163644998315</v>
      </c>
      <c r="AC7631" s="37">
        <v>2.9674539282968477</v>
      </c>
      <c r="AD7631" s="37">
        <v>3.2694239830250713</v>
      </c>
    </row>
    <row r="7632" spans="27:30" x14ac:dyDescent="0.3">
      <c r="AA7632" s="37">
        <v>7612</v>
      </c>
      <c r="AB7632" s="37">
        <v>1.8674708513684104</v>
      </c>
      <c r="AC7632" s="37">
        <v>2.9570859939771337</v>
      </c>
      <c r="AD7632" s="37">
        <v>3.4310174599738481</v>
      </c>
    </row>
    <row r="7633" spans="27:30" x14ac:dyDescent="0.3">
      <c r="AA7633" s="37">
        <v>7613</v>
      </c>
      <c r="AB7633" s="37">
        <v>1.8634071360989199</v>
      </c>
      <c r="AC7633" s="37">
        <v>2.8527116611208325</v>
      </c>
      <c r="AD7633" s="37">
        <v>3.5002377980500996</v>
      </c>
    </row>
    <row r="7634" spans="27:30" x14ac:dyDescent="0.3">
      <c r="AA7634" s="37">
        <v>7614</v>
      </c>
      <c r="AB7634" s="37">
        <v>1.7575012185894929</v>
      </c>
      <c r="AC7634" s="37">
        <v>2.9505021659554895</v>
      </c>
      <c r="AD7634" s="37">
        <v>3.4375467910221498</v>
      </c>
    </row>
    <row r="7635" spans="27:30" x14ac:dyDescent="0.3">
      <c r="AA7635" s="37">
        <v>7615</v>
      </c>
      <c r="AB7635" s="37">
        <v>1.8862210164377942</v>
      </c>
      <c r="AC7635" s="37">
        <v>2.8527160245109959</v>
      </c>
      <c r="AD7635" s="37">
        <v>3.3569392874740607</v>
      </c>
    </row>
    <row r="7636" spans="27:30" x14ac:dyDescent="0.3">
      <c r="AA7636" s="37">
        <v>7616</v>
      </c>
      <c r="AB7636" s="37">
        <v>1.7661010507172601</v>
      </c>
      <c r="AC7636" s="37">
        <v>2.8809289238226778</v>
      </c>
      <c r="AD7636" s="37">
        <v>3.0809957456533259</v>
      </c>
    </row>
    <row r="7637" spans="27:30" x14ac:dyDescent="0.3">
      <c r="AA7637" s="37">
        <v>7617</v>
      </c>
      <c r="AB7637" s="37">
        <v>1.7076055664510144</v>
      </c>
      <c r="AC7637" s="37">
        <v>2.8894932802824975</v>
      </c>
      <c r="AD7637" s="37">
        <v>3.3523882302449288</v>
      </c>
    </row>
    <row r="7638" spans="27:30" x14ac:dyDescent="0.3">
      <c r="AA7638" s="37">
        <v>7618</v>
      </c>
      <c r="AB7638" s="37">
        <v>1.7395219068778849</v>
      </c>
      <c r="AC7638" s="37">
        <v>2.8880995024144736</v>
      </c>
      <c r="AD7638" s="37">
        <v>3.4286816107136024</v>
      </c>
    </row>
    <row r="7639" spans="27:30" x14ac:dyDescent="0.3">
      <c r="AA7639" s="37">
        <v>7619</v>
      </c>
      <c r="AB7639" s="37">
        <v>1.7395080793632116</v>
      </c>
      <c r="AC7639" s="37">
        <v>2.7421948863149286</v>
      </c>
      <c r="AD7639" s="37">
        <v>3.3990221803406433</v>
      </c>
    </row>
    <row r="7640" spans="27:30" x14ac:dyDescent="0.3">
      <c r="AA7640" s="37">
        <v>7620</v>
      </c>
      <c r="AB7640" s="37">
        <v>1.7112709073912769</v>
      </c>
      <c r="AC7640" s="37">
        <v>2.8175056300895567</v>
      </c>
      <c r="AD7640" s="37">
        <v>3.6114192815347548</v>
      </c>
    </row>
    <row r="7641" spans="27:30" x14ac:dyDescent="0.3">
      <c r="AA7641" s="37">
        <v>7621</v>
      </c>
      <c r="AB7641" s="37">
        <v>1.8229787958461967</v>
      </c>
      <c r="AC7641" s="37">
        <v>2.9234733552332846</v>
      </c>
      <c r="AD7641" s="37">
        <v>3.2063197722511947</v>
      </c>
    </row>
    <row r="7642" spans="27:30" x14ac:dyDescent="0.3">
      <c r="AA7642" s="37">
        <v>7622</v>
      </c>
      <c r="AB7642" s="37">
        <v>1.6907408010555405</v>
      </c>
      <c r="AC7642" s="37">
        <v>2.8753691807197916</v>
      </c>
      <c r="AD7642" s="37">
        <v>3.5862189026467011</v>
      </c>
    </row>
    <row r="7643" spans="27:30" x14ac:dyDescent="0.3">
      <c r="AA7643" s="37">
        <v>7623</v>
      </c>
      <c r="AB7643" s="37">
        <v>1.6869710599380829</v>
      </c>
      <c r="AC7643" s="37">
        <v>2.65523102233773</v>
      </c>
      <c r="AD7643" s="37">
        <v>3.2305269041564264</v>
      </c>
    </row>
    <row r="7644" spans="27:30" x14ac:dyDescent="0.3">
      <c r="AA7644" s="37">
        <v>7624</v>
      </c>
      <c r="AB7644" s="37">
        <v>1.7289770273186331</v>
      </c>
      <c r="AC7644" s="37">
        <v>2.8249288157896424</v>
      </c>
      <c r="AD7644" s="37">
        <v>3.3747713178830305</v>
      </c>
    </row>
    <row r="7645" spans="27:30" x14ac:dyDescent="0.3">
      <c r="AA7645" s="37">
        <v>7625</v>
      </c>
      <c r="AB7645" s="37">
        <v>1.7581362201051676</v>
      </c>
      <c r="AC7645" s="37">
        <v>2.7791985447389012</v>
      </c>
      <c r="AD7645" s="37">
        <v>3.2437057988211184</v>
      </c>
    </row>
    <row r="7646" spans="27:30" x14ac:dyDescent="0.3">
      <c r="AA7646" s="37">
        <v>7626</v>
      </c>
      <c r="AB7646" s="37">
        <v>1.6924186446711984</v>
      </c>
      <c r="AC7646" s="37">
        <v>2.8337075749189999</v>
      </c>
      <c r="AD7646" s="37">
        <v>3.3086366956192652</v>
      </c>
    </row>
    <row r="7647" spans="27:30" x14ac:dyDescent="0.3">
      <c r="AA7647" s="37">
        <v>7627</v>
      </c>
      <c r="AB7647" s="37">
        <v>1.7146513784650557</v>
      </c>
      <c r="AC7647" s="37">
        <v>2.937682376525832</v>
      </c>
      <c r="AD7647" s="37">
        <v>3.3679612557062883</v>
      </c>
    </row>
    <row r="7648" spans="27:30" x14ac:dyDescent="0.3">
      <c r="AA7648" s="37">
        <v>7628</v>
      </c>
      <c r="AB7648" s="37">
        <v>1.7742943538196847</v>
      </c>
      <c r="AC7648" s="37">
        <v>2.8878100867266152</v>
      </c>
      <c r="AD7648" s="37">
        <v>3.2340911663238683</v>
      </c>
    </row>
    <row r="7649" spans="27:30" x14ac:dyDescent="0.3">
      <c r="AA7649" s="37">
        <v>7629</v>
      </c>
      <c r="AB7649" s="37">
        <v>1.7954785733508056</v>
      </c>
      <c r="AC7649" s="37">
        <v>2.9939565754506989</v>
      </c>
      <c r="AD7649" s="37">
        <v>3.4092183021011331</v>
      </c>
    </row>
    <row r="7650" spans="27:30" x14ac:dyDescent="0.3">
      <c r="AA7650" s="37">
        <v>7630</v>
      </c>
      <c r="AB7650" s="37">
        <v>1.7828551497921683</v>
      </c>
      <c r="AC7650" s="37">
        <v>2.7480329676207944</v>
      </c>
      <c r="AD7650" s="37">
        <v>3.1655242892732223</v>
      </c>
    </row>
    <row r="7651" spans="27:30" x14ac:dyDescent="0.3">
      <c r="AA7651" s="37">
        <v>7631</v>
      </c>
      <c r="AB7651" s="37">
        <v>1.8456100387983838</v>
      </c>
      <c r="AC7651" s="37">
        <v>2.9967473946980445</v>
      </c>
      <c r="AD7651" s="37">
        <v>3.1156288057542643</v>
      </c>
    </row>
    <row r="7652" spans="27:30" x14ac:dyDescent="0.3">
      <c r="AA7652" s="37">
        <v>7632</v>
      </c>
      <c r="AB7652" s="37">
        <v>1.8700656401242759</v>
      </c>
      <c r="AC7652" s="37">
        <v>2.658621589008062</v>
      </c>
      <c r="AD7652" s="37">
        <v>3.3820255470661098</v>
      </c>
    </row>
    <row r="7653" spans="27:30" x14ac:dyDescent="0.3">
      <c r="AA7653" s="37">
        <v>7633</v>
      </c>
      <c r="AB7653" s="37">
        <v>1.7470085749366078</v>
      </c>
      <c r="AC7653" s="37">
        <v>3.0374761466045506</v>
      </c>
      <c r="AD7653" s="37">
        <v>3.5629011445261916</v>
      </c>
    </row>
    <row r="7654" spans="27:30" x14ac:dyDescent="0.3">
      <c r="AA7654" s="37">
        <v>7634</v>
      </c>
      <c r="AB7654" s="37">
        <v>1.6842577203384372</v>
      </c>
      <c r="AC7654" s="37">
        <v>2.818262591039927</v>
      </c>
      <c r="AD7654" s="37">
        <v>3.3490082556657641</v>
      </c>
    </row>
    <row r="7655" spans="27:30" x14ac:dyDescent="0.3">
      <c r="AA7655" s="37">
        <v>7635</v>
      </c>
      <c r="AB7655" s="37">
        <v>1.840609154242707</v>
      </c>
      <c r="AC7655" s="37">
        <v>2.9649319095432003</v>
      </c>
      <c r="AD7655" s="37">
        <v>3.2031157312718443</v>
      </c>
    </row>
    <row r="7656" spans="27:30" x14ac:dyDescent="0.3">
      <c r="AA7656" s="37">
        <v>7636</v>
      </c>
      <c r="AB7656" s="37">
        <v>1.8140384551666127</v>
      </c>
      <c r="AC7656" s="37">
        <v>3.0089330542488422</v>
      </c>
      <c r="AD7656" s="37">
        <v>3.3041476321248746</v>
      </c>
    </row>
    <row r="7657" spans="27:30" x14ac:dyDescent="0.3">
      <c r="AA7657" s="37">
        <v>7637</v>
      </c>
      <c r="AB7657" s="37">
        <v>1.8973403362549475</v>
      </c>
      <c r="AC7657" s="37">
        <v>2.7968930563435017</v>
      </c>
      <c r="AD7657" s="37">
        <v>3.4040986021336961</v>
      </c>
    </row>
    <row r="7658" spans="27:30" x14ac:dyDescent="0.3">
      <c r="AA7658" s="37">
        <v>7638</v>
      </c>
      <c r="AB7658" s="37">
        <v>1.8127565601301285</v>
      </c>
      <c r="AC7658" s="37">
        <v>2.7466043598547114</v>
      </c>
      <c r="AD7658" s="37">
        <v>3.4644041199019848</v>
      </c>
    </row>
    <row r="7659" spans="27:30" x14ac:dyDescent="0.3">
      <c r="AA7659" s="37">
        <v>7639</v>
      </c>
      <c r="AB7659" s="37">
        <v>1.8302962467082724</v>
      </c>
      <c r="AC7659" s="37">
        <v>2.9967680116854365</v>
      </c>
      <c r="AD7659" s="37">
        <v>3.3358115027036188</v>
      </c>
    </row>
    <row r="7660" spans="27:30" x14ac:dyDescent="0.3">
      <c r="AA7660" s="37">
        <v>7640</v>
      </c>
      <c r="AB7660" s="37">
        <v>1.767599593579851</v>
      </c>
      <c r="AC7660" s="37">
        <v>2.8723078577639782</v>
      </c>
      <c r="AD7660" s="37">
        <v>3.4627120171840335</v>
      </c>
    </row>
    <row r="7661" spans="27:30" x14ac:dyDescent="0.3">
      <c r="AA7661" s="37">
        <v>7641</v>
      </c>
      <c r="AB7661" s="37">
        <v>1.759823893666457</v>
      </c>
      <c r="AC7661" s="37">
        <v>2.9031632063027204</v>
      </c>
      <c r="AD7661" s="37">
        <v>3.3613757155869854</v>
      </c>
    </row>
    <row r="7662" spans="27:30" x14ac:dyDescent="0.3">
      <c r="AA7662" s="37">
        <v>7642</v>
      </c>
      <c r="AB7662" s="37">
        <v>1.7161785142037584</v>
      </c>
      <c r="AC7662" s="37">
        <v>2.7457622070525232</v>
      </c>
      <c r="AD7662" s="37">
        <v>3.2966119350569802</v>
      </c>
    </row>
    <row r="7663" spans="27:30" x14ac:dyDescent="0.3">
      <c r="AA7663" s="37">
        <v>7643</v>
      </c>
      <c r="AB7663" s="37">
        <v>1.862416938810564</v>
      </c>
      <c r="AC7663" s="37">
        <v>2.7711317850989077</v>
      </c>
      <c r="AD7663" s="37">
        <v>3.1568342280410771</v>
      </c>
    </row>
    <row r="7664" spans="27:30" x14ac:dyDescent="0.3">
      <c r="AA7664" s="37">
        <v>7644</v>
      </c>
      <c r="AB7664" s="37">
        <v>1.7755751352216049</v>
      </c>
      <c r="AC7664" s="37">
        <v>2.6186426457283978</v>
      </c>
      <c r="AD7664" s="37">
        <v>3.2883007184978892</v>
      </c>
    </row>
    <row r="7665" spans="27:30" x14ac:dyDescent="0.3">
      <c r="AA7665" s="37">
        <v>7645</v>
      </c>
      <c r="AB7665" s="37">
        <v>1.7932704057077686</v>
      </c>
      <c r="AC7665" s="37">
        <v>2.8513100826481601</v>
      </c>
      <c r="AD7665" s="37">
        <v>3.1694553311481024</v>
      </c>
    </row>
    <row r="7666" spans="27:30" x14ac:dyDescent="0.3">
      <c r="AA7666" s="37">
        <v>7646</v>
      </c>
      <c r="AB7666" s="37">
        <v>2.0211475114322845</v>
      </c>
      <c r="AC7666" s="37">
        <v>2.7720199893064934</v>
      </c>
      <c r="AD7666" s="37">
        <v>3.2184520445115852</v>
      </c>
    </row>
    <row r="7667" spans="27:30" x14ac:dyDescent="0.3">
      <c r="AA7667" s="37">
        <v>7647</v>
      </c>
      <c r="AB7667" s="37">
        <v>1.8358119679469891</v>
      </c>
      <c r="AC7667" s="37">
        <v>2.8036782892949841</v>
      </c>
      <c r="AD7667" s="37">
        <v>3.3133357835991886</v>
      </c>
    </row>
    <row r="7668" spans="27:30" x14ac:dyDescent="0.3">
      <c r="AA7668" s="37">
        <v>7648</v>
      </c>
      <c r="AB7668" s="37">
        <v>1.7362445537636737</v>
      </c>
      <c r="AC7668" s="37">
        <v>2.8264290092392015</v>
      </c>
      <c r="AD7668" s="37">
        <v>3.3227728984231755</v>
      </c>
    </row>
    <row r="7669" spans="27:30" x14ac:dyDescent="0.3">
      <c r="AA7669" s="37">
        <v>7649</v>
      </c>
      <c r="AB7669" s="37">
        <v>1.7822014453844914</v>
      </c>
      <c r="AC7669" s="37">
        <v>2.8273488726651395</v>
      </c>
      <c r="AD7669" s="37">
        <v>3.283293722667683</v>
      </c>
    </row>
    <row r="7670" spans="27:30" x14ac:dyDescent="0.3">
      <c r="AA7670" s="37">
        <v>7650</v>
      </c>
      <c r="AB7670" s="37">
        <v>1.862291091771592</v>
      </c>
      <c r="AC7670" s="37">
        <v>2.6398688070541505</v>
      </c>
      <c r="AD7670" s="37">
        <v>3.3359465805496793</v>
      </c>
    </row>
    <row r="7671" spans="27:30" x14ac:dyDescent="0.3">
      <c r="AA7671" s="37">
        <v>7651</v>
      </c>
      <c r="AB7671" s="37">
        <v>1.8125982981591378</v>
      </c>
      <c r="AC7671" s="37">
        <v>2.6626686914640754</v>
      </c>
      <c r="AD7671" s="37">
        <v>3.257724238683922</v>
      </c>
    </row>
    <row r="7672" spans="27:30" x14ac:dyDescent="0.3">
      <c r="AA7672" s="37">
        <v>7652</v>
      </c>
      <c r="AB7672" s="37">
        <v>1.7422727014559833</v>
      </c>
      <c r="AC7672" s="37">
        <v>2.9879181319973869</v>
      </c>
      <c r="AD7672" s="37">
        <v>3.4575260553272797</v>
      </c>
    </row>
    <row r="7673" spans="27:30" x14ac:dyDescent="0.3">
      <c r="AA7673" s="37">
        <v>7653</v>
      </c>
      <c r="AB7673" s="37">
        <v>1.8421027297895871</v>
      </c>
      <c r="AC7673" s="37">
        <v>2.9931325036670744</v>
      </c>
      <c r="AD7673" s="37">
        <v>3.3819832526092957</v>
      </c>
    </row>
    <row r="7674" spans="27:30" x14ac:dyDescent="0.3">
      <c r="AA7674" s="37">
        <v>7654</v>
      </c>
      <c r="AB7674" s="37">
        <v>1.851540414999854</v>
      </c>
      <c r="AC7674" s="37">
        <v>2.815084829718455</v>
      </c>
      <c r="AD7674" s="37">
        <v>3.2271715787161384</v>
      </c>
    </row>
    <row r="7675" spans="27:30" x14ac:dyDescent="0.3">
      <c r="AA7675" s="37">
        <v>7655</v>
      </c>
      <c r="AB7675" s="37">
        <v>1.7395256690240246</v>
      </c>
      <c r="AC7675" s="37">
        <v>2.9856095614153344</v>
      </c>
      <c r="AD7675" s="37">
        <v>3.3139792383711577</v>
      </c>
    </row>
    <row r="7676" spans="27:30" x14ac:dyDescent="0.3">
      <c r="AA7676" s="37">
        <v>7656</v>
      </c>
      <c r="AB7676" s="37">
        <v>1.835058756330668</v>
      </c>
      <c r="AC7676" s="37">
        <v>2.788265932816655</v>
      </c>
      <c r="AD7676" s="37">
        <v>3.2904970841108985</v>
      </c>
    </row>
    <row r="7677" spans="27:30" x14ac:dyDescent="0.3">
      <c r="AA7677" s="37">
        <v>7657</v>
      </c>
      <c r="AB7677" s="37">
        <v>1.7329374153626822</v>
      </c>
      <c r="AC7677" s="37">
        <v>2.810286956570323</v>
      </c>
      <c r="AD7677" s="37">
        <v>3.4334857620243109</v>
      </c>
    </row>
    <row r="7678" spans="27:30" x14ac:dyDescent="0.3">
      <c r="AA7678" s="37">
        <v>7658</v>
      </c>
      <c r="AB7678" s="37">
        <v>1.7520410526169696</v>
      </c>
      <c r="AC7678" s="37">
        <v>2.9674783858472131</v>
      </c>
      <c r="AD7678" s="37">
        <v>3.3017289346134917</v>
      </c>
    </row>
    <row r="7679" spans="27:30" x14ac:dyDescent="0.3">
      <c r="AA7679" s="37">
        <v>7659</v>
      </c>
      <c r="AB7679" s="37">
        <v>1.8406555880224007</v>
      </c>
      <c r="AC7679" s="37">
        <v>3.0259842819821459</v>
      </c>
      <c r="AD7679" s="37">
        <v>3.3132593595754893</v>
      </c>
    </row>
    <row r="7680" spans="27:30" x14ac:dyDescent="0.3">
      <c r="AA7680" s="37">
        <v>7660</v>
      </c>
      <c r="AB7680" s="37">
        <v>1.7620792316402607</v>
      </c>
      <c r="AC7680" s="37">
        <v>2.9263292943550709</v>
      </c>
      <c r="AD7680" s="37">
        <v>3.2993834036535232</v>
      </c>
    </row>
    <row r="7681" spans="27:30" x14ac:dyDescent="0.3">
      <c r="AA7681" s="37">
        <v>7661</v>
      </c>
      <c r="AB7681" s="37">
        <v>1.8601194024543271</v>
      </c>
      <c r="AC7681" s="37">
        <v>2.9581127510504057</v>
      </c>
      <c r="AD7681" s="37">
        <v>3.1718217250933254</v>
      </c>
    </row>
    <row r="7682" spans="27:30" x14ac:dyDescent="0.3">
      <c r="AA7682" s="37">
        <v>7662</v>
      </c>
      <c r="AB7682" s="37">
        <v>1.8955950254875509</v>
      </c>
      <c r="AC7682" s="37">
        <v>2.8211400289987463</v>
      </c>
      <c r="AD7682" s="37">
        <v>3.4424338245812307</v>
      </c>
    </row>
    <row r="7683" spans="27:30" x14ac:dyDescent="0.3">
      <c r="AA7683" s="37">
        <v>7663</v>
      </c>
      <c r="AB7683" s="37">
        <v>1.8396565519488983</v>
      </c>
      <c r="AC7683" s="37">
        <v>2.7844804568519996</v>
      </c>
      <c r="AD7683" s="37">
        <v>3.2068309178798344</v>
      </c>
    </row>
    <row r="7684" spans="27:30" x14ac:dyDescent="0.3">
      <c r="AA7684" s="37">
        <v>7664</v>
      </c>
      <c r="AB7684" s="37">
        <v>1.7391957117793586</v>
      </c>
      <c r="AC7684" s="37">
        <v>2.8109038534640272</v>
      </c>
      <c r="AD7684" s="37">
        <v>3.5153022197209274</v>
      </c>
    </row>
    <row r="7685" spans="27:30" x14ac:dyDescent="0.3">
      <c r="AA7685" s="37">
        <v>7665</v>
      </c>
      <c r="AB7685" s="37">
        <v>1.7882239106294788</v>
      </c>
      <c r="AC7685" s="37">
        <v>2.8477342548538012</v>
      </c>
      <c r="AD7685" s="37">
        <v>3.2425479866752802</v>
      </c>
    </row>
    <row r="7686" spans="27:30" x14ac:dyDescent="0.3">
      <c r="AA7686" s="37">
        <v>7666</v>
      </c>
      <c r="AB7686" s="37">
        <v>1.8201125383753698</v>
      </c>
      <c r="AC7686" s="37">
        <v>2.7727404640661542</v>
      </c>
      <c r="AD7686" s="37">
        <v>3.4106028609115988</v>
      </c>
    </row>
    <row r="7687" spans="27:30" x14ac:dyDescent="0.3">
      <c r="AA7687" s="37">
        <v>7667</v>
      </c>
      <c r="AB7687" s="37">
        <v>1.7127134339648156</v>
      </c>
      <c r="AC7687" s="37">
        <v>3.0373163694500875</v>
      </c>
      <c r="AD7687" s="37">
        <v>3.3621282713496212</v>
      </c>
    </row>
    <row r="7688" spans="27:30" x14ac:dyDescent="0.3">
      <c r="AA7688" s="37">
        <v>7668</v>
      </c>
      <c r="AB7688" s="37">
        <v>1.8753961972669688</v>
      </c>
      <c r="AC7688" s="37">
        <v>2.8562467851974001</v>
      </c>
      <c r="AD7688" s="37">
        <v>3.4271387333898091</v>
      </c>
    </row>
    <row r="7689" spans="27:30" x14ac:dyDescent="0.3">
      <c r="AA7689" s="37">
        <v>7669</v>
      </c>
      <c r="AB7689" s="37">
        <v>1.8207000837417695</v>
      </c>
      <c r="AC7689" s="37">
        <v>2.9254620317649884</v>
      </c>
      <c r="AD7689" s="37">
        <v>3.4289672073979243</v>
      </c>
    </row>
    <row r="7690" spans="27:30" x14ac:dyDescent="0.3">
      <c r="AA7690" s="37">
        <v>7670</v>
      </c>
      <c r="AB7690" s="37">
        <v>1.7062502015140555</v>
      </c>
      <c r="AC7690" s="37">
        <v>2.803083175164006</v>
      </c>
      <c r="AD7690" s="37">
        <v>3.469076442156128</v>
      </c>
    </row>
    <row r="7691" spans="27:30" x14ac:dyDescent="0.3">
      <c r="AA7691" s="37">
        <v>7671</v>
      </c>
      <c r="AB7691" s="37">
        <v>1.7996798204391367</v>
      </c>
      <c r="AC7691" s="37">
        <v>2.7939282645710697</v>
      </c>
      <c r="AD7691" s="37">
        <v>3.2263629937304903</v>
      </c>
    </row>
    <row r="7692" spans="27:30" x14ac:dyDescent="0.3">
      <c r="AA7692" s="37">
        <v>7672</v>
      </c>
      <c r="AB7692" s="37">
        <v>1.7331932614611794</v>
      </c>
      <c r="AC7692" s="37">
        <v>2.8721780090453874</v>
      </c>
      <c r="AD7692" s="37">
        <v>3.3683639869571178</v>
      </c>
    </row>
    <row r="7693" spans="27:30" x14ac:dyDescent="0.3">
      <c r="AA7693" s="37">
        <v>7673</v>
      </c>
      <c r="AB7693" s="37">
        <v>1.8320767082535112</v>
      </c>
      <c r="AC7693" s="37">
        <v>2.7172461351046451</v>
      </c>
      <c r="AD7693" s="37">
        <v>3.2481771062741043</v>
      </c>
    </row>
    <row r="7694" spans="27:30" x14ac:dyDescent="0.3">
      <c r="AA7694" s="37">
        <v>7674</v>
      </c>
      <c r="AB7694" s="37">
        <v>1.6935685265854188</v>
      </c>
      <c r="AC7694" s="37">
        <v>2.7812116919175849</v>
      </c>
      <c r="AD7694" s="37">
        <v>3.1700650546124476</v>
      </c>
    </row>
    <row r="7695" spans="27:30" x14ac:dyDescent="0.3">
      <c r="AA7695" s="37">
        <v>7675</v>
      </c>
      <c r="AB7695" s="37">
        <v>1.7523982553704456</v>
      </c>
      <c r="AC7695" s="37">
        <v>2.8346626541036901</v>
      </c>
      <c r="AD7695" s="37">
        <v>3.282749174608377</v>
      </c>
    </row>
    <row r="7696" spans="27:30" x14ac:dyDescent="0.3">
      <c r="AA7696" s="37">
        <v>7676</v>
      </c>
      <c r="AB7696" s="37">
        <v>1.752014844380869</v>
      </c>
      <c r="AC7696" s="37">
        <v>2.9824190599108444</v>
      </c>
      <c r="AD7696" s="37">
        <v>3.3045108890308845</v>
      </c>
    </row>
    <row r="7697" spans="27:30" x14ac:dyDescent="0.3">
      <c r="AA7697" s="37">
        <v>7677</v>
      </c>
      <c r="AB7697" s="37">
        <v>1.7655792941575661</v>
      </c>
      <c r="AC7697" s="37">
        <v>2.7809714369633185</v>
      </c>
      <c r="AD7697" s="37">
        <v>3.6705026857753249</v>
      </c>
    </row>
    <row r="7698" spans="27:30" x14ac:dyDescent="0.3">
      <c r="AA7698" s="37">
        <v>7678</v>
      </c>
      <c r="AB7698" s="37">
        <v>1.8613180206398829</v>
      </c>
      <c r="AC7698" s="37">
        <v>3.0003586776189919</v>
      </c>
      <c r="AD7698" s="37">
        <v>3.2257963466428881</v>
      </c>
    </row>
    <row r="7699" spans="27:30" x14ac:dyDescent="0.3">
      <c r="AA7699" s="37">
        <v>7679</v>
      </c>
      <c r="AB7699" s="37">
        <v>1.6610041893903036</v>
      </c>
      <c r="AC7699" s="37">
        <v>3.0285751428032346</v>
      </c>
      <c r="AD7699" s="37">
        <v>3.3326875972181207</v>
      </c>
    </row>
    <row r="7700" spans="27:30" x14ac:dyDescent="0.3">
      <c r="AA7700" s="37">
        <v>7680</v>
      </c>
      <c r="AB7700" s="37">
        <v>1.8250946719228771</v>
      </c>
      <c r="AC7700" s="37">
        <v>2.98185216764867</v>
      </c>
      <c r="AD7700" s="37">
        <v>3.5356409148064927</v>
      </c>
    </row>
    <row r="7701" spans="27:30" x14ac:dyDescent="0.3">
      <c r="AA7701" s="37">
        <v>7681</v>
      </c>
      <c r="AB7701" s="37">
        <v>1.801331481333174</v>
      </c>
      <c r="AC7701" s="37">
        <v>2.6678893888265325</v>
      </c>
      <c r="AD7701" s="37">
        <v>3.424870151139114</v>
      </c>
    </row>
    <row r="7702" spans="27:30" x14ac:dyDescent="0.3">
      <c r="AA7702" s="37">
        <v>7682</v>
      </c>
      <c r="AB7702" s="37">
        <v>1.8269261627258981</v>
      </c>
      <c r="AC7702" s="37">
        <v>3.0175198937061705</v>
      </c>
      <c r="AD7702" s="37">
        <v>3.3353947546616043</v>
      </c>
    </row>
    <row r="7703" spans="27:30" x14ac:dyDescent="0.3">
      <c r="AA7703" s="37">
        <v>7683</v>
      </c>
      <c r="AB7703" s="37">
        <v>1.7881466079592503</v>
      </c>
      <c r="AC7703" s="37">
        <v>2.7853666805460198</v>
      </c>
      <c r="AD7703" s="37">
        <v>3.2967119704462489</v>
      </c>
    </row>
    <row r="7704" spans="27:30" x14ac:dyDescent="0.3">
      <c r="AA7704" s="37">
        <v>7684</v>
      </c>
      <c r="AB7704" s="37">
        <v>1.8146673667732625</v>
      </c>
      <c r="AC7704" s="37">
        <v>2.8871990404583014</v>
      </c>
      <c r="AD7704" s="37">
        <v>3.3280275012198883</v>
      </c>
    </row>
    <row r="7705" spans="27:30" x14ac:dyDescent="0.3">
      <c r="AA7705" s="37">
        <v>7685</v>
      </c>
      <c r="AB7705" s="37">
        <v>1.8811607525836429</v>
      </c>
      <c r="AC7705" s="37">
        <v>2.7482559180564814</v>
      </c>
      <c r="AD7705" s="37">
        <v>3.2866988146826328</v>
      </c>
    </row>
    <row r="7706" spans="27:30" x14ac:dyDescent="0.3">
      <c r="AA7706" s="37">
        <v>7686</v>
      </c>
      <c r="AB7706" s="37">
        <v>1.9090046540088801</v>
      </c>
      <c r="AC7706" s="37">
        <v>2.8688018179851249</v>
      </c>
      <c r="AD7706" s="37">
        <v>3.3960849712627619</v>
      </c>
    </row>
    <row r="7707" spans="27:30" x14ac:dyDescent="0.3">
      <c r="AA7707" s="37">
        <v>7687</v>
      </c>
      <c r="AB7707" s="37">
        <v>1.7895366384940121</v>
      </c>
      <c r="AC7707" s="37">
        <v>2.9937443697280615</v>
      </c>
      <c r="AD7707" s="37">
        <v>3.2133309085468751</v>
      </c>
    </row>
    <row r="7708" spans="27:30" x14ac:dyDescent="0.3">
      <c r="AA7708" s="37">
        <v>7688</v>
      </c>
      <c r="AB7708" s="37">
        <v>1.7554207563973958</v>
      </c>
      <c r="AC7708" s="37">
        <v>2.6602193240518237</v>
      </c>
      <c r="AD7708" s="37">
        <v>3.1532073997941832</v>
      </c>
    </row>
    <row r="7709" spans="27:30" x14ac:dyDescent="0.3">
      <c r="AA7709" s="37">
        <v>7689</v>
      </c>
      <c r="AB7709" s="37">
        <v>1.8760562338121651</v>
      </c>
      <c r="AC7709" s="37">
        <v>2.9509118381161601</v>
      </c>
      <c r="AD7709" s="37">
        <v>3.3982627802483414</v>
      </c>
    </row>
    <row r="7710" spans="27:30" x14ac:dyDescent="0.3">
      <c r="AA7710" s="37">
        <v>7690</v>
      </c>
      <c r="AB7710" s="37">
        <v>1.7662506224450942</v>
      </c>
      <c r="AC7710" s="37">
        <v>2.8266865414158429</v>
      </c>
      <c r="AD7710" s="37">
        <v>3.2946755279030473</v>
      </c>
    </row>
    <row r="7711" spans="27:30" x14ac:dyDescent="0.3">
      <c r="AA7711" s="37">
        <v>7691</v>
      </c>
      <c r="AB7711" s="37">
        <v>1.6368755502936854</v>
      </c>
      <c r="AC7711" s="37">
        <v>2.6953107928600297</v>
      </c>
      <c r="AD7711" s="37">
        <v>3.4084076429585815</v>
      </c>
    </row>
    <row r="7712" spans="27:30" x14ac:dyDescent="0.3">
      <c r="AA7712" s="37">
        <v>7692</v>
      </c>
      <c r="AB7712" s="37">
        <v>1.7703818455948741</v>
      </c>
      <c r="AC7712" s="37">
        <v>2.7945140896090077</v>
      </c>
      <c r="AD7712" s="37">
        <v>3.5115575340598228</v>
      </c>
    </row>
    <row r="7713" spans="27:30" x14ac:dyDescent="0.3">
      <c r="AA7713" s="37">
        <v>7693</v>
      </c>
      <c r="AB7713" s="37">
        <v>1.9298679531463008</v>
      </c>
      <c r="AC7713" s="37">
        <v>2.8120095994867227</v>
      </c>
      <c r="AD7713" s="37">
        <v>3.3435998263280089</v>
      </c>
    </row>
    <row r="7714" spans="27:30" x14ac:dyDescent="0.3">
      <c r="AA7714" s="37">
        <v>7694</v>
      </c>
      <c r="AB7714" s="37">
        <v>1.7472768911961261</v>
      </c>
      <c r="AC7714" s="37">
        <v>2.9132117962434179</v>
      </c>
      <c r="AD7714" s="37">
        <v>3.3945141251537216</v>
      </c>
    </row>
    <row r="7715" spans="27:30" x14ac:dyDescent="0.3">
      <c r="AA7715" s="37">
        <v>7695</v>
      </c>
      <c r="AB7715" s="37">
        <v>1.7513718156660714</v>
      </c>
      <c r="AC7715" s="37">
        <v>2.7295655493509723</v>
      </c>
      <c r="AD7715" s="37">
        <v>3.2918740347696809</v>
      </c>
    </row>
    <row r="7716" spans="27:30" x14ac:dyDescent="0.3">
      <c r="AA7716" s="37">
        <v>7696</v>
      </c>
      <c r="AB7716" s="37">
        <v>1.9584634447757203</v>
      </c>
      <c r="AC7716" s="37">
        <v>2.7918571795351981</v>
      </c>
      <c r="AD7716" s="37">
        <v>3.4600536865933846</v>
      </c>
    </row>
    <row r="7717" spans="27:30" x14ac:dyDescent="0.3">
      <c r="AA7717" s="37">
        <v>7697</v>
      </c>
      <c r="AB7717" s="37">
        <v>1.7265927965421148</v>
      </c>
      <c r="AC7717" s="37">
        <v>2.7835530408907871</v>
      </c>
      <c r="AD7717" s="37">
        <v>3.327910720404601</v>
      </c>
    </row>
    <row r="7718" spans="27:30" x14ac:dyDescent="0.3">
      <c r="AA7718" s="37">
        <v>7698</v>
      </c>
      <c r="AB7718" s="37">
        <v>1.7591371467377777</v>
      </c>
      <c r="AC7718" s="37">
        <v>2.560981376128586</v>
      </c>
      <c r="AD7718" s="37">
        <v>3.3622485938347659</v>
      </c>
    </row>
    <row r="7719" spans="27:30" x14ac:dyDescent="0.3">
      <c r="AA7719" s="37">
        <v>7699</v>
      </c>
      <c r="AB7719" s="37">
        <v>1.7839649207065222</v>
      </c>
      <c r="AC7719" s="37">
        <v>2.8208005041785338</v>
      </c>
      <c r="AD7719" s="37">
        <v>3.2830594640105115</v>
      </c>
    </row>
    <row r="7720" spans="27:30" x14ac:dyDescent="0.3">
      <c r="AA7720" s="37">
        <v>7700</v>
      </c>
      <c r="AB7720" s="37">
        <v>1.7651055909498714</v>
      </c>
      <c r="AC7720" s="37">
        <v>2.8755702025819616</v>
      </c>
      <c r="AD7720" s="37">
        <v>3.5714677199336906</v>
      </c>
    </row>
    <row r="7721" spans="27:30" x14ac:dyDescent="0.3">
      <c r="AA7721" s="37">
        <v>7701</v>
      </c>
      <c r="AB7721" s="37">
        <v>1.7539664464112539</v>
      </c>
      <c r="AC7721" s="37">
        <v>2.918964758480783</v>
      </c>
      <c r="AD7721" s="37">
        <v>3.2097569929549548</v>
      </c>
    </row>
    <row r="7722" spans="27:30" x14ac:dyDescent="0.3">
      <c r="AA7722" s="37">
        <v>7702</v>
      </c>
      <c r="AB7722" s="37">
        <v>1.9062750336590162</v>
      </c>
      <c r="AC7722" s="37">
        <v>2.8627459509437272</v>
      </c>
      <c r="AD7722" s="37">
        <v>3.2268440063388422</v>
      </c>
    </row>
    <row r="7723" spans="27:30" x14ac:dyDescent="0.3">
      <c r="AA7723" s="37">
        <v>7703</v>
      </c>
      <c r="AB7723" s="37">
        <v>1.8605034766920783</v>
      </c>
      <c r="AC7723" s="37">
        <v>2.8920745210964807</v>
      </c>
      <c r="AD7723" s="37">
        <v>3.4411711034599715</v>
      </c>
    </row>
    <row r="7724" spans="27:30" x14ac:dyDescent="0.3">
      <c r="AA7724" s="37">
        <v>7704</v>
      </c>
      <c r="AB7724" s="37">
        <v>1.8156238680053107</v>
      </c>
      <c r="AC7724" s="37">
        <v>2.8011170015549069</v>
      </c>
      <c r="AD7724" s="37">
        <v>3.187366973479016</v>
      </c>
    </row>
    <row r="7725" spans="27:30" x14ac:dyDescent="0.3">
      <c r="AA7725" s="37">
        <v>7705</v>
      </c>
      <c r="AB7725" s="37">
        <v>1.6234923203429132</v>
      </c>
      <c r="AC7725" s="37">
        <v>3.0798516661878548</v>
      </c>
      <c r="AD7725" s="37">
        <v>3.5515827841617114</v>
      </c>
    </row>
    <row r="7726" spans="27:30" x14ac:dyDescent="0.3">
      <c r="AA7726" s="37">
        <v>7706</v>
      </c>
      <c r="AB7726" s="37">
        <v>1.7200906588088034</v>
      </c>
      <c r="AC7726" s="37">
        <v>2.9868274314244783</v>
      </c>
      <c r="AD7726" s="37">
        <v>3.4415871211227547</v>
      </c>
    </row>
    <row r="7727" spans="27:30" x14ac:dyDescent="0.3">
      <c r="AA7727" s="37">
        <v>7707</v>
      </c>
      <c r="AB7727" s="37">
        <v>1.7545697713515791</v>
      </c>
      <c r="AC7727" s="37">
        <v>2.8932860543774281</v>
      </c>
      <c r="AD7727" s="37">
        <v>3.4333129785041341</v>
      </c>
    </row>
    <row r="7728" spans="27:30" x14ac:dyDescent="0.3">
      <c r="AA7728" s="37">
        <v>7708</v>
      </c>
      <c r="AB7728" s="37">
        <v>1.7850117768132938</v>
      </c>
      <c r="AC7728" s="37">
        <v>2.8395816192159566</v>
      </c>
      <c r="AD7728" s="37">
        <v>3.4133752183255122</v>
      </c>
    </row>
    <row r="7729" spans="27:30" x14ac:dyDescent="0.3">
      <c r="AA7729" s="37">
        <v>7709</v>
      </c>
      <c r="AB7729" s="37">
        <v>1.7460562850544723</v>
      </c>
      <c r="AC7729" s="37">
        <v>2.7925608919635749</v>
      </c>
      <c r="AD7729" s="37">
        <v>3.2195005649514687</v>
      </c>
    </row>
    <row r="7730" spans="27:30" x14ac:dyDescent="0.3">
      <c r="AA7730" s="37">
        <v>7710</v>
      </c>
      <c r="AB7730" s="37">
        <v>1.7699537191818824</v>
      </c>
      <c r="AC7730" s="37">
        <v>2.9145586887802835</v>
      </c>
      <c r="AD7730" s="37">
        <v>3.4041377559370165</v>
      </c>
    </row>
    <row r="7731" spans="27:30" x14ac:dyDescent="0.3">
      <c r="AA7731" s="37">
        <v>7711</v>
      </c>
      <c r="AB7731" s="37">
        <v>1.7417582641375027</v>
      </c>
      <c r="AC7731" s="37">
        <v>2.8466077354125483</v>
      </c>
      <c r="AD7731" s="37">
        <v>3.3925963794320984</v>
      </c>
    </row>
    <row r="7732" spans="27:30" x14ac:dyDescent="0.3">
      <c r="AA7732" s="37">
        <v>7712</v>
      </c>
      <c r="AB7732" s="37">
        <v>1.7582636182004978</v>
      </c>
      <c r="AC7732" s="37">
        <v>2.7318683767093614</v>
      </c>
      <c r="AD7732" s="37">
        <v>3.4516384757134042</v>
      </c>
    </row>
    <row r="7733" spans="27:30" x14ac:dyDescent="0.3">
      <c r="AA7733" s="37">
        <v>7713</v>
      </c>
      <c r="AB7733" s="37">
        <v>1.8432142162350846</v>
      </c>
      <c r="AC7733" s="37">
        <v>2.7365786120065327</v>
      </c>
      <c r="AD7733" s="37">
        <v>3.7185420329859813</v>
      </c>
    </row>
    <row r="7734" spans="27:30" x14ac:dyDescent="0.3">
      <c r="AA7734" s="37">
        <v>7714</v>
      </c>
      <c r="AB7734" s="37">
        <v>1.7547555995815811</v>
      </c>
      <c r="AC7734" s="37">
        <v>2.941118916274446</v>
      </c>
      <c r="AD7734" s="37">
        <v>3.2553059670587432</v>
      </c>
    </row>
    <row r="7735" spans="27:30" x14ac:dyDescent="0.3">
      <c r="AA7735" s="37">
        <v>7715</v>
      </c>
      <c r="AB7735" s="37">
        <v>1.6348300410393497</v>
      </c>
      <c r="AC7735" s="37">
        <v>2.7008225823935614</v>
      </c>
      <c r="AD7735" s="37">
        <v>3.3814789507744272</v>
      </c>
    </row>
    <row r="7736" spans="27:30" x14ac:dyDescent="0.3">
      <c r="AA7736" s="37">
        <v>7716</v>
      </c>
      <c r="AB7736" s="37">
        <v>1.7988663285901842</v>
      </c>
      <c r="AC7736" s="37">
        <v>2.8314746656198047</v>
      </c>
      <c r="AD7736" s="37">
        <v>3.5404799485284046</v>
      </c>
    </row>
    <row r="7737" spans="27:30" x14ac:dyDescent="0.3">
      <c r="AA7737" s="37">
        <v>7717</v>
      </c>
      <c r="AB7737" s="37">
        <v>1.8273485861215852</v>
      </c>
      <c r="AC7737" s="37">
        <v>2.7851907199543464</v>
      </c>
      <c r="AD7737" s="37">
        <v>3.3537782918441077</v>
      </c>
    </row>
    <row r="7738" spans="27:30" x14ac:dyDescent="0.3">
      <c r="AA7738" s="37">
        <v>7718</v>
      </c>
      <c r="AB7738" s="37">
        <v>1.719306377679362</v>
      </c>
      <c r="AC7738" s="37">
        <v>2.8000188772063899</v>
      </c>
      <c r="AD7738" s="37">
        <v>3.5060903329379429</v>
      </c>
    </row>
    <row r="7739" spans="27:30" x14ac:dyDescent="0.3">
      <c r="AA7739" s="37">
        <v>7719</v>
      </c>
      <c r="AB7739" s="37">
        <v>1.8695320095090444</v>
      </c>
      <c r="AC7739" s="37">
        <v>2.9257407405649825</v>
      </c>
      <c r="AD7739" s="37">
        <v>3.5357323046680524</v>
      </c>
    </row>
    <row r="7740" spans="27:30" x14ac:dyDescent="0.3">
      <c r="AA7740" s="37">
        <v>7720</v>
      </c>
      <c r="AB7740" s="37">
        <v>1.7756775039682624</v>
      </c>
      <c r="AC7740" s="37">
        <v>2.7903047840638502</v>
      </c>
      <c r="AD7740" s="37">
        <v>3.1221891767610477</v>
      </c>
    </row>
    <row r="7741" spans="27:30" x14ac:dyDescent="0.3">
      <c r="AA7741" s="37">
        <v>7721</v>
      </c>
      <c r="AB7741" s="37">
        <v>1.7544893549342637</v>
      </c>
      <c r="AC7741" s="37">
        <v>2.7564312361283214</v>
      </c>
      <c r="AD7741" s="37">
        <v>3.4070712842911566</v>
      </c>
    </row>
    <row r="7742" spans="27:30" x14ac:dyDescent="0.3">
      <c r="AA7742" s="37">
        <v>7722</v>
      </c>
      <c r="AB7742" s="37">
        <v>1.7617190795637812</v>
      </c>
      <c r="AC7742" s="37">
        <v>3.0638073712419791</v>
      </c>
      <c r="AD7742" s="37">
        <v>3.4382843254278321</v>
      </c>
    </row>
    <row r="7743" spans="27:30" x14ac:dyDescent="0.3">
      <c r="AA7743" s="37">
        <v>7723</v>
      </c>
      <c r="AB7743" s="37">
        <v>1.8269603533161838</v>
      </c>
      <c r="AC7743" s="37">
        <v>2.85735015714664</v>
      </c>
      <c r="AD7743" s="37">
        <v>3.2995314211027789</v>
      </c>
    </row>
    <row r="7744" spans="27:30" x14ac:dyDescent="0.3">
      <c r="AA7744" s="37">
        <v>7724</v>
      </c>
      <c r="AB7744" s="37">
        <v>1.7461951576296322</v>
      </c>
      <c r="AC7744" s="37">
        <v>2.9462438259767358</v>
      </c>
      <c r="AD7744" s="37">
        <v>3.1604095919629978</v>
      </c>
    </row>
    <row r="7745" spans="27:30" x14ac:dyDescent="0.3">
      <c r="AA7745" s="37">
        <v>7725</v>
      </c>
      <c r="AB7745" s="37">
        <v>1.7902973606219013</v>
      </c>
      <c r="AC7745" s="37">
        <v>2.8888760160553373</v>
      </c>
      <c r="AD7745" s="37">
        <v>3.4288162746963819</v>
      </c>
    </row>
    <row r="7746" spans="27:30" x14ac:dyDescent="0.3">
      <c r="AA7746" s="37">
        <v>7726</v>
      </c>
      <c r="AB7746" s="37">
        <v>1.8819542749746345</v>
      </c>
      <c r="AC7746" s="37">
        <v>2.7558843452163857</v>
      </c>
      <c r="AD7746" s="37">
        <v>3.3614222902142634</v>
      </c>
    </row>
    <row r="7747" spans="27:30" x14ac:dyDescent="0.3">
      <c r="AA7747" s="37">
        <v>7727</v>
      </c>
      <c r="AB7747" s="37">
        <v>1.7797626686715105</v>
      </c>
      <c r="AC7747" s="37">
        <v>2.6525635095038891</v>
      </c>
      <c r="AD7747" s="37">
        <v>3.3277135729622911</v>
      </c>
    </row>
    <row r="7748" spans="27:30" x14ac:dyDescent="0.3">
      <c r="AA7748" s="37">
        <v>7728</v>
      </c>
      <c r="AB7748" s="37">
        <v>1.7977611039176877</v>
      </c>
      <c r="AC7748" s="37">
        <v>2.9472985669327341</v>
      </c>
      <c r="AD7748" s="37">
        <v>3.2545128825402725</v>
      </c>
    </row>
    <row r="7749" spans="27:30" x14ac:dyDescent="0.3">
      <c r="AA7749" s="37">
        <v>7729</v>
      </c>
      <c r="AB7749" s="37">
        <v>1.7264952703784822</v>
      </c>
      <c r="AC7749" s="37">
        <v>3.0095402912733333</v>
      </c>
      <c r="AD7749" s="37">
        <v>3.3438468990751073</v>
      </c>
    </row>
    <row r="7750" spans="27:30" x14ac:dyDescent="0.3">
      <c r="AA7750" s="37">
        <v>7730</v>
      </c>
      <c r="AB7750" s="37">
        <v>1.778099645542933</v>
      </c>
      <c r="AC7750" s="37">
        <v>2.8798448381871191</v>
      </c>
      <c r="AD7750" s="37">
        <v>3.4006144401751808</v>
      </c>
    </row>
    <row r="7751" spans="27:30" x14ac:dyDescent="0.3">
      <c r="AA7751" s="37">
        <v>7731</v>
      </c>
      <c r="AB7751" s="37">
        <v>1.8930677233763431</v>
      </c>
      <c r="AC7751" s="37">
        <v>2.7998480690078784</v>
      </c>
      <c r="AD7751" s="37">
        <v>3.5566712086227175</v>
      </c>
    </row>
    <row r="7752" spans="27:30" x14ac:dyDescent="0.3">
      <c r="AA7752" s="37">
        <v>7732</v>
      </c>
      <c r="AB7752" s="37">
        <v>1.8036078130620581</v>
      </c>
      <c r="AC7752" s="37">
        <v>2.9755970631013171</v>
      </c>
      <c r="AD7752" s="37">
        <v>3.2768684729118083</v>
      </c>
    </row>
    <row r="7753" spans="27:30" x14ac:dyDescent="0.3">
      <c r="AA7753" s="37">
        <v>7733</v>
      </c>
      <c r="AB7753" s="37">
        <v>1.7518879025616094</v>
      </c>
      <c r="AC7753" s="37">
        <v>2.7324565102539022</v>
      </c>
      <c r="AD7753" s="37">
        <v>3.3294831369071254</v>
      </c>
    </row>
    <row r="7754" spans="27:30" x14ac:dyDescent="0.3">
      <c r="AA7754" s="37">
        <v>7734</v>
      </c>
      <c r="AB7754" s="37">
        <v>1.9291280388822851</v>
      </c>
      <c r="AC7754" s="37">
        <v>2.8686877389264493</v>
      </c>
      <c r="AD7754" s="37">
        <v>3.1543301701318875</v>
      </c>
    </row>
    <row r="7755" spans="27:30" x14ac:dyDescent="0.3">
      <c r="AA7755" s="37">
        <v>7735</v>
      </c>
      <c r="AB7755" s="37">
        <v>1.7813461834406519</v>
      </c>
      <c r="AC7755" s="37">
        <v>2.6534274895320897</v>
      </c>
      <c r="AD7755" s="37">
        <v>3.2307056754907282</v>
      </c>
    </row>
    <row r="7756" spans="27:30" x14ac:dyDescent="0.3">
      <c r="AA7756" s="37">
        <v>7736</v>
      </c>
      <c r="AB7756" s="37">
        <v>1.7160534969964134</v>
      </c>
      <c r="AC7756" s="37">
        <v>2.7988781326388779</v>
      </c>
      <c r="AD7756" s="37">
        <v>3.3153360451176077</v>
      </c>
    </row>
    <row r="7757" spans="27:30" x14ac:dyDescent="0.3">
      <c r="AA7757" s="37">
        <v>7737</v>
      </c>
      <c r="AB7757" s="37">
        <v>1.7603096196424968</v>
      </c>
      <c r="AC7757" s="37">
        <v>2.9360358650751053</v>
      </c>
      <c r="AD7757" s="37">
        <v>3.5056240437363617</v>
      </c>
    </row>
    <row r="7758" spans="27:30" x14ac:dyDescent="0.3">
      <c r="AA7758" s="37">
        <v>7738</v>
      </c>
      <c r="AB7758" s="37">
        <v>1.697790897052303</v>
      </c>
      <c r="AC7758" s="37">
        <v>2.907560302342806</v>
      </c>
      <c r="AD7758" s="37">
        <v>3.4112809464943719</v>
      </c>
    </row>
    <row r="7759" spans="27:30" x14ac:dyDescent="0.3">
      <c r="AA7759" s="37">
        <v>7739</v>
      </c>
      <c r="AB7759" s="37">
        <v>1.8311511305963146</v>
      </c>
      <c r="AC7759" s="37">
        <v>3.0094473627243499</v>
      </c>
      <c r="AD7759" s="37">
        <v>3.381313047969642</v>
      </c>
    </row>
    <row r="7760" spans="27:30" x14ac:dyDescent="0.3">
      <c r="AA7760" s="37">
        <v>7740</v>
      </c>
      <c r="AB7760" s="37">
        <v>1.8423765766728619</v>
      </c>
      <c r="AC7760" s="37">
        <v>2.8285837773440812</v>
      </c>
      <c r="AD7760" s="37">
        <v>3.42351870897981</v>
      </c>
    </row>
    <row r="7761" spans="27:30" x14ac:dyDescent="0.3">
      <c r="AA7761" s="37">
        <v>7741</v>
      </c>
      <c r="AB7761" s="37">
        <v>1.8243322055834075</v>
      </c>
      <c r="AC7761" s="37">
        <v>2.9274983007714153</v>
      </c>
      <c r="AD7761" s="37">
        <v>3.3396142903726802</v>
      </c>
    </row>
    <row r="7762" spans="27:30" x14ac:dyDescent="0.3">
      <c r="AA7762" s="37">
        <v>7742</v>
      </c>
      <c r="AB7762" s="37">
        <v>1.8431608769972119</v>
      </c>
      <c r="AC7762" s="37">
        <v>2.7438496303139783</v>
      </c>
      <c r="AD7762" s="37">
        <v>3.2127800507806961</v>
      </c>
    </row>
    <row r="7763" spans="27:30" x14ac:dyDescent="0.3">
      <c r="AA7763" s="37">
        <v>7743</v>
      </c>
      <c r="AB7763" s="37">
        <v>1.7867564741198405</v>
      </c>
      <c r="AC7763" s="37">
        <v>2.6965198868881588</v>
      </c>
      <c r="AD7763" s="37">
        <v>3.4413589022405806</v>
      </c>
    </row>
    <row r="7764" spans="27:30" x14ac:dyDescent="0.3">
      <c r="AA7764" s="37">
        <v>7744</v>
      </c>
      <c r="AB7764" s="37">
        <v>1.9349288638081679</v>
      </c>
      <c r="AC7764" s="37">
        <v>2.889347745103362</v>
      </c>
      <c r="AD7764" s="37">
        <v>3.3167032727729451</v>
      </c>
    </row>
    <row r="7765" spans="27:30" x14ac:dyDescent="0.3">
      <c r="AA7765" s="37">
        <v>7745</v>
      </c>
      <c r="AB7765" s="37">
        <v>1.8532410079280255</v>
      </c>
      <c r="AC7765" s="37">
        <v>2.7772183293439636</v>
      </c>
      <c r="AD7765" s="37">
        <v>3.5575198263698637</v>
      </c>
    </row>
    <row r="7766" spans="27:30" x14ac:dyDescent="0.3">
      <c r="AA7766" s="37">
        <v>7746</v>
      </c>
      <c r="AB7766" s="37">
        <v>1.914359611854676</v>
      </c>
      <c r="AC7766" s="37">
        <v>2.8844814557540857</v>
      </c>
      <c r="AD7766" s="37">
        <v>3.2804443433738673</v>
      </c>
    </row>
    <row r="7767" spans="27:30" x14ac:dyDescent="0.3">
      <c r="AA7767" s="37">
        <v>7747</v>
      </c>
      <c r="AB7767" s="37">
        <v>1.7383345072091119</v>
      </c>
      <c r="AC7767" s="37">
        <v>2.9314161037512423</v>
      </c>
      <c r="AD7767" s="37">
        <v>3.4254418549169738</v>
      </c>
    </row>
    <row r="7768" spans="27:30" x14ac:dyDescent="0.3">
      <c r="AA7768" s="37">
        <v>7748</v>
      </c>
      <c r="AB7768" s="37">
        <v>1.8292562184044492</v>
      </c>
      <c r="AC7768" s="37">
        <v>2.8558480500458807</v>
      </c>
      <c r="AD7768" s="37">
        <v>3.4600372215278528</v>
      </c>
    </row>
    <row r="7769" spans="27:30" x14ac:dyDescent="0.3">
      <c r="AA7769" s="37">
        <v>7749</v>
      </c>
      <c r="AB7769" s="37">
        <v>1.7973971170706062</v>
      </c>
      <c r="AC7769" s="37">
        <v>3.0467280974686726</v>
      </c>
      <c r="AD7769" s="37">
        <v>3.1480183979152363</v>
      </c>
    </row>
    <row r="7770" spans="27:30" x14ac:dyDescent="0.3">
      <c r="AA7770" s="37">
        <v>7750</v>
      </c>
      <c r="AB7770" s="37">
        <v>1.7698673413798702</v>
      </c>
      <c r="AC7770" s="37">
        <v>2.8166029309297693</v>
      </c>
      <c r="AD7770" s="37">
        <v>3.1960344938707315</v>
      </c>
    </row>
    <row r="7771" spans="27:30" x14ac:dyDescent="0.3">
      <c r="AA7771" s="37">
        <v>7751</v>
      </c>
      <c r="AB7771" s="37">
        <v>1.8366025514901445</v>
      </c>
      <c r="AC7771" s="37">
        <v>2.980630331809929</v>
      </c>
      <c r="AD7771" s="37">
        <v>3.34232609472161</v>
      </c>
    </row>
    <row r="7772" spans="27:30" x14ac:dyDescent="0.3">
      <c r="AA7772" s="37">
        <v>7752</v>
      </c>
      <c r="AB7772" s="37">
        <v>1.6856058621073153</v>
      </c>
      <c r="AC7772" s="37">
        <v>2.7778142314130521</v>
      </c>
      <c r="AD7772" s="37">
        <v>3.4640032913343544</v>
      </c>
    </row>
    <row r="7773" spans="27:30" x14ac:dyDescent="0.3">
      <c r="AA7773" s="37">
        <v>7753</v>
      </c>
      <c r="AB7773" s="37">
        <v>1.7225992692972385</v>
      </c>
      <c r="AC7773" s="37">
        <v>2.8339334445797886</v>
      </c>
      <c r="AD7773" s="37">
        <v>3.4340674980066175</v>
      </c>
    </row>
    <row r="7774" spans="27:30" x14ac:dyDescent="0.3">
      <c r="AA7774" s="37">
        <v>7754</v>
      </c>
      <c r="AB7774" s="37">
        <v>1.7633323692548628</v>
      </c>
      <c r="AC7774" s="37">
        <v>2.7512005075404375</v>
      </c>
      <c r="AD7774" s="37">
        <v>3.2735712587378027</v>
      </c>
    </row>
    <row r="7775" spans="27:30" x14ac:dyDescent="0.3">
      <c r="AA7775" s="37">
        <v>7755</v>
      </c>
      <c r="AB7775" s="37">
        <v>1.8010861801307874</v>
      </c>
      <c r="AC7775" s="37">
        <v>2.8673299581475584</v>
      </c>
      <c r="AD7775" s="37">
        <v>3.4991393478356843</v>
      </c>
    </row>
    <row r="7776" spans="27:30" x14ac:dyDescent="0.3">
      <c r="AA7776" s="37">
        <v>7756</v>
      </c>
      <c r="AB7776" s="37">
        <v>1.8362575675373627</v>
      </c>
      <c r="AC7776" s="37">
        <v>2.7674285160500371</v>
      </c>
      <c r="AD7776" s="37">
        <v>3.3683436211595952</v>
      </c>
    </row>
    <row r="7777" spans="27:30" x14ac:dyDescent="0.3">
      <c r="AA7777" s="37">
        <v>7757</v>
      </c>
      <c r="AB7777" s="37">
        <v>1.7613776875000429</v>
      </c>
      <c r="AC7777" s="37">
        <v>2.7883256918425214</v>
      </c>
      <c r="AD7777" s="37">
        <v>3.3557346778738033</v>
      </c>
    </row>
    <row r="7778" spans="27:30" x14ac:dyDescent="0.3">
      <c r="AA7778" s="37">
        <v>7758</v>
      </c>
      <c r="AB7778" s="37">
        <v>1.9547511034458425</v>
      </c>
      <c r="AC7778" s="37">
        <v>2.658549292135274</v>
      </c>
      <c r="AD7778" s="37">
        <v>3.4012216134646689</v>
      </c>
    </row>
    <row r="7779" spans="27:30" x14ac:dyDescent="0.3">
      <c r="AA7779" s="37">
        <v>7759</v>
      </c>
      <c r="AB7779" s="37">
        <v>1.7787593508105783</v>
      </c>
      <c r="AC7779" s="37">
        <v>2.6871328807892811</v>
      </c>
      <c r="AD7779" s="37">
        <v>3.3279939039731334</v>
      </c>
    </row>
    <row r="7780" spans="27:30" x14ac:dyDescent="0.3">
      <c r="AA7780" s="37">
        <v>7760</v>
      </c>
      <c r="AB7780" s="37">
        <v>1.7210687801063678</v>
      </c>
      <c r="AC7780" s="37">
        <v>2.7206996732985216</v>
      </c>
      <c r="AD7780" s="37">
        <v>3.437805758597031</v>
      </c>
    </row>
    <row r="7781" spans="27:30" x14ac:dyDescent="0.3">
      <c r="AA7781" s="37">
        <v>7761</v>
      </c>
      <c r="AB7781" s="37">
        <v>1.7813489241118672</v>
      </c>
      <c r="AC7781" s="37">
        <v>2.8647085946140765</v>
      </c>
      <c r="AD7781" s="37">
        <v>3.3688086023191026</v>
      </c>
    </row>
    <row r="7782" spans="27:30" x14ac:dyDescent="0.3">
      <c r="AA7782" s="37">
        <v>7762</v>
      </c>
      <c r="AB7782" s="37">
        <v>1.8709337617422519</v>
      </c>
      <c r="AC7782" s="37">
        <v>2.6257083756540989</v>
      </c>
      <c r="AD7782" s="37">
        <v>3.418049997455987</v>
      </c>
    </row>
    <row r="7783" spans="27:30" x14ac:dyDescent="0.3">
      <c r="AA7783" s="37">
        <v>7763</v>
      </c>
      <c r="AB7783" s="37">
        <v>1.7439030826295912</v>
      </c>
      <c r="AC7783" s="37">
        <v>2.7544937514862324</v>
      </c>
      <c r="AD7783" s="37">
        <v>3.3252897919129953</v>
      </c>
    </row>
    <row r="7784" spans="27:30" x14ac:dyDescent="0.3">
      <c r="AA7784" s="37">
        <v>7764</v>
      </c>
      <c r="AB7784" s="37">
        <v>1.7769639527412662</v>
      </c>
      <c r="AC7784" s="37">
        <v>2.8922716322839905</v>
      </c>
      <c r="AD7784" s="37">
        <v>3.2232764831321985</v>
      </c>
    </row>
    <row r="7785" spans="27:30" x14ac:dyDescent="0.3">
      <c r="AA7785" s="37">
        <v>7765</v>
      </c>
      <c r="AB7785" s="37">
        <v>1.6595537465258918</v>
      </c>
      <c r="AC7785" s="37">
        <v>2.7155035155273195</v>
      </c>
      <c r="AD7785" s="37">
        <v>3.2848851666707706</v>
      </c>
    </row>
    <row r="7786" spans="27:30" x14ac:dyDescent="0.3">
      <c r="AA7786" s="37">
        <v>7766</v>
      </c>
      <c r="AB7786" s="37">
        <v>1.7591228999038087</v>
      </c>
      <c r="AC7786" s="37">
        <v>2.6739398656175442</v>
      </c>
      <c r="AD7786" s="37">
        <v>3.3830990116774178</v>
      </c>
    </row>
    <row r="7787" spans="27:30" x14ac:dyDescent="0.3">
      <c r="AA7787" s="37">
        <v>7767</v>
      </c>
      <c r="AB7787" s="37">
        <v>1.8138439202064247</v>
      </c>
      <c r="AC7787" s="37">
        <v>2.962719116224064</v>
      </c>
      <c r="AD7787" s="37">
        <v>3.2564917919486933</v>
      </c>
    </row>
    <row r="7788" spans="27:30" x14ac:dyDescent="0.3">
      <c r="AA7788" s="37">
        <v>7768</v>
      </c>
      <c r="AB7788" s="37">
        <v>1.8489838406798826</v>
      </c>
      <c r="AC7788" s="37">
        <v>2.6580820991856093</v>
      </c>
      <c r="AD7788" s="37">
        <v>3.389967684917472</v>
      </c>
    </row>
    <row r="7789" spans="27:30" x14ac:dyDescent="0.3">
      <c r="AA7789" s="37">
        <v>7769</v>
      </c>
      <c r="AB7789" s="37">
        <v>1.5879023406493231</v>
      </c>
      <c r="AC7789" s="37">
        <v>2.7708562016085017</v>
      </c>
      <c r="AD7789" s="37">
        <v>3.4884736717472959</v>
      </c>
    </row>
    <row r="7790" spans="27:30" x14ac:dyDescent="0.3">
      <c r="AA7790" s="37">
        <v>7770</v>
      </c>
      <c r="AB7790" s="37">
        <v>1.8183223112075737</v>
      </c>
      <c r="AC7790" s="37">
        <v>2.9068223190730791</v>
      </c>
      <c r="AD7790" s="37">
        <v>3.2801462312524357</v>
      </c>
    </row>
    <row r="7791" spans="27:30" x14ac:dyDescent="0.3">
      <c r="AA7791" s="37">
        <v>7771</v>
      </c>
      <c r="AB7791" s="37">
        <v>1.8217484778072077</v>
      </c>
      <c r="AC7791" s="37">
        <v>2.8128715053535553</v>
      </c>
      <c r="AD7791" s="37">
        <v>3.472008309843202</v>
      </c>
    </row>
    <row r="7792" spans="27:30" x14ac:dyDescent="0.3">
      <c r="AA7792" s="37">
        <v>7772</v>
      </c>
      <c r="AB7792" s="37">
        <v>1.7850799352431932</v>
      </c>
      <c r="AC7792" s="37">
        <v>2.8157088946145232</v>
      </c>
      <c r="AD7792" s="37">
        <v>3.1246423138071799</v>
      </c>
    </row>
    <row r="7793" spans="27:30" x14ac:dyDescent="0.3">
      <c r="AA7793" s="37">
        <v>7773</v>
      </c>
      <c r="AB7793" s="37">
        <v>1.8572878583755337</v>
      </c>
      <c r="AC7793" s="37">
        <v>2.7451299854930729</v>
      </c>
      <c r="AD7793" s="37">
        <v>3.1481638166548271</v>
      </c>
    </row>
    <row r="7794" spans="27:30" x14ac:dyDescent="0.3">
      <c r="AA7794" s="37">
        <v>7774</v>
      </c>
      <c r="AB7794" s="37">
        <v>1.8102049740397499</v>
      </c>
      <c r="AC7794" s="37">
        <v>2.8660352775775073</v>
      </c>
      <c r="AD7794" s="37">
        <v>3.4904130374801765</v>
      </c>
    </row>
    <row r="7795" spans="27:30" x14ac:dyDescent="0.3">
      <c r="AA7795" s="37">
        <v>7775</v>
      </c>
      <c r="AB7795" s="37">
        <v>1.731328891368521</v>
      </c>
      <c r="AC7795" s="37">
        <v>2.8664956269025934</v>
      </c>
      <c r="AD7795" s="37">
        <v>3.5708833031364859</v>
      </c>
    </row>
    <row r="7796" spans="27:30" x14ac:dyDescent="0.3">
      <c r="AA7796" s="37">
        <v>7776</v>
      </c>
      <c r="AB7796" s="37">
        <v>1.7569515276746601</v>
      </c>
      <c r="AC7796" s="37">
        <v>2.7132472869205908</v>
      </c>
      <c r="AD7796" s="37">
        <v>3.2811194588709598</v>
      </c>
    </row>
    <row r="7797" spans="27:30" x14ac:dyDescent="0.3">
      <c r="AA7797" s="37">
        <v>7777</v>
      </c>
      <c r="AB7797" s="37">
        <v>1.7475434126181761</v>
      </c>
      <c r="AC7797" s="37">
        <v>2.7945370327777037</v>
      </c>
      <c r="AD7797" s="37">
        <v>3.2825473068127948</v>
      </c>
    </row>
    <row r="7798" spans="27:30" x14ac:dyDescent="0.3">
      <c r="AA7798" s="37">
        <v>7778</v>
      </c>
      <c r="AB7798" s="37">
        <v>1.8710619103712727</v>
      </c>
      <c r="AC7798" s="37">
        <v>2.923805249045925</v>
      </c>
      <c r="AD7798" s="37">
        <v>3.4044297257747322</v>
      </c>
    </row>
    <row r="7799" spans="27:30" x14ac:dyDescent="0.3">
      <c r="AA7799" s="37">
        <v>7779</v>
      </c>
      <c r="AB7799" s="37">
        <v>1.7583310247878048</v>
      </c>
      <c r="AC7799" s="37">
        <v>2.7161190399229018</v>
      </c>
      <c r="AD7799" s="37">
        <v>3.5776964521453372</v>
      </c>
    </row>
    <row r="7800" spans="27:30" x14ac:dyDescent="0.3">
      <c r="AA7800" s="37">
        <v>7780</v>
      </c>
      <c r="AB7800" s="37">
        <v>1.8026075783486044</v>
      </c>
      <c r="AC7800" s="37">
        <v>2.8755740288339138</v>
      </c>
      <c r="AD7800" s="37">
        <v>3.4280522319832558</v>
      </c>
    </row>
    <row r="7801" spans="27:30" x14ac:dyDescent="0.3">
      <c r="AA7801" s="37">
        <v>7781</v>
      </c>
      <c r="AB7801" s="37">
        <v>1.759395138101125</v>
      </c>
      <c r="AC7801" s="37">
        <v>2.7637500571070714</v>
      </c>
      <c r="AD7801" s="37">
        <v>2.9474064694702866</v>
      </c>
    </row>
    <row r="7802" spans="27:30" x14ac:dyDescent="0.3">
      <c r="AA7802" s="37">
        <v>7782</v>
      </c>
      <c r="AB7802" s="37">
        <v>1.826001131344825</v>
      </c>
      <c r="AC7802" s="37">
        <v>2.9472755122886718</v>
      </c>
      <c r="AD7802" s="37">
        <v>3.3323053175420543</v>
      </c>
    </row>
    <row r="7803" spans="27:30" x14ac:dyDescent="0.3">
      <c r="AA7803" s="37">
        <v>7783</v>
      </c>
      <c r="AB7803" s="37">
        <v>1.7791651593458324</v>
      </c>
      <c r="AC7803" s="37">
        <v>2.6610830252682498</v>
      </c>
      <c r="AD7803" s="37">
        <v>3.3801250246578176</v>
      </c>
    </row>
    <row r="7804" spans="27:30" x14ac:dyDescent="0.3">
      <c r="AA7804" s="37">
        <v>7784</v>
      </c>
      <c r="AB7804" s="37">
        <v>1.7340675821527183</v>
      </c>
      <c r="AC7804" s="37">
        <v>2.7396095099510376</v>
      </c>
      <c r="AD7804" s="37">
        <v>3.2076365083771088</v>
      </c>
    </row>
    <row r="7805" spans="27:30" x14ac:dyDescent="0.3">
      <c r="AA7805" s="37">
        <v>7785</v>
      </c>
      <c r="AB7805" s="37">
        <v>1.6349043937507026</v>
      </c>
      <c r="AC7805" s="37">
        <v>2.8610648054399697</v>
      </c>
      <c r="AD7805" s="37">
        <v>3.5402061350958003</v>
      </c>
    </row>
    <row r="7806" spans="27:30" x14ac:dyDescent="0.3">
      <c r="AA7806" s="37">
        <v>7786</v>
      </c>
      <c r="AB7806" s="37">
        <v>1.8373247085570663</v>
      </c>
      <c r="AC7806" s="37">
        <v>2.7951802224551621</v>
      </c>
      <c r="AD7806" s="37">
        <v>3.3872284868334419</v>
      </c>
    </row>
    <row r="7807" spans="27:30" x14ac:dyDescent="0.3">
      <c r="AA7807" s="37">
        <v>7787</v>
      </c>
      <c r="AB7807" s="37">
        <v>1.8169398750311287</v>
      </c>
      <c r="AC7807" s="37">
        <v>2.9091000856514806</v>
      </c>
      <c r="AD7807" s="37">
        <v>3.2684988311234333</v>
      </c>
    </row>
    <row r="7808" spans="27:30" x14ac:dyDescent="0.3">
      <c r="AA7808" s="37">
        <v>7788</v>
      </c>
      <c r="AB7808" s="37">
        <v>1.7781238133136739</v>
      </c>
      <c r="AC7808" s="37">
        <v>2.635130347101216</v>
      </c>
      <c r="AD7808" s="37">
        <v>3.4129429829513738</v>
      </c>
    </row>
    <row r="7809" spans="27:30" x14ac:dyDescent="0.3">
      <c r="AA7809" s="37">
        <v>7789</v>
      </c>
      <c r="AB7809" s="37">
        <v>1.8621975379692748</v>
      </c>
      <c r="AC7809" s="37">
        <v>2.7514033829978155</v>
      </c>
      <c r="AD7809" s="37">
        <v>3.4575586075455766</v>
      </c>
    </row>
    <row r="7810" spans="27:30" x14ac:dyDescent="0.3">
      <c r="AA7810" s="37">
        <v>7790</v>
      </c>
      <c r="AB7810" s="37">
        <v>1.7901299265385944</v>
      </c>
      <c r="AC7810" s="37">
        <v>2.8653372016495271</v>
      </c>
      <c r="AD7810" s="37">
        <v>3.2787082523400874</v>
      </c>
    </row>
    <row r="7811" spans="27:30" x14ac:dyDescent="0.3">
      <c r="AA7811" s="37">
        <v>7791</v>
      </c>
      <c r="AB7811" s="37">
        <v>1.7295917947837147</v>
      </c>
      <c r="AC7811" s="37">
        <v>2.7358025915869528</v>
      </c>
      <c r="AD7811" s="37">
        <v>3.0512422620416881</v>
      </c>
    </row>
    <row r="7812" spans="27:30" x14ac:dyDescent="0.3">
      <c r="AA7812" s="37">
        <v>7792</v>
      </c>
      <c r="AB7812" s="37">
        <v>1.7095974695032812</v>
      </c>
      <c r="AC7812" s="37">
        <v>2.9055318127620096</v>
      </c>
      <c r="AD7812" s="37">
        <v>3.3954194029539466</v>
      </c>
    </row>
    <row r="7813" spans="27:30" x14ac:dyDescent="0.3">
      <c r="AA7813" s="37">
        <v>7793</v>
      </c>
      <c r="AB7813" s="37">
        <v>1.8692447122301346</v>
      </c>
      <c r="AC7813" s="37">
        <v>2.9101263472267931</v>
      </c>
      <c r="AD7813" s="37">
        <v>3.4693924924281765</v>
      </c>
    </row>
    <row r="7814" spans="27:30" x14ac:dyDescent="0.3">
      <c r="AA7814" s="37">
        <v>7794</v>
      </c>
      <c r="AB7814" s="37">
        <v>1.874962856933061</v>
      </c>
      <c r="AC7814" s="37">
        <v>2.872054524529065</v>
      </c>
      <c r="AD7814" s="37">
        <v>3.3445535356119835</v>
      </c>
    </row>
    <row r="7815" spans="27:30" x14ac:dyDescent="0.3">
      <c r="AA7815" s="37">
        <v>7795</v>
      </c>
      <c r="AB7815" s="37">
        <v>1.7533408963226358</v>
      </c>
      <c r="AC7815" s="37">
        <v>2.9383068304223539</v>
      </c>
      <c r="AD7815" s="37">
        <v>3.3403031040323263</v>
      </c>
    </row>
    <row r="7816" spans="27:30" x14ac:dyDescent="0.3">
      <c r="AA7816" s="37">
        <v>7796</v>
      </c>
      <c r="AB7816" s="37">
        <v>1.794652764828806</v>
      </c>
      <c r="AC7816" s="37">
        <v>2.7759829373954199</v>
      </c>
      <c r="AD7816" s="37">
        <v>3.3742939177112787</v>
      </c>
    </row>
    <row r="7817" spans="27:30" x14ac:dyDescent="0.3">
      <c r="AA7817" s="37">
        <v>7797</v>
      </c>
      <c r="AB7817" s="37">
        <v>1.8078839221052019</v>
      </c>
      <c r="AC7817" s="37">
        <v>2.958598580781624</v>
      </c>
      <c r="AD7817" s="37">
        <v>3.1369217584229707</v>
      </c>
    </row>
    <row r="7818" spans="27:30" x14ac:dyDescent="0.3">
      <c r="AA7818" s="37">
        <v>7798</v>
      </c>
      <c r="AB7818" s="37">
        <v>1.7393264715764749</v>
      </c>
      <c r="AC7818" s="37">
        <v>2.8367323539674798</v>
      </c>
      <c r="AD7818" s="37">
        <v>3.3053297586946093</v>
      </c>
    </row>
    <row r="7819" spans="27:30" x14ac:dyDescent="0.3">
      <c r="AA7819" s="37">
        <v>7799</v>
      </c>
      <c r="AB7819" s="37">
        <v>1.8511894253900305</v>
      </c>
      <c r="AC7819" s="37">
        <v>2.8542999299655896</v>
      </c>
      <c r="AD7819" s="37">
        <v>3.2006928010585174</v>
      </c>
    </row>
    <row r="7820" spans="27:30" x14ac:dyDescent="0.3">
      <c r="AA7820" s="37">
        <v>7800</v>
      </c>
      <c r="AB7820" s="37">
        <v>1.7605027435969849</v>
      </c>
      <c r="AC7820" s="37">
        <v>2.9112140757055354</v>
      </c>
      <c r="AD7820" s="37">
        <v>3.5382617379879946</v>
      </c>
    </row>
    <row r="7821" spans="27:30" x14ac:dyDescent="0.3">
      <c r="AA7821" s="37">
        <v>7801</v>
      </c>
      <c r="AB7821" s="37">
        <v>1.8094054146631329</v>
      </c>
      <c r="AC7821" s="37">
        <v>2.9074275041939268</v>
      </c>
      <c r="AD7821" s="37">
        <v>3.2208387119851714</v>
      </c>
    </row>
    <row r="7822" spans="27:30" x14ac:dyDescent="0.3">
      <c r="AA7822" s="37">
        <v>7802</v>
      </c>
      <c r="AB7822" s="37">
        <v>1.8118039100392676</v>
      </c>
      <c r="AC7822" s="37">
        <v>2.9131218388745594</v>
      </c>
      <c r="AD7822" s="37">
        <v>3.1632975178010869</v>
      </c>
    </row>
    <row r="7823" spans="27:30" x14ac:dyDescent="0.3">
      <c r="AA7823" s="37">
        <v>7803</v>
      </c>
      <c r="AB7823" s="37">
        <v>1.8189106563788113</v>
      </c>
      <c r="AC7823" s="37">
        <v>2.8163758490410644</v>
      </c>
      <c r="AD7823" s="37">
        <v>3.4980664247000428</v>
      </c>
    </row>
    <row r="7824" spans="27:30" x14ac:dyDescent="0.3">
      <c r="AA7824" s="37">
        <v>7804</v>
      </c>
      <c r="AB7824" s="37">
        <v>1.7341496985664366</v>
      </c>
      <c r="AC7824" s="37">
        <v>2.8358037202665751</v>
      </c>
      <c r="AD7824" s="37">
        <v>3.4145543020691158</v>
      </c>
    </row>
    <row r="7825" spans="27:30" x14ac:dyDescent="0.3">
      <c r="AA7825" s="37">
        <v>7805</v>
      </c>
      <c r="AB7825" s="37">
        <v>1.8697906258263275</v>
      </c>
      <c r="AC7825" s="37">
        <v>2.7688481987291387</v>
      </c>
      <c r="AD7825" s="37">
        <v>3.3520344989635307</v>
      </c>
    </row>
    <row r="7826" spans="27:30" x14ac:dyDescent="0.3">
      <c r="AA7826" s="37">
        <v>7806</v>
      </c>
      <c r="AB7826" s="37">
        <v>1.8077420969244002</v>
      </c>
      <c r="AC7826" s="37">
        <v>2.726084307536166</v>
      </c>
      <c r="AD7826" s="37">
        <v>3.237422924984485</v>
      </c>
    </row>
    <row r="7827" spans="27:30" x14ac:dyDescent="0.3">
      <c r="AA7827" s="37">
        <v>7807</v>
      </c>
      <c r="AB7827" s="37">
        <v>1.8228522210561646</v>
      </c>
      <c r="AC7827" s="37">
        <v>2.7201287389141493</v>
      </c>
      <c r="AD7827" s="37">
        <v>3.1830236841076913</v>
      </c>
    </row>
    <row r="7828" spans="27:30" x14ac:dyDescent="0.3">
      <c r="AA7828" s="37">
        <v>7808</v>
      </c>
      <c r="AB7828" s="37">
        <v>1.8656878871599658</v>
      </c>
      <c r="AC7828" s="37">
        <v>2.7080551329411517</v>
      </c>
      <c r="AD7828" s="37">
        <v>3.377540398576921</v>
      </c>
    </row>
    <row r="7829" spans="27:30" x14ac:dyDescent="0.3">
      <c r="AA7829" s="37">
        <v>7809</v>
      </c>
      <c r="AB7829" s="37">
        <v>1.7759926791338327</v>
      </c>
      <c r="AC7829" s="37">
        <v>2.7776714889721825</v>
      </c>
      <c r="AD7829" s="37">
        <v>3.414562373337549</v>
      </c>
    </row>
    <row r="7830" spans="27:30" x14ac:dyDescent="0.3">
      <c r="AA7830" s="37">
        <v>7810</v>
      </c>
      <c r="AB7830" s="37">
        <v>1.6989081136482047</v>
      </c>
      <c r="AC7830" s="37">
        <v>2.7431061459667747</v>
      </c>
      <c r="AD7830" s="37">
        <v>3.5606315288827597</v>
      </c>
    </row>
    <row r="7831" spans="27:30" x14ac:dyDescent="0.3">
      <c r="AA7831" s="37">
        <v>7811</v>
      </c>
      <c r="AB7831" s="37">
        <v>1.8677347417043151</v>
      </c>
      <c r="AC7831" s="37">
        <v>2.7973096529436559</v>
      </c>
      <c r="AD7831" s="37">
        <v>3.2748774496356208</v>
      </c>
    </row>
    <row r="7832" spans="27:30" x14ac:dyDescent="0.3">
      <c r="AA7832" s="37">
        <v>7812</v>
      </c>
      <c r="AB7832" s="37">
        <v>1.769823290443693</v>
      </c>
      <c r="AC7832" s="37">
        <v>2.8102255782930512</v>
      </c>
      <c r="AD7832" s="37">
        <v>3.3062741466940051</v>
      </c>
    </row>
    <row r="7833" spans="27:30" x14ac:dyDescent="0.3">
      <c r="AA7833" s="37">
        <v>7813</v>
      </c>
      <c r="AB7833" s="37">
        <v>1.8091202011947425</v>
      </c>
      <c r="AC7833" s="37">
        <v>2.922279611751097</v>
      </c>
      <c r="AD7833" s="37">
        <v>3.0786968136502741</v>
      </c>
    </row>
    <row r="7834" spans="27:30" x14ac:dyDescent="0.3">
      <c r="AA7834" s="37">
        <v>7814</v>
      </c>
      <c r="AB7834" s="37">
        <v>1.7876875969916637</v>
      </c>
      <c r="AC7834" s="37">
        <v>2.9768336173682988</v>
      </c>
      <c r="AD7834" s="37">
        <v>3.293837374037369</v>
      </c>
    </row>
    <row r="7835" spans="27:30" x14ac:dyDescent="0.3">
      <c r="AA7835" s="37">
        <v>7815</v>
      </c>
      <c r="AB7835" s="37">
        <v>1.7894194776025651</v>
      </c>
      <c r="AC7835" s="37">
        <v>2.7914716393227463</v>
      </c>
      <c r="AD7835" s="37">
        <v>3.4541304076104002</v>
      </c>
    </row>
    <row r="7836" spans="27:30" x14ac:dyDescent="0.3">
      <c r="AA7836" s="37">
        <v>7816</v>
      </c>
      <c r="AB7836" s="37">
        <v>1.8469863232536898</v>
      </c>
      <c r="AC7836" s="37">
        <v>2.8030479880624029</v>
      </c>
      <c r="AD7836" s="37">
        <v>3.356151968490023</v>
      </c>
    </row>
    <row r="7837" spans="27:30" x14ac:dyDescent="0.3">
      <c r="AA7837" s="37">
        <v>7817</v>
      </c>
      <c r="AB7837" s="37">
        <v>1.7283155494211091</v>
      </c>
      <c r="AC7837" s="37">
        <v>2.9467155744237883</v>
      </c>
      <c r="AD7837" s="37">
        <v>3.4007196223694187</v>
      </c>
    </row>
    <row r="7838" spans="27:30" x14ac:dyDescent="0.3">
      <c r="AA7838" s="37">
        <v>7818</v>
      </c>
      <c r="AB7838" s="37">
        <v>1.8477127681707406</v>
      </c>
      <c r="AC7838" s="37">
        <v>2.9161478232679352</v>
      </c>
      <c r="AD7838" s="37">
        <v>3.4195099902740451</v>
      </c>
    </row>
    <row r="7839" spans="27:30" x14ac:dyDescent="0.3">
      <c r="AA7839" s="37">
        <v>7819</v>
      </c>
      <c r="AB7839" s="37">
        <v>1.721845130900425</v>
      </c>
      <c r="AC7839" s="37">
        <v>2.9159319576109093</v>
      </c>
      <c r="AD7839" s="37">
        <v>3.3642970576108961</v>
      </c>
    </row>
    <row r="7840" spans="27:30" x14ac:dyDescent="0.3">
      <c r="AA7840" s="37">
        <v>7820</v>
      </c>
      <c r="AB7840" s="37">
        <v>1.7687106689307455</v>
      </c>
      <c r="AC7840" s="37">
        <v>2.9368660279666496</v>
      </c>
      <c r="AD7840" s="37">
        <v>3.2114822652987729</v>
      </c>
    </row>
    <row r="7841" spans="27:30" x14ac:dyDescent="0.3">
      <c r="AA7841" s="37">
        <v>7821</v>
      </c>
      <c r="AB7841" s="37">
        <v>1.860259806056241</v>
      </c>
      <c r="AC7841" s="37">
        <v>2.758235177630719</v>
      </c>
      <c r="AD7841" s="37">
        <v>3.6834882658915586</v>
      </c>
    </row>
    <row r="7842" spans="27:30" x14ac:dyDescent="0.3">
      <c r="AA7842" s="37">
        <v>7822</v>
      </c>
      <c r="AB7842" s="37">
        <v>1.8441222379938318</v>
      </c>
      <c r="AC7842" s="37">
        <v>2.7341767394147571</v>
      </c>
      <c r="AD7842" s="37">
        <v>3.1606142723499202</v>
      </c>
    </row>
    <row r="7843" spans="27:30" x14ac:dyDescent="0.3">
      <c r="AA7843" s="37">
        <v>7823</v>
      </c>
      <c r="AB7843" s="37">
        <v>1.8700178202011166</v>
      </c>
      <c r="AC7843" s="37">
        <v>2.7402319914519002</v>
      </c>
      <c r="AD7843" s="37">
        <v>3.4676831407791808</v>
      </c>
    </row>
    <row r="7844" spans="27:30" x14ac:dyDescent="0.3">
      <c r="AA7844" s="37">
        <v>7824</v>
      </c>
      <c r="AB7844" s="37">
        <v>1.7715129256694271</v>
      </c>
      <c r="AC7844" s="37">
        <v>2.7920820404732902</v>
      </c>
      <c r="AD7844" s="37">
        <v>3.4303980586351579</v>
      </c>
    </row>
    <row r="7845" spans="27:30" x14ac:dyDescent="0.3">
      <c r="AA7845" s="37">
        <v>7825</v>
      </c>
      <c r="AB7845" s="37">
        <v>1.819422989425679</v>
      </c>
      <c r="AC7845" s="37">
        <v>2.7459515257675253</v>
      </c>
      <c r="AD7845" s="37">
        <v>3.3495248254226335</v>
      </c>
    </row>
    <row r="7846" spans="27:30" x14ac:dyDescent="0.3">
      <c r="AA7846" s="37">
        <v>7826</v>
      </c>
      <c r="AB7846" s="37">
        <v>1.6894828855844812</v>
      </c>
      <c r="AC7846" s="37">
        <v>2.9603530703788263</v>
      </c>
      <c r="AD7846" s="37">
        <v>3.4216768124533079</v>
      </c>
    </row>
    <row r="7847" spans="27:30" x14ac:dyDescent="0.3">
      <c r="AA7847" s="37">
        <v>7827</v>
      </c>
      <c r="AB7847" s="37">
        <v>1.6243152803254539</v>
      </c>
      <c r="AC7847" s="37">
        <v>2.6758874399208792</v>
      </c>
      <c r="AD7847" s="37">
        <v>3.3881386647933236</v>
      </c>
    </row>
    <row r="7848" spans="27:30" x14ac:dyDescent="0.3">
      <c r="AA7848" s="37">
        <v>7828</v>
      </c>
      <c r="AB7848" s="37">
        <v>1.6978784131415798</v>
      </c>
      <c r="AC7848" s="37">
        <v>2.7486639094446286</v>
      </c>
      <c r="AD7848" s="37">
        <v>3.5766824541994193</v>
      </c>
    </row>
    <row r="7849" spans="27:30" x14ac:dyDescent="0.3">
      <c r="AA7849" s="37">
        <v>7829</v>
      </c>
      <c r="AB7849" s="37">
        <v>1.8171095504042822</v>
      </c>
      <c r="AC7849" s="37">
        <v>3.084587012225898</v>
      </c>
      <c r="AD7849" s="37">
        <v>3.3817787924806493</v>
      </c>
    </row>
    <row r="7850" spans="27:30" x14ac:dyDescent="0.3">
      <c r="AA7850" s="37">
        <v>7830</v>
      </c>
      <c r="AB7850" s="37">
        <v>1.8684260657046965</v>
      </c>
      <c r="AC7850" s="37">
        <v>2.715410778901918</v>
      </c>
      <c r="AD7850" s="37">
        <v>3.4922277584572434</v>
      </c>
    </row>
    <row r="7851" spans="27:30" x14ac:dyDescent="0.3">
      <c r="AA7851" s="37">
        <v>7831</v>
      </c>
      <c r="AB7851" s="37">
        <v>1.7183519754751093</v>
      </c>
      <c r="AC7851" s="37">
        <v>2.8458475574776863</v>
      </c>
      <c r="AD7851" s="37">
        <v>3.3140218985324377</v>
      </c>
    </row>
    <row r="7852" spans="27:30" x14ac:dyDescent="0.3">
      <c r="AA7852" s="37">
        <v>7832</v>
      </c>
      <c r="AB7852" s="37">
        <v>1.8102231543199998</v>
      </c>
      <c r="AC7852" s="37">
        <v>3.0567499603910151</v>
      </c>
      <c r="AD7852" s="37">
        <v>3.4752669072020175</v>
      </c>
    </row>
    <row r="7853" spans="27:30" x14ac:dyDescent="0.3">
      <c r="AA7853" s="37">
        <v>7833</v>
      </c>
      <c r="AB7853" s="37">
        <v>1.9188636500527727</v>
      </c>
      <c r="AC7853" s="37">
        <v>3.074284677682154</v>
      </c>
      <c r="AD7853" s="37">
        <v>3.3372931268598149</v>
      </c>
    </row>
    <row r="7854" spans="27:30" x14ac:dyDescent="0.3">
      <c r="AA7854" s="37">
        <v>7834</v>
      </c>
      <c r="AB7854" s="37">
        <v>1.7899663642841004</v>
      </c>
      <c r="AC7854" s="37">
        <v>2.8456720612844659</v>
      </c>
      <c r="AD7854" s="37">
        <v>3.55011193105529</v>
      </c>
    </row>
    <row r="7855" spans="27:30" x14ac:dyDescent="0.3">
      <c r="AA7855" s="37">
        <v>7835</v>
      </c>
      <c r="AB7855" s="37">
        <v>1.805306665583047</v>
      </c>
      <c r="AC7855" s="37">
        <v>2.8807070994832538</v>
      </c>
      <c r="AD7855" s="37">
        <v>3.4646008506775168</v>
      </c>
    </row>
    <row r="7856" spans="27:30" x14ac:dyDescent="0.3">
      <c r="AA7856" s="37">
        <v>7836</v>
      </c>
      <c r="AB7856" s="37">
        <v>1.7447140540764565</v>
      </c>
      <c r="AC7856" s="37">
        <v>2.786651086984747</v>
      </c>
      <c r="AD7856" s="37">
        <v>3.1964597070456757</v>
      </c>
    </row>
    <row r="7857" spans="27:30" x14ac:dyDescent="0.3">
      <c r="AA7857" s="37">
        <v>7837</v>
      </c>
      <c r="AB7857" s="37">
        <v>1.7835637992095006</v>
      </c>
      <c r="AC7857" s="37">
        <v>2.992831011883164</v>
      </c>
      <c r="AD7857" s="37">
        <v>3.4123932364495744</v>
      </c>
    </row>
    <row r="7858" spans="27:30" x14ac:dyDescent="0.3">
      <c r="AA7858" s="37">
        <v>7838</v>
      </c>
      <c r="AB7858" s="37">
        <v>1.8390062122320716</v>
      </c>
      <c r="AC7858" s="37">
        <v>2.7837995819946748</v>
      </c>
      <c r="AD7858" s="37">
        <v>3.1691172814630906</v>
      </c>
    </row>
    <row r="7859" spans="27:30" x14ac:dyDescent="0.3">
      <c r="AA7859" s="37">
        <v>7839</v>
      </c>
      <c r="AB7859" s="37">
        <v>1.7247954481106615</v>
      </c>
      <c r="AC7859" s="37">
        <v>3.0103521203313788</v>
      </c>
      <c r="AD7859" s="37">
        <v>3.1483209465690352</v>
      </c>
    </row>
    <row r="7860" spans="27:30" x14ac:dyDescent="0.3">
      <c r="AA7860" s="37">
        <v>7840</v>
      </c>
      <c r="AB7860" s="37">
        <v>1.7524876004650707</v>
      </c>
      <c r="AC7860" s="37">
        <v>2.8595722428715882</v>
      </c>
      <c r="AD7860" s="37">
        <v>3.2422484085493344</v>
      </c>
    </row>
    <row r="7861" spans="27:30" x14ac:dyDescent="0.3">
      <c r="AA7861" s="37">
        <v>7841</v>
      </c>
      <c r="AB7861" s="37">
        <v>1.809124510696406</v>
      </c>
      <c r="AC7861" s="37">
        <v>2.9756725277543477</v>
      </c>
      <c r="AD7861" s="37">
        <v>3.3527635343125057</v>
      </c>
    </row>
    <row r="7862" spans="27:30" x14ac:dyDescent="0.3">
      <c r="AA7862" s="37">
        <v>7842</v>
      </c>
      <c r="AB7862" s="37">
        <v>1.7904255145442007</v>
      </c>
      <c r="AC7862" s="37">
        <v>2.9199331630491399</v>
      </c>
      <c r="AD7862" s="37">
        <v>3.2578252347408627</v>
      </c>
    </row>
    <row r="7863" spans="27:30" x14ac:dyDescent="0.3">
      <c r="AA7863" s="37">
        <v>7843</v>
      </c>
      <c r="AB7863" s="37">
        <v>1.7416093354708408</v>
      </c>
      <c r="AC7863" s="37">
        <v>2.8058226296431776</v>
      </c>
      <c r="AD7863" s="37">
        <v>3.0680661930683732</v>
      </c>
    </row>
    <row r="7864" spans="27:30" x14ac:dyDescent="0.3">
      <c r="AA7864" s="37">
        <v>7844</v>
      </c>
      <c r="AB7864" s="37">
        <v>1.8183592504204482</v>
      </c>
      <c r="AC7864" s="37">
        <v>2.6386593974850441</v>
      </c>
      <c r="AD7864" s="37">
        <v>3.3884437231163518</v>
      </c>
    </row>
    <row r="7865" spans="27:30" x14ac:dyDescent="0.3">
      <c r="AA7865" s="37">
        <v>7845</v>
      </c>
      <c r="AB7865" s="37">
        <v>1.812513361364867</v>
      </c>
      <c r="AC7865" s="37">
        <v>2.9530563612109697</v>
      </c>
      <c r="AD7865" s="37">
        <v>3.4471322312342041</v>
      </c>
    </row>
    <row r="7866" spans="27:30" x14ac:dyDescent="0.3">
      <c r="AA7866" s="37">
        <v>7846</v>
      </c>
      <c r="AB7866" s="37">
        <v>1.7378922441533269</v>
      </c>
      <c r="AC7866" s="37">
        <v>3.0373450461555862</v>
      </c>
      <c r="AD7866" s="37">
        <v>3.3511885239537924</v>
      </c>
    </row>
    <row r="7867" spans="27:30" x14ac:dyDescent="0.3">
      <c r="AA7867" s="37">
        <v>7847</v>
      </c>
      <c r="AB7867" s="37">
        <v>1.7267074734079872</v>
      </c>
      <c r="AC7867" s="37">
        <v>2.9248291849535284</v>
      </c>
      <c r="AD7867" s="37">
        <v>3.1532186551775574</v>
      </c>
    </row>
    <row r="7868" spans="27:30" x14ac:dyDescent="0.3">
      <c r="AA7868" s="37">
        <v>7848</v>
      </c>
      <c r="AB7868" s="37">
        <v>1.8799686245288356</v>
      </c>
      <c r="AC7868" s="37">
        <v>2.7533077322916437</v>
      </c>
      <c r="AD7868" s="37">
        <v>3.4046736028766098</v>
      </c>
    </row>
    <row r="7869" spans="27:30" x14ac:dyDescent="0.3">
      <c r="AA7869" s="37">
        <v>7849</v>
      </c>
      <c r="AB7869" s="37">
        <v>1.7991465938260971</v>
      </c>
      <c r="AC7869" s="37">
        <v>2.9020894734928797</v>
      </c>
      <c r="AD7869" s="37">
        <v>3.4625305402318833</v>
      </c>
    </row>
    <row r="7870" spans="27:30" x14ac:dyDescent="0.3">
      <c r="AA7870" s="37">
        <v>7850</v>
      </c>
      <c r="AB7870" s="37">
        <v>1.8091761986990893</v>
      </c>
      <c r="AC7870" s="37">
        <v>2.8659738250365625</v>
      </c>
      <c r="AD7870" s="37">
        <v>3.2234472578746312</v>
      </c>
    </row>
    <row r="7871" spans="27:30" x14ac:dyDescent="0.3">
      <c r="AA7871" s="37">
        <v>7851</v>
      </c>
      <c r="AB7871" s="37">
        <v>1.868119734305403</v>
      </c>
      <c r="AC7871" s="37">
        <v>2.8891692886479055</v>
      </c>
      <c r="AD7871" s="37">
        <v>3.3135298947075134</v>
      </c>
    </row>
    <row r="7872" spans="27:30" x14ac:dyDescent="0.3">
      <c r="AA7872" s="37">
        <v>7852</v>
      </c>
      <c r="AB7872" s="37">
        <v>1.8461139511668441</v>
      </c>
      <c r="AC7872" s="37">
        <v>3.0001946353214204</v>
      </c>
      <c r="AD7872" s="37">
        <v>3.1897085004857857</v>
      </c>
    </row>
    <row r="7873" spans="27:30" x14ac:dyDescent="0.3">
      <c r="AA7873" s="37">
        <v>7853</v>
      </c>
      <c r="AB7873" s="37">
        <v>1.8197093992283699</v>
      </c>
      <c r="AC7873" s="37">
        <v>2.8515281060947846</v>
      </c>
      <c r="AD7873" s="37">
        <v>3.3431570877398626</v>
      </c>
    </row>
    <row r="7874" spans="27:30" x14ac:dyDescent="0.3">
      <c r="AA7874" s="37">
        <v>7854</v>
      </c>
      <c r="AB7874" s="37">
        <v>1.706501040502205</v>
      </c>
      <c r="AC7874" s="37">
        <v>2.749996549142014</v>
      </c>
      <c r="AD7874" s="37">
        <v>3.2799667761858888</v>
      </c>
    </row>
    <row r="7875" spans="27:30" x14ac:dyDescent="0.3">
      <c r="AA7875" s="37">
        <v>7855</v>
      </c>
      <c r="AB7875" s="37">
        <v>1.7555627123516635</v>
      </c>
      <c r="AC7875" s="37">
        <v>2.8990074602639737</v>
      </c>
      <c r="AD7875" s="37">
        <v>3.193945768206186</v>
      </c>
    </row>
    <row r="7876" spans="27:30" x14ac:dyDescent="0.3">
      <c r="AA7876" s="37">
        <v>7856</v>
      </c>
      <c r="AB7876" s="37">
        <v>1.6471909992929501</v>
      </c>
      <c r="AC7876" s="37">
        <v>2.9068793659478271</v>
      </c>
      <c r="AD7876" s="37">
        <v>3.1731889954414885</v>
      </c>
    </row>
    <row r="7877" spans="27:30" x14ac:dyDescent="0.3">
      <c r="AA7877" s="37">
        <v>7857</v>
      </c>
      <c r="AB7877" s="37">
        <v>1.6889789760930725</v>
      </c>
      <c r="AC7877" s="37">
        <v>2.6320687266395995</v>
      </c>
      <c r="AD7877" s="37">
        <v>3.255562341801665</v>
      </c>
    </row>
    <row r="7878" spans="27:30" x14ac:dyDescent="0.3">
      <c r="AA7878" s="37">
        <v>7858</v>
      </c>
      <c r="AB7878" s="37">
        <v>1.7719469831593733</v>
      </c>
      <c r="AC7878" s="37">
        <v>2.7692403925199107</v>
      </c>
      <c r="AD7878" s="37">
        <v>3.2644897579970049</v>
      </c>
    </row>
    <row r="7879" spans="27:30" x14ac:dyDescent="0.3">
      <c r="AA7879" s="37">
        <v>7859</v>
      </c>
      <c r="AB7879" s="37">
        <v>1.7902780210166866</v>
      </c>
      <c r="AC7879" s="37">
        <v>2.8455443020459543</v>
      </c>
      <c r="AD7879" s="37">
        <v>3.1489752096261561</v>
      </c>
    </row>
    <row r="7880" spans="27:30" x14ac:dyDescent="0.3">
      <c r="AA7880" s="37">
        <v>7860</v>
      </c>
      <c r="AB7880" s="37">
        <v>1.7477100725162094</v>
      </c>
      <c r="AC7880" s="37">
        <v>2.8582457746914778</v>
      </c>
      <c r="AD7880" s="37">
        <v>3.3230607145833595</v>
      </c>
    </row>
    <row r="7881" spans="27:30" x14ac:dyDescent="0.3">
      <c r="AA7881" s="37">
        <v>7861</v>
      </c>
      <c r="AB7881" s="37">
        <v>1.8961085808211602</v>
      </c>
      <c r="AC7881" s="37">
        <v>3.0705581072438748</v>
      </c>
      <c r="AD7881" s="37">
        <v>3.4286112011384824</v>
      </c>
    </row>
    <row r="7882" spans="27:30" x14ac:dyDescent="0.3">
      <c r="AA7882" s="37">
        <v>7862</v>
      </c>
      <c r="AB7882" s="37">
        <v>1.7461585040618997</v>
      </c>
      <c r="AC7882" s="37">
        <v>2.8643510831375427</v>
      </c>
      <c r="AD7882" s="37">
        <v>3.3376654263247985</v>
      </c>
    </row>
    <row r="7883" spans="27:30" x14ac:dyDescent="0.3">
      <c r="AA7883" s="37">
        <v>7863</v>
      </c>
      <c r="AB7883" s="37">
        <v>1.8096283759833631</v>
      </c>
      <c r="AC7883" s="37">
        <v>2.6709036560501147</v>
      </c>
      <c r="AD7883" s="37">
        <v>3.329851345513525</v>
      </c>
    </row>
    <row r="7884" spans="27:30" x14ac:dyDescent="0.3">
      <c r="AA7884" s="37">
        <v>7864</v>
      </c>
      <c r="AB7884" s="37">
        <v>1.8052313061641561</v>
      </c>
      <c r="AC7884" s="37">
        <v>3.0847761069019888</v>
      </c>
      <c r="AD7884" s="37">
        <v>3.5023517818152214</v>
      </c>
    </row>
    <row r="7885" spans="27:30" x14ac:dyDescent="0.3">
      <c r="AA7885" s="37">
        <v>7865</v>
      </c>
      <c r="AB7885" s="37">
        <v>1.7983734738017738</v>
      </c>
      <c r="AC7885" s="37">
        <v>2.5904975874045868</v>
      </c>
      <c r="AD7885" s="37">
        <v>3.6228097522641702</v>
      </c>
    </row>
    <row r="7886" spans="27:30" x14ac:dyDescent="0.3">
      <c r="AA7886" s="37">
        <v>7866</v>
      </c>
      <c r="AB7886" s="37">
        <v>1.7791862889965731</v>
      </c>
      <c r="AC7886" s="37">
        <v>2.7224775441787501</v>
      </c>
      <c r="AD7886" s="37">
        <v>3.3789739918730337</v>
      </c>
    </row>
    <row r="7887" spans="27:30" x14ac:dyDescent="0.3">
      <c r="AA7887" s="37">
        <v>7867</v>
      </c>
      <c r="AB7887" s="37">
        <v>1.7345884400468008</v>
      </c>
      <c r="AC7887" s="37">
        <v>2.9007648258248548</v>
      </c>
      <c r="AD7887" s="37">
        <v>3.4981235579606809</v>
      </c>
    </row>
    <row r="7888" spans="27:30" x14ac:dyDescent="0.3">
      <c r="AA7888" s="37">
        <v>7868</v>
      </c>
      <c r="AB7888" s="37">
        <v>1.8501343828221462</v>
      </c>
      <c r="AC7888" s="37">
        <v>2.9840511724847256</v>
      </c>
      <c r="AD7888" s="37">
        <v>3.3246800433475419</v>
      </c>
    </row>
    <row r="7889" spans="27:30" x14ac:dyDescent="0.3">
      <c r="AA7889" s="37">
        <v>7869</v>
      </c>
      <c r="AB7889" s="37">
        <v>1.7202935416305558</v>
      </c>
      <c r="AC7889" s="37">
        <v>2.9295973632046048</v>
      </c>
      <c r="AD7889" s="37">
        <v>3.337993010849261</v>
      </c>
    </row>
    <row r="7890" spans="27:30" x14ac:dyDescent="0.3">
      <c r="AA7890" s="37">
        <v>7870</v>
      </c>
      <c r="AB7890" s="37">
        <v>1.7053628510207066</v>
      </c>
      <c r="AC7890" s="37">
        <v>3.0799193157662579</v>
      </c>
      <c r="AD7890" s="37">
        <v>3.4007757805716539</v>
      </c>
    </row>
    <row r="7891" spans="27:30" x14ac:dyDescent="0.3">
      <c r="AA7891" s="37">
        <v>7871</v>
      </c>
      <c r="AB7891" s="37">
        <v>1.8598194063726148</v>
      </c>
      <c r="AC7891" s="37">
        <v>2.7226431378578</v>
      </c>
      <c r="AD7891" s="37">
        <v>3.3453875189030922</v>
      </c>
    </row>
    <row r="7892" spans="27:30" x14ac:dyDescent="0.3">
      <c r="AA7892" s="37">
        <v>7872</v>
      </c>
      <c r="AB7892" s="37">
        <v>1.8189765862513469</v>
      </c>
      <c r="AC7892" s="37">
        <v>2.8964204482787075</v>
      </c>
      <c r="AD7892" s="37">
        <v>3.5586057694098066</v>
      </c>
    </row>
    <row r="7893" spans="27:30" x14ac:dyDescent="0.3">
      <c r="AA7893" s="37">
        <v>7873</v>
      </c>
      <c r="AB7893" s="37">
        <v>1.7764448277105018</v>
      </c>
      <c r="AC7893" s="37">
        <v>3.1087385360092421</v>
      </c>
      <c r="AD7893" s="37">
        <v>3.2262926170385637</v>
      </c>
    </row>
    <row r="7894" spans="27:30" x14ac:dyDescent="0.3">
      <c r="AA7894" s="37">
        <v>7874</v>
      </c>
      <c r="AB7894" s="37">
        <v>1.6988643250106923</v>
      </c>
      <c r="AC7894" s="37">
        <v>2.723378454673365</v>
      </c>
      <c r="AD7894" s="37">
        <v>3.4728244101209098</v>
      </c>
    </row>
    <row r="7895" spans="27:30" x14ac:dyDescent="0.3">
      <c r="AA7895" s="37">
        <v>7875</v>
      </c>
      <c r="AB7895" s="37">
        <v>1.7826143895641229</v>
      </c>
      <c r="AC7895" s="37">
        <v>2.8134898031655009</v>
      </c>
      <c r="AD7895" s="37">
        <v>3.5086469790118135</v>
      </c>
    </row>
    <row r="7896" spans="27:30" x14ac:dyDescent="0.3">
      <c r="AA7896" s="37">
        <v>7876</v>
      </c>
      <c r="AB7896" s="37">
        <v>1.7626068952671212</v>
      </c>
      <c r="AC7896" s="37">
        <v>3.0716195871891019</v>
      </c>
      <c r="AD7896" s="37">
        <v>3.3046339079739826</v>
      </c>
    </row>
    <row r="7897" spans="27:30" x14ac:dyDescent="0.3">
      <c r="AA7897" s="37">
        <v>7877</v>
      </c>
      <c r="AB7897" s="37">
        <v>1.7737070561812116</v>
      </c>
      <c r="AC7897" s="37">
        <v>2.79816687849479</v>
      </c>
      <c r="AD7897" s="37">
        <v>3.4346009514634379</v>
      </c>
    </row>
    <row r="7898" spans="27:30" x14ac:dyDescent="0.3">
      <c r="AA7898" s="37">
        <v>7878</v>
      </c>
      <c r="AB7898" s="37">
        <v>1.7432426671825807</v>
      </c>
      <c r="AC7898" s="37">
        <v>2.9429035187277814</v>
      </c>
      <c r="AD7898" s="37">
        <v>3.1541937938033127</v>
      </c>
    </row>
    <row r="7899" spans="27:30" x14ac:dyDescent="0.3">
      <c r="AA7899" s="37">
        <v>7879</v>
      </c>
      <c r="AB7899" s="37">
        <v>1.8459859795560607</v>
      </c>
      <c r="AC7899" s="37">
        <v>3.0690377216520504</v>
      </c>
      <c r="AD7899" s="37">
        <v>3.4630468863253729</v>
      </c>
    </row>
    <row r="7900" spans="27:30" x14ac:dyDescent="0.3">
      <c r="AA7900" s="37">
        <v>7880</v>
      </c>
      <c r="AB7900" s="37">
        <v>1.710306541327516</v>
      </c>
      <c r="AC7900" s="37">
        <v>2.8095380202574001</v>
      </c>
      <c r="AD7900" s="37">
        <v>3.4295156875486028</v>
      </c>
    </row>
    <row r="7901" spans="27:30" x14ac:dyDescent="0.3">
      <c r="AA7901" s="37">
        <v>7881</v>
      </c>
      <c r="AB7901" s="37">
        <v>1.851079255150013</v>
      </c>
      <c r="AC7901" s="37">
        <v>2.8446174004145703</v>
      </c>
      <c r="AD7901" s="37">
        <v>3.2761977015409331</v>
      </c>
    </row>
    <row r="7902" spans="27:30" x14ac:dyDescent="0.3">
      <c r="AA7902" s="37">
        <v>7882</v>
      </c>
      <c r="AB7902" s="37">
        <v>1.7707760927717304</v>
      </c>
      <c r="AC7902" s="37">
        <v>2.7473507523756293</v>
      </c>
      <c r="AD7902" s="37">
        <v>3.2059126684501305</v>
      </c>
    </row>
    <row r="7903" spans="27:30" x14ac:dyDescent="0.3">
      <c r="AA7903" s="37">
        <v>7883</v>
      </c>
      <c r="AB7903" s="37">
        <v>1.8243319640686291</v>
      </c>
      <c r="AC7903" s="37">
        <v>2.8467461365582549</v>
      </c>
      <c r="AD7903" s="37">
        <v>3.2485989607604449</v>
      </c>
    </row>
    <row r="7904" spans="27:30" x14ac:dyDescent="0.3">
      <c r="AA7904" s="37">
        <v>7884</v>
      </c>
      <c r="AB7904" s="37">
        <v>1.7540489650073205</v>
      </c>
      <c r="AC7904" s="37">
        <v>3.0068429598743531</v>
      </c>
      <c r="AD7904" s="37">
        <v>3.313310208370523</v>
      </c>
    </row>
    <row r="7905" spans="27:30" x14ac:dyDescent="0.3">
      <c r="AA7905" s="37">
        <v>7885</v>
      </c>
      <c r="AB7905" s="37">
        <v>1.7893772534950434</v>
      </c>
      <c r="AC7905" s="37">
        <v>2.7720936030343459</v>
      </c>
      <c r="AD7905" s="37">
        <v>3.3591323481541968</v>
      </c>
    </row>
    <row r="7906" spans="27:30" x14ac:dyDescent="0.3">
      <c r="AA7906" s="37">
        <v>7886</v>
      </c>
      <c r="AB7906" s="37">
        <v>1.8623638413264729</v>
      </c>
      <c r="AC7906" s="37">
        <v>2.9857255190814853</v>
      </c>
      <c r="AD7906" s="37">
        <v>3.6177585748400554</v>
      </c>
    </row>
    <row r="7907" spans="27:30" x14ac:dyDescent="0.3">
      <c r="AA7907" s="37">
        <v>7887</v>
      </c>
      <c r="AB7907" s="37">
        <v>1.6980902163647584</v>
      </c>
      <c r="AC7907" s="37">
        <v>3.0252962564328612</v>
      </c>
      <c r="AD7907" s="37">
        <v>3.3685439957437748</v>
      </c>
    </row>
    <row r="7908" spans="27:30" x14ac:dyDescent="0.3">
      <c r="AA7908" s="37">
        <v>7888</v>
      </c>
      <c r="AB7908" s="37">
        <v>1.7906423178673878</v>
      </c>
      <c r="AC7908" s="37">
        <v>2.8976925325393408</v>
      </c>
      <c r="AD7908" s="37">
        <v>3.2993071592192771</v>
      </c>
    </row>
    <row r="7909" spans="27:30" x14ac:dyDescent="0.3">
      <c r="AA7909" s="37">
        <v>7889</v>
      </c>
      <c r="AB7909" s="37">
        <v>1.7640000414863759</v>
      </c>
      <c r="AC7909" s="37">
        <v>2.7992657626291018</v>
      </c>
      <c r="AD7909" s="37">
        <v>3.1877502859041282</v>
      </c>
    </row>
    <row r="7910" spans="27:30" x14ac:dyDescent="0.3">
      <c r="AA7910" s="37">
        <v>7890</v>
      </c>
      <c r="AB7910" s="37">
        <v>1.7922274739745756</v>
      </c>
      <c r="AC7910" s="37">
        <v>2.8443835213723658</v>
      </c>
      <c r="AD7910" s="37">
        <v>3.4132727487912478</v>
      </c>
    </row>
    <row r="7911" spans="27:30" x14ac:dyDescent="0.3">
      <c r="AA7911" s="37">
        <v>7891</v>
      </c>
      <c r="AB7911" s="37">
        <v>1.8616048164367203</v>
      </c>
      <c r="AC7911" s="37">
        <v>2.8352931304447964</v>
      </c>
      <c r="AD7911" s="37">
        <v>3.0175618322562907</v>
      </c>
    </row>
    <row r="7912" spans="27:30" x14ac:dyDescent="0.3">
      <c r="AA7912" s="37">
        <v>7892</v>
      </c>
      <c r="AB7912" s="37">
        <v>1.7828668650252</v>
      </c>
      <c r="AC7912" s="37">
        <v>2.9155397137042112</v>
      </c>
      <c r="AD7912" s="37">
        <v>3.2712906655451475</v>
      </c>
    </row>
    <row r="7913" spans="27:30" x14ac:dyDescent="0.3">
      <c r="AA7913" s="37">
        <v>7893</v>
      </c>
      <c r="AB7913" s="37">
        <v>1.7309064052597001</v>
      </c>
      <c r="AC7913" s="37">
        <v>2.6621913604337677</v>
      </c>
      <c r="AD7913" s="37">
        <v>3.2291746401935395</v>
      </c>
    </row>
    <row r="7914" spans="27:30" x14ac:dyDescent="0.3">
      <c r="AA7914" s="37">
        <v>7894</v>
      </c>
      <c r="AB7914" s="37">
        <v>1.8352075145034106</v>
      </c>
      <c r="AC7914" s="37">
        <v>2.6252237470611175</v>
      </c>
      <c r="AD7914" s="37">
        <v>3.4588406042527677</v>
      </c>
    </row>
    <row r="7915" spans="27:30" x14ac:dyDescent="0.3">
      <c r="AA7915" s="37">
        <v>7895</v>
      </c>
      <c r="AB7915" s="37">
        <v>1.7946952553117121</v>
      </c>
      <c r="AC7915" s="37">
        <v>3.0540796200475224</v>
      </c>
      <c r="AD7915" s="37">
        <v>3.3016548265639059</v>
      </c>
    </row>
    <row r="7916" spans="27:30" x14ac:dyDescent="0.3">
      <c r="AA7916" s="37">
        <v>7896</v>
      </c>
      <c r="AB7916" s="37">
        <v>1.8219006740451342</v>
      </c>
      <c r="AC7916" s="37">
        <v>2.7452558137340799</v>
      </c>
      <c r="AD7916" s="37">
        <v>3.3352690472522966</v>
      </c>
    </row>
    <row r="7917" spans="27:30" x14ac:dyDescent="0.3">
      <c r="AA7917" s="37">
        <v>7897</v>
      </c>
      <c r="AB7917" s="37">
        <v>1.8834025828596324</v>
      </c>
      <c r="AC7917" s="37">
        <v>2.7476802738326067</v>
      </c>
      <c r="AD7917" s="37">
        <v>3.307063834946494</v>
      </c>
    </row>
    <row r="7918" spans="27:30" x14ac:dyDescent="0.3">
      <c r="AA7918" s="37">
        <v>7898</v>
      </c>
      <c r="AB7918" s="37">
        <v>1.7371175493820286</v>
      </c>
      <c r="AC7918" s="37">
        <v>2.7753783842714568</v>
      </c>
      <c r="AD7918" s="37">
        <v>3.3726902989775613</v>
      </c>
    </row>
    <row r="7919" spans="27:30" x14ac:dyDescent="0.3">
      <c r="AA7919" s="37">
        <v>7899</v>
      </c>
      <c r="AB7919" s="37">
        <v>1.644970807601404</v>
      </c>
      <c r="AC7919" s="37">
        <v>2.7983151730168232</v>
      </c>
      <c r="AD7919" s="37">
        <v>3.5071787904180609</v>
      </c>
    </row>
    <row r="7920" spans="27:30" x14ac:dyDescent="0.3">
      <c r="AA7920" s="37">
        <v>7900</v>
      </c>
      <c r="AB7920" s="37">
        <v>1.8997208861455306</v>
      </c>
      <c r="AC7920" s="37">
        <v>2.7208434893890496</v>
      </c>
      <c r="AD7920" s="37">
        <v>3.1173522151278088</v>
      </c>
    </row>
    <row r="7921" spans="27:30" x14ac:dyDescent="0.3">
      <c r="AA7921" s="37">
        <v>7901</v>
      </c>
      <c r="AB7921" s="37">
        <v>1.7799100366576814</v>
      </c>
      <c r="AC7921" s="37">
        <v>2.7262142248671166</v>
      </c>
      <c r="AD7921" s="37">
        <v>3.4536105164906563</v>
      </c>
    </row>
    <row r="7922" spans="27:30" x14ac:dyDescent="0.3">
      <c r="AA7922" s="37">
        <v>7902</v>
      </c>
      <c r="AB7922" s="37">
        <v>1.8853814292296058</v>
      </c>
      <c r="AC7922" s="37">
        <v>2.883663451714658</v>
      </c>
      <c r="AD7922" s="37">
        <v>3.4388644430063668</v>
      </c>
    </row>
    <row r="7923" spans="27:30" x14ac:dyDescent="0.3">
      <c r="AA7923" s="37">
        <v>7903</v>
      </c>
      <c r="AB7923" s="37">
        <v>1.875206261274047</v>
      </c>
      <c r="AC7923" s="37">
        <v>2.8933723274539687</v>
      </c>
      <c r="AD7923" s="37">
        <v>3.2663930333872684</v>
      </c>
    </row>
    <row r="7924" spans="27:30" x14ac:dyDescent="0.3">
      <c r="AA7924" s="37">
        <v>7904</v>
      </c>
      <c r="AB7924" s="37">
        <v>1.7920277838282781</v>
      </c>
      <c r="AC7924" s="37">
        <v>2.9025818032658557</v>
      </c>
      <c r="AD7924" s="37">
        <v>3.494345812967762</v>
      </c>
    </row>
    <row r="7925" spans="27:30" x14ac:dyDescent="0.3">
      <c r="AA7925" s="37">
        <v>7905</v>
      </c>
      <c r="AB7925" s="37">
        <v>1.7662960388218656</v>
      </c>
      <c r="AC7925" s="37">
        <v>2.9290337512827858</v>
      </c>
      <c r="AD7925" s="37">
        <v>3.5602588286697148</v>
      </c>
    </row>
    <row r="7926" spans="27:30" x14ac:dyDescent="0.3">
      <c r="AA7926" s="37">
        <v>7906</v>
      </c>
      <c r="AB7926" s="37">
        <v>1.9361148746643675</v>
      </c>
      <c r="AC7926" s="37">
        <v>2.8927691886164806</v>
      </c>
      <c r="AD7926" s="37">
        <v>3.1188124231358536</v>
      </c>
    </row>
    <row r="7927" spans="27:30" x14ac:dyDescent="0.3">
      <c r="AA7927" s="37">
        <v>7907</v>
      </c>
      <c r="AB7927" s="37">
        <v>1.7053983346194526</v>
      </c>
      <c r="AC7927" s="37">
        <v>2.9769100573092877</v>
      </c>
      <c r="AD7927" s="37">
        <v>3.2489483734993492</v>
      </c>
    </row>
    <row r="7928" spans="27:30" x14ac:dyDescent="0.3">
      <c r="AA7928" s="37">
        <v>7908</v>
      </c>
      <c r="AB7928" s="37">
        <v>1.9384008378224991</v>
      </c>
      <c r="AC7928" s="37">
        <v>2.8221465266635231</v>
      </c>
      <c r="AD7928" s="37">
        <v>3.303607859354575</v>
      </c>
    </row>
    <row r="7929" spans="27:30" x14ac:dyDescent="0.3">
      <c r="AA7929" s="37">
        <v>7909</v>
      </c>
      <c r="AB7929" s="37">
        <v>1.7936272275602256</v>
      </c>
      <c r="AC7929" s="37">
        <v>2.8909831913021571</v>
      </c>
      <c r="AD7929" s="37">
        <v>3.4252052919844624</v>
      </c>
    </row>
    <row r="7930" spans="27:30" x14ac:dyDescent="0.3">
      <c r="AA7930" s="37">
        <v>7910</v>
      </c>
      <c r="AB7930" s="37">
        <v>1.8657915280174036</v>
      </c>
      <c r="AC7930" s="37">
        <v>2.8610476067023027</v>
      </c>
      <c r="AD7930" s="37">
        <v>3.2894690300093967</v>
      </c>
    </row>
    <row r="7931" spans="27:30" x14ac:dyDescent="0.3">
      <c r="AA7931" s="37">
        <v>7911</v>
      </c>
      <c r="AB7931" s="37">
        <v>1.6663556832479522</v>
      </c>
      <c r="AC7931" s="37">
        <v>2.9548030928338416</v>
      </c>
      <c r="AD7931" s="37">
        <v>3.4461222629675028</v>
      </c>
    </row>
    <row r="7932" spans="27:30" x14ac:dyDescent="0.3">
      <c r="AA7932" s="37">
        <v>7912</v>
      </c>
      <c r="AB7932" s="37">
        <v>1.7498137492588279</v>
      </c>
      <c r="AC7932" s="37">
        <v>2.751031773848835</v>
      </c>
      <c r="AD7932" s="37">
        <v>3.1172177765724323</v>
      </c>
    </row>
    <row r="7933" spans="27:30" x14ac:dyDescent="0.3">
      <c r="AA7933" s="37">
        <v>7913</v>
      </c>
      <c r="AB7933" s="37">
        <v>1.7034970950042299</v>
      </c>
      <c r="AC7933" s="37">
        <v>3.0416778698849338</v>
      </c>
      <c r="AD7933" s="37">
        <v>3.4847981226600107</v>
      </c>
    </row>
    <row r="7934" spans="27:30" x14ac:dyDescent="0.3">
      <c r="AA7934" s="37">
        <v>7914</v>
      </c>
      <c r="AB7934" s="37">
        <v>1.8709348651556068</v>
      </c>
      <c r="AC7934" s="37">
        <v>3.0371455177026396</v>
      </c>
      <c r="AD7934" s="37">
        <v>3.2937584579184436</v>
      </c>
    </row>
    <row r="7935" spans="27:30" x14ac:dyDescent="0.3">
      <c r="AA7935" s="37">
        <v>7915</v>
      </c>
      <c r="AB7935" s="37">
        <v>1.8556588233280722</v>
      </c>
      <c r="AC7935" s="37">
        <v>2.7409119903393298</v>
      </c>
      <c r="AD7935" s="37">
        <v>3.4002838938341693</v>
      </c>
    </row>
    <row r="7936" spans="27:30" x14ac:dyDescent="0.3">
      <c r="AA7936" s="37">
        <v>7916</v>
      </c>
      <c r="AB7936" s="37">
        <v>1.8418186295231327</v>
      </c>
      <c r="AC7936" s="37">
        <v>2.9090048779114985</v>
      </c>
      <c r="AD7936" s="37">
        <v>3.3050115039902761</v>
      </c>
    </row>
    <row r="7937" spans="27:30" x14ac:dyDescent="0.3">
      <c r="AA7937" s="37">
        <v>7917</v>
      </c>
      <c r="AB7937" s="37">
        <v>1.7336893601644412</v>
      </c>
      <c r="AC7937" s="37">
        <v>2.7591102501530318</v>
      </c>
      <c r="AD7937" s="37">
        <v>3.2365733238103678</v>
      </c>
    </row>
    <row r="7938" spans="27:30" x14ac:dyDescent="0.3">
      <c r="AA7938" s="37">
        <v>7918</v>
      </c>
      <c r="AB7938" s="37">
        <v>1.8013050780780198</v>
      </c>
      <c r="AC7938" s="37">
        <v>2.9784111792106946</v>
      </c>
      <c r="AD7938" s="37">
        <v>3.1167082497710297</v>
      </c>
    </row>
    <row r="7939" spans="27:30" x14ac:dyDescent="0.3">
      <c r="AA7939" s="37">
        <v>7919</v>
      </c>
      <c r="AB7939" s="37">
        <v>1.7117988412222964</v>
      </c>
      <c r="AC7939" s="37">
        <v>2.9035102412644713</v>
      </c>
      <c r="AD7939" s="37">
        <v>3.2993376080736692</v>
      </c>
    </row>
    <row r="7940" spans="27:30" x14ac:dyDescent="0.3">
      <c r="AA7940" s="37">
        <v>7920</v>
      </c>
      <c r="AB7940" s="37">
        <v>1.7528794893010071</v>
      </c>
      <c r="AC7940" s="37">
        <v>2.8053023735953553</v>
      </c>
      <c r="AD7940" s="37">
        <v>3.5897483900296105</v>
      </c>
    </row>
    <row r="7941" spans="27:30" x14ac:dyDescent="0.3">
      <c r="AA7941" s="37">
        <v>7921</v>
      </c>
      <c r="AB7941" s="37">
        <v>1.7819219294754529</v>
      </c>
      <c r="AC7941" s="37">
        <v>3.0233554503968638</v>
      </c>
      <c r="AD7941" s="37">
        <v>3.3817667643521587</v>
      </c>
    </row>
    <row r="7942" spans="27:30" x14ac:dyDescent="0.3">
      <c r="AA7942" s="37">
        <v>7922</v>
      </c>
      <c r="AB7942" s="37">
        <v>1.8464084033219104</v>
      </c>
      <c r="AC7942" s="37">
        <v>2.8011539842421369</v>
      </c>
      <c r="AD7942" s="37">
        <v>3.4119045594139625</v>
      </c>
    </row>
    <row r="7943" spans="27:30" x14ac:dyDescent="0.3">
      <c r="AA7943" s="37">
        <v>7923</v>
      </c>
      <c r="AB7943" s="37">
        <v>1.7496295254730578</v>
      </c>
      <c r="AC7943" s="37">
        <v>2.8528990828598704</v>
      </c>
      <c r="AD7943" s="37">
        <v>3.3876430352741784</v>
      </c>
    </row>
    <row r="7944" spans="27:30" x14ac:dyDescent="0.3">
      <c r="AA7944" s="37">
        <v>7924</v>
      </c>
      <c r="AB7944" s="37">
        <v>1.8101177235406967</v>
      </c>
      <c r="AC7944" s="37">
        <v>2.9220256506805979</v>
      </c>
      <c r="AD7944" s="37">
        <v>3.5194529095757199</v>
      </c>
    </row>
    <row r="7945" spans="27:30" x14ac:dyDescent="0.3">
      <c r="AA7945" s="37">
        <v>7925</v>
      </c>
      <c r="AB7945" s="37">
        <v>1.8266728879488325</v>
      </c>
      <c r="AC7945" s="37">
        <v>2.9616878643801479</v>
      </c>
      <c r="AD7945" s="37">
        <v>3.4082693924264231</v>
      </c>
    </row>
    <row r="7946" spans="27:30" x14ac:dyDescent="0.3">
      <c r="AA7946" s="37">
        <v>7926</v>
      </c>
      <c r="AB7946" s="37">
        <v>1.7475584493917349</v>
      </c>
      <c r="AC7946" s="37">
        <v>2.9269009386374747</v>
      </c>
      <c r="AD7946" s="37">
        <v>3.6748713140587403</v>
      </c>
    </row>
    <row r="7947" spans="27:30" x14ac:dyDescent="0.3">
      <c r="AA7947" s="37">
        <v>7927</v>
      </c>
      <c r="AB7947" s="37">
        <v>1.7811308847619343</v>
      </c>
      <c r="AC7947" s="37">
        <v>2.8009139316800029</v>
      </c>
      <c r="AD7947" s="37">
        <v>3.2920773516030506</v>
      </c>
    </row>
    <row r="7948" spans="27:30" x14ac:dyDescent="0.3">
      <c r="AA7948" s="37">
        <v>7928</v>
      </c>
      <c r="AB7948" s="37">
        <v>1.735038627254947</v>
      </c>
      <c r="AC7948" s="37">
        <v>2.7128399102744578</v>
      </c>
      <c r="AD7948" s="37">
        <v>3.4248388929810849</v>
      </c>
    </row>
    <row r="7949" spans="27:30" x14ac:dyDescent="0.3">
      <c r="AA7949" s="37">
        <v>7929</v>
      </c>
      <c r="AB7949" s="37">
        <v>1.7990217783238709</v>
      </c>
      <c r="AC7949" s="37">
        <v>2.7434325618871109</v>
      </c>
      <c r="AD7949" s="37">
        <v>3.6189363650734139</v>
      </c>
    </row>
    <row r="7950" spans="27:30" x14ac:dyDescent="0.3">
      <c r="AA7950" s="37">
        <v>7930</v>
      </c>
      <c r="AB7950" s="37">
        <v>1.8205947053013161</v>
      </c>
      <c r="AC7950" s="37">
        <v>2.7287482935706984</v>
      </c>
      <c r="AD7950" s="37">
        <v>3.3533052863787822</v>
      </c>
    </row>
    <row r="7951" spans="27:30" x14ac:dyDescent="0.3">
      <c r="AA7951" s="37">
        <v>7931</v>
      </c>
      <c r="AB7951" s="37">
        <v>1.8405881286163224</v>
      </c>
      <c r="AC7951" s="37">
        <v>2.9603527813408661</v>
      </c>
      <c r="AD7951" s="37">
        <v>3.6196143616883867</v>
      </c>
    </row>
    <row r="7952" spans="27:30" x14ac:dyDescent="0.3">
      <c r="AA7952" s="37">
        <v>7932</v>
      </c>
      <c r="AB7952" s="37">
        <v>1.8028879336036532</v>
      </c>
      <c r="AC7952" s="37">
        <v>2.9382796820973835</v>
      </c>
      <c r="AD7952" s="37">
        <v>3.3860084518954965</v>
      </c>
    </row>
    <row r="7953" spans="27:30" x14ac:dyDescent="0.3">
      <c r="AA7953" s="37">
        <v>7933</v>
      </c>
      <c r="AB7953" s="37">
        <v>1.7940053914725687</v>
      </c>
      <c r="AC7953" s="37">
        <v>2.8813717809705404</v>
      </c>
      <c r="AD7953" s="37">
        <v>3.4709630374035241</v>
      </c>
    </row>
    <row r="7954" spans="27:30" x14ac:dyDescent="0.3">
      <c r="AA7954" s="37">
        <v>7934</v>
      </c>
      <c r="AB7954" s="37">
        <v>1.8377151422352318</v>
      </c>
      <c r="AC7954" s="37">
        <v>2.8454099547924341</v>
      </c>
      <c r="AD7954" s="37">
        <v>3.4227581323255314</v>
      </c>
    </row>
    <row r="7955" spans="27:30" x14ac:dyDescent="0.3">
      <c r="AA7955" s="37">
        <v>7935</v>
      </c>
      <c r="AB7955" s="37">
        <v>1.6889908628522434</v>
      </c>
      <c r="AC7955" s="37">
        <v>2.8978636971213056</v>
      </c>
      <c r="AD7955" s="37">
        <v>3.3888426049852214</v>
      </c>
    </row>
    <row r="7956" spans="27:30" x14ac:dyDescent="0.3">
      <c r="AA7956" s="37">
        <v>7936</v>
      </c>
      <c r="AB7956" s="37">
        <v>1.8446661267743258</v>
      </c>
      <c r="AC7956" s="37">
        <v>2.9459843007722282</v>
      </c>
      <c r="AD7956" s="37">
        <v>3.4476473553282827</v>
      </c>
    </row>
    <row r="7957" spans="27:30" x14ac:dyDescent="0.3">
      <c r="AA7957" s="37">
        <v>7937</v>
      </c>
      <c r="AB7957" s="37">
        <v>1.8200772187473269</v>
      </c>
      <c r="AC7957" s="37">
        <v>2.7950263022401565</v>
      </c>
      <c r="AD7957" s="37">
        <v>3.3989734509991449</v>
      </c>
    </row>
    <row r="7958" spans="27:30" x14ac:dyDescent="0.3">
      <c r="AA7958" s="37">
        <v>7938</v>
      </c>
      <c r="AB7958" s="37">
        <v>1.746903278925052</v>
      </c>
      <c r="AC7958" s="37">
        <v>2.9065221104824546</v>
      </c>
      <c r="AD7958" s="37">
        <v>3.3823267445845837</v>
      </c>
    </row>
    <row r="7959" spans="27:30" x14ac:dyDescent="0.3">
      <c r="AA7959" s="37">
        <v>7939</v>
      </c>
      <c r="AB7959" s="37">
        <v>1.6812511262010796</v>
      </c>
      <c r="AC7959" s="37">
        <v>2.8982126390250236</v>
      </c>
      <c r="AD7959" s="37">
        <v>3.3624421796689616</v>
      </c>
    </row>
    <row r="7960" spans="27:30" x14ac:dyDescent="0.3">
      <c r="AA7960" s="37">
        <v>7940</v>
      </c>
      <c r="AB7960" s="37">
        <v>1.7805479976476781</v>
      </c>
      <c r="AC7960" s="37">
        <v>3.002773552639495</v>
      </c>
      <c r="AD7960" s="37">
        <v>3.4523536860357198</v>
      </c>
    </row>
    <row r="7961" spans="27:30" x14ac:dyDescent="0.3">
      <c r="AA7961" s="37">
        <v>7941</v>
      </c>
      <c r="AB7961" s="37">
        <v>1.7650799187841502</v>
      </c>
      <c r="AC7961" s="37">
        <v>2.9231823458129713</v>
      </c>
      <c r="AD7961" s="37">
        <v>3.0337148638124916</v>
      </c>
    </row>
    <row r="7962" spans="27:30" x14ac:dyDescent="0.3">
      <c r="AA7962" s="37">
        <v>7942</v>
      </c>
      <c r="AB7962" s="37">
        <v>1.8549153237266338</v>
      </c>
      <c r="AC7962" s="37">
        <v>2.9150499237147063</v>
      </c>
      <c r="AD7962" s="37">
        <v>3.3513908846204572</v>
      </c>
    </row>
    <row r="7963" spans="27:30" x14ac:dyDescent="0.3">
      <c r="AA7963" s="37">
        <v>7943</v>
      </c>
      <c r="AB7963" s="37">
        <v>1.6689012832626966</v>
      </c>
      <c r="AC7963" s="37">
        <v>2.8620615595887231</v>
      </c>
      <c r="AD7963" s="37">
        <v>3.5221828783141</v>
      </c>
    </row>
    <row r="7964" spans="27:30" x14ac:dyDescent="0.3">
      <c r="AA7964" s="37">
        <v>7944</v>
      </c>
      <c r="AB7964" s="37">
        <v>1.6733071093282232</v>
      </c>
      <c r="AC7964" s="37">
        <v>2.9789963973295053</v>
      </c>
      <c r="AD7964" s="37">
        <v>3.6141237117262803</v>
      </c>
    </row>
    <row r="7965" spans="27:30" x14ac:dyDescent="0.3">
      <c r="AA7965" s="37">
        <v>7945</v>
      </c>
      <c r="AB7965" s="37">
        <v>1.714186178237221</v>
      </c>
      <c r="AC7965" s="37">
        <v>2.8804515596666134</v>
      </c>
      <c r="AD7965" s="37">
        <v>3.3432810650864822</v>
      </c>
    </row>
    <row r="7966" spans="27:30" x14ac:dyDescent="0.3">
      <c r="AA7966" s="37">
        <v>7946</v>
      </c>
      <c r="AB7966" s="37">
        <v>1.8956787587999597</v>
      </c>
      <c r="AC7966" s="37">
        <v>2.7796323464173338</v>
      </c>
      <c r="AD7966" s="37">
        <v>3.5227755939189715</v>
      </c>
    </row>
    <row r="7967" spans="27:30" x14ac:dyDescent="0.3">
      <c r="AA7967" s="37">
        <v>7947</v>
      </c>
      <c r="AB7967" s="37">
        <v>1.7691412723186628</v>
      </c>
      <c r="AC7967" s="37">
        <v>2.7998481145468248</v>
      </c>
      <c r="AD7967" s="37">
        <v>3.2461243576976004</v>
      </c>
    </row>
    <row r="7968" spans="27:30" x14ac:dyDescent="0.3">
      <c r="AA7968" s="37">
        <v>7948</v>
      </c>
      <c r="AB7968" s="37">
        <v>1.6788600876600965</v>
      </c>
      <c r="AC7968" s="37">
        <v>2.8392250450658421</v>
      </c>
      <c r="AD7968" s="37">
        <v>3.2759433947458305</v>
      </c>
    </row>
    <row r="7969" spans="27:30" x14ac:dyDescent="0.3">
      <c r="AA7969" s="37">
        <v>7949</v>
      </c>
      <c r="AB7969" s="37">
        <v>1.7727805198816056</v>
      </c>
      <c r="AC7969" s="37">
        <v>2.8018339015665656</v>
      </c>
      <c r="AD7969" s="37">
        <v>3.2090433531954381</v>
      </c>
    </row>
    <row r="7970" spans="27:30" x14ac:dyDescent="0.3">
      <c r="AA7970" s="37">
        <v>7950</v>
      </c>
      <c r="AB7970" s="37">
        <v>1.7701772999650081</v>
      </c>
      <c r="AC7970" s="37">
        <v>2.915922676083925</v>
      </c>
      <c r="AD7970" s="37">
        <v>3.2605087456576451</v>
      </c>
    </row>
    <row r="7971" spans="27:30" x14ac:dyDescent="0.3">
      <c r="AA7971" s="37">
        <v>7951</v>
      </c>
      <c r="AB7971" s="37">
        <v>1.7866841043282975</v>
      </c>
      <c r="AC7971" s="37">
        <v>3.0109785261737856</v>
      </c>
      <c r="AD7971" s="37">
        <v>3.1391502499311263</v>
      </c>
    </row>
    <row r="7972" spans="27:30" x14ac:dyDescent="0.3">
      <c r="AA7972" s="37">
        <v>7952</v>
      </c>
      <c r="AB7972" s="37">
        <v>1.9142906041948655</v>
      </c>
      <c r="AC7972" s="37">
        <v>2.6689104042285545</v>
      </c>
      <c r="AD7972" s="37">
        <v>3.2477055816075908</v>
      </c>
    </row>
    <row r="7973" spans="27:30" x14ac:dyDescent="0.3">
      <c r="AA7973" s="37">
        <v>7953</v>
      </c>
      <c r="AB7973" s="37">
        <v>1.708593344080612</v>
      </c>
      <c r="AC7973" s="37">
        <v>3.0121225395806133</v>
      </c>
      <c r="AD7973" s="37">
        <v>3.4172420908768841</v>
      </c>
    </row>
    <row r="7974" spans="27:30" x14ac:dyDescent="0.3">
      <c r="AA7974" s="37">
        <v>7954</v>
      </c>
      <c r="AB7974" s="37">
        <v>1.8545442037325597</v>
      </c>
      <c r="AC7974" s="37">
        <v>3.0747322525189364</v>
      </c>
      <c r="AD7974" s="37">
        <v>3.3926559084662968</v>
      </c>
    </row>
    <row r="7975" spans="27:30" x14ac:dyDescent="0.3">
      <c r="AA7975" s="37">
        <v>7955</v>
      </c>
      <c r="AB7975" s="37">
        <v>1.7069597751356143</v>
      </c>
      <c r="AC7975" s="37">
        <v>2.9250504561699771</v>
      </c>
      <c r="AD7975" s="37">
        <v>3.3281752797906616</v>
      </c>
    </row>
    <row r="7976" spans="27:30" x14ac:dyDescent="0.3">
      <c r="AA7976" s="37">
        <v>7956</v>
      </c>
      <c r="AB7976" s="37">
        <v>1.8350978641889788</v>
      </c>
      <c r="AC7976" s="37">
        <v>2.724790462982337</v>
      </c>
      <c r="AD7976" s="37">
        <v>3.1932248370349878</v>
      </c>
    </row>
    <row r="7977" spans="27:30" x14ac:dyDescent="0.3">
      <c r="AA7977" s="37">
        <v>7957</v>
      </c>
      <c r="AB7977" s="37">
        <v>1.8482399567151715</v>
      </c>
      <c r="AC7977" s="37">
        <v>2.7004792810386427</v>
      </c>
      <c r="AD7977" s="37">
        <v>3.3224110771789035</v>
      </c>
    </row>
    <row r="7978" spans="27:30" x14ac:dyDescent="0.3">
      <c r="AA7978" s="37">
        <v>7958</v>
      </c>
      <c r="AB7978" s="37">
        <v>1.7726991132990373</v>
      </c>
      <c r="AC7978" s="37">
        <v>2.8632261164916915</v>
      </c>
      <c r="AD7978" s="37">
        <v>3.3522012185174193</v>
      </c>
    </row>
    <row r="7979" spans="27:30" x14ac:dyDescent="0.3">
      <c r="AA7979" s="37">
        <v>7959</v>
      </c>
      <c r="AB7979" s="37">
        <v>1.7231942284494499</v>
      </c>
      <c r="AC7979" s="37">
        <v>2.742701784364534</v>
      </c>
      <c r="AD7979" s="37">
        <v>3.3046677065475616</v>
      </c>
    </row>
    <row r="7980" spans="27:30" x14ac:dyDescent="0.3">
      <c r="AA7980" s="37">
        <v>7960</v>
      </c>
      <c r="AB7980" s="37">
        <v>1.7838961321903104</v>
      </c>
      <c r="AC7980" s="37">
        <v>2.9325679915553109</v>
      </c>
      <c r="AD7980" s="37">
        <v>3.4106608355059196</v>
      </c>
    </row>
    <row r="7981" spans="27:30" x14ac:dyDescent="0.3">
      <c r="AA7981" s="37">
        <v>7961</v>
      </c>
      <c r="AB7981" s="37">
        <v>1.8123855078396123</v>
      </c>
      <c r="AC7981" s="37">
        <v>2.7917424397037078</v>
      </c>
      <c r="AD7981" s="37">
        <v>3.2771704302474749</v>
      </c>
    </row>
    <row r="7982" spans="27:30" x14ac:dyDescent="0.3">
      <c r="AA7982" s="37">
        <v>7962</v>
      </c>
      <c r="AB7982" s="37">
        <v>1.7458544153254101</v>
      </c>
      <c r="AC7982" s="37">
        <v>2.9311086507733193</v>
      </c>
      <c r="AD7982" s="37">
        <v>3.3530595522310689</v>
      </c>
    </row>
    <row r="7983" spans="27:30" x14ac:dyDescent="0.3">
      <c r="AA7983" s="37">
        <v>7963</v>
      </c>
      <c r="AB7983" s="37">
        <v>1.7381617252543269</v>
      </c>
      <c r="AC7983" s="37">
        <v>2.8040472811970396</v>
      </c>
      <c r="AD7983" s="37">
        <v>3.4546383873333499</v>
      </c>
    </row>
    <row r="7984" spans="27:30" x14ac:dyDescent="0.3">
      <c r="AA7984" s="37">
        <v>7964</v>
      </c>
      <c r="AB7984" s="37">
        <v>1.7544385067144672</v>
      </c>
      <c r="AC7984" s="37">
        <v>2.904364467180097</v>
      </c>
      <c r="AD7984" s="37">
        <v>3.0038891222230863</v>
      </c>
    </row>
    <row r="7985" spans="27:30" x14ac:dyDescent="0.3">
      <c r="AA7985" s="37">
        <v>7965</v>
      </c>
      <c r="AB7985" s="37">
        <v>1.6992376706269325</v>
      </c>
      <c r="AC7985" s="37">
        <v>3.0197416820974525</v>
      </c>
      <c r="AD7985" s="37">
        <v>3.2816762780560311</v>
      </c>
    </row>
    <row r="7986" spans="27:30" x14ac:dyDescent="0.3">
      <c r="AA7986" s="37">
        <v>7966</v>
      </c>
      <c r="AB7986" s="37">
        <v>1.8656057232504586</v>
      </c>
      <c r="AC7986" s="37">
        <v>2.8633098811510957</v>
      </c>
      <c r="AD7986" s="37">
        <v>3.1615563822436474</v>
      </c>
    </row>
    <row r="7987" spans="27:30" x14ac:dyDescent="0.3">
      <c r="AA7987" s="37">
        <v>7967</v>
      </c>
      <c r="AB7987" s="37">
        <v>1.8818872809940952</v>
      </c>
      <c r="AC7987" s="37">
        <v>2.8941842033849423</v>
      </c>
      <c r="AD7987" s="37">
        <v>3.240826965820617</v>
      </c>
    </row>
    <row r="7988" spans="27:30" x14ac:dyDescent="0.3">
      <c r="AA7988" s="37">
        <v>7968</v>
      </c>
      <c r="AB7988" s="37">
        <v>1.7705395302525235</v>
      </c>
      <c r="AC7988" s="37">
        <v>2.9522541437389584</v>
      </c>
      <c r="AD7988" s="37">
        <v>3.4032399520818997</v>
      </c>
    </row>
    <row r="7989" spans="27:30" x14ac:dyDescent="0.3">
      <c r="AA7989" s="37">
        <v>7969</v>
      </c>
      <c r="AB7989" s="37">
        <v>1.6957292105311734</v>
      </c>
      <c r="AC7989" s="37">
        <v>2.7497817471277606</v>
      </c>
      <c r="AD7989" s="37">
        <v>3.1962126715064656</v>
      </c>
    </row>
    <row r="7990" spans="27:30" x14ac:dyDescent="0.3">
      <c r="AA7990" s="37">
        <v>7970</v>
      </c>
      <c r="AB7990" s="37">
        <v>1.7097837968451293</v>
      </c>
      <c r="AC7990" s="37">
        <v>2.7695586762364379</v>
      </c>
      <c r="AD7990" s="37">
        <v>3.392388946262805</v>
      </c>
    </row>
    <row r="7991" spans="27:30" x14ac:dyDescent="0.3">
      <c r="AA7991" s="37">
        <v>7971</v>
      </c>
      <c r="AB7991" s="37">
        <v>1.7873867872725568</v>
      </c>
      <c r="AC7991" s="37">
        <v>2.967334589610549</v>
      </c>
      <c r="AD7991" s="37">
        <v>3.3503775184553759</v>
      </c>
    </row>
    <row r="7992" spans="27:30" x14ac:dyDescent="0.3">
      <c r="AA7992" s="37">
        <v>7972</v>
      </c>
      <c r="AB7992" s="37">
        <v>1.8144979646180526</v>
      </c>
      <c r="AC7992" s="37">
        <v>2.7869769550576522</v>
      </c>
      <c r="AD7992" s="37">
        <v>3.4398142608532543</v>
      </c>
    </row>
    <row r="7993" spans="27:30" x14ac:dyDescent="0.3">
      <c r="AA7993" s="37">
        <v>7973</v>
      </c>
      <c r="AB7993" s="37">
        <v>1.7693487295899315</v>
      </c>
      <c r="AC7993" s="37">
        <v>2.9201741617397237</v>
      </c>
      <c r="AD7993" s="37">
        <v>3.3822328094275758</v>
      </c>
    </row>
    <row r="7994" spans="27:30" x14ac:dyDescent="0.3">
      <c r="AA7994" s="37">
        <v>7974</v>
      </c>
      <c r="AB7994" s="37">
        <v>1.8495230309247992</v>
      </c>
      <c r="AC7994" s="37">
        <v>2.7934304901658247</v>
      </c>
      <c r="AD7994" s="37">
        <v>3.5501254269685489</v>
      </c>
    </row>
    <row r="7995" spans="27:30" x14ac:dyDescent="0.3">
      <c r="AA7995" s="37">
        <v>7975</v>
      </c>
      <c r="AB7995" s="37">
        <v>1.7736847081613325</v>
      </c>
      <c r="AC7995" s="37">
        <v>2.9855733013878716</v>
      </c>
      <c r="AD7995" s="37">
        <v>3.1980799492212757</v>
      </c>
    </row>
    <row r="7996" spans="27:30" x14ac:dyDescent="0.3">
      <c r="AA7996" s="37">
        <v>7976</v>
      </c>
      <c r="AB7996" s="37">
        <v>1.6170953070517542</v>
      </c>
      <c r="AC7996" s="37">
        <v>3.0760190584579101</v>
      </c>
      <c r="AD7996" s="37">
        <v>3.3045461958419224</v>
      </c>
    </row>
    <row r="7997" spans="27:30" x14ac:dyDescent="0.3">
      <c r="AA7997" s="37">
        <v>7977</v>
      </c>
      <c r="AB7997" s="37">
        <v>1.7739197136787721</v>
      </c>
      <c r="AC7997" s="37">
        <v>2.87659185162833</v>
      </c>
      <c r="AD7997" s="37">
        <v>3.1121644140502518</v>
      </c>
    </row>
    <row r="7998" spans="27:30" x14ac:dyDescent="0.3">
      <c r="AA7998" s="37">
        <v>7978</v>
      </c>
      <c r="AB7998" s="37">
        <v>1.798211803573897</v>
      </c>
      <c r="AC7998" s="37">
        <v>2.7236628312715951</v>
      </c>
      <c r="AD7998" s="37">
        <v>3.3516005837945371</v>
      </c>
    </row>
    <row r="7999" spans="27:30" x14ac:dyDescent="0.3">
      <c r="AA7999" s="37">
        <v>7979</v>
      </c>
      <c r="AB7999" s="37">
        <v>1.8070784856242192</v>
      </c>
      <c r="AC7999" s="37">
        <v>2.733761804635682</v>
      </c>
      <c r="AD7999" s="37">
        <v>3.2681546760350679</v>
      </c>
    </row>
    <row r="8000" spans="27:30" x14ac:dyDescent="0.3">
      <c r="AA8000" s="37">
        <v>7980</v>
      </c>
      <c r="AB8000" s="37">
        <v>1.7518525591861296</v>
      </c>
      <c r="AC8000" s="37">
        <v>2.8016122322517498</v>
      </c>
      <c r="AD8000" s="37">
        <v>3.2353558210377509</v>
      </c>
    </row>
    <row r="8001" spans="27:30" x14ac:dyDescent="0.3">
      <c r="AA8001" s="37">
        <v>7981</v>
      </c>
      <c r="AB8001" s="37">
        <v>1.6349431700476658</v>
      </c>
      <c r="AC8001" s="37">
        <v>2.8048777886471643</v>
      </c>
      <c r="AD8001" s="37">
        <v>3.3247827948454289</v>
      </c>
    </row>
    <row r="8002" spans="27:30" x14ac:dyDescent="0.3">
      <c r="AA8002" s="37">
        <v>7982</v>
      </c>
      <c r="AB8002" s="37">
        <v>1.7841076708970196</v>
      </c>
      <c r="AC8002" s="37">
        <v>2.805871904511239</v>
      </c>
      <c r="AD8002" s="37">
        <v>3.2895832637008589</v>
      </c>
    </row>
    <row r="8003" spans="27:30" x14ac:dyDescent="0.3">
      <c r="AA8003" s="37">
        <v>7983</v>
      </c>
      <c r="AB8003" s="37">
        <v>1.7593631257885156</v>
      </c>
      <c r="AC8003" s="37">
        <v>3.0260740879355508</v>
      </c>
      <c r="AD8003" s="37">
        <v>3.2881470457898558</v>
      </c>
    </row>
    <row r="8004" spans="27:30" x14ac:dyDescent="0.3">
      <c r="AA8004" s="37">
        <v>7984</v>
      </c>
      <c r="AB8004" s="37">
        <v>1.7810397645240135</v>
      </c>
      <c r="AC8004" s="37">
        <v>2.8414116208462379</v>
      </c>
      <c r="AD8004" s="37">
        <v>3.2754483967052708</v>
      </c>
    </row>
    <row r="8005" spans="27:30" x14ac:dyDescent="0.3">
      <c r="AA8005" s="37">
        <v>7985</v>
      </c>
      <c r="AB8005" s="37">
        <v>1.7559284721244688</v>
      </c>
      <c r="AC8005" s="37">
        <v>2.8370708731078906</v>
      </c>
      <c r="AD8005" s="37">
        <v>3.3443900564779878</v>
      </c>
    </row>
    <row r="8006" spans="27:30" x14ac:dyDescent="0.3">
      <c r="AA8006" s="37">
        <v>7986</v>
      </c>
      <c r="AB8006" s="37">
        <v>1.7848815855002644</v>
      </c>
      <c r="AC8006" s="37">
        <v>2.9722328962360418</v>
      </c>
      <c r="AD8006" s="37">
        <v>3.4386794852932447</v>
      </c>
    </row>
    <row r="8007" spans="27:30" x14ac:dyDescent="0.3">
      <c r="AA8007" s="37">
        <v>7987</v>
      </c>
      <c r="AB8007" s="37">
        <v>1.8665359233767516</v>
      </c>
      <c r="AC8007" s="37">
        <v>2.9049837540523793</v>
      </c>
      <c r="AD8007" s="37">
        <v>3.4763540577474181</v>
      </c>
    </row>
    <row r="8008" spans="27:30" x14ac:dyDescent="0.3">
      <c r="AA8008" s="37">
        <v>7988</v>
      </c>
      <c r="AB8008" s="37">
        <v>1.6874598236300762</v>
      </c>
      <c r="AC8008" s="37">
        <v>2.7740020126668452</v>
      </c>
      <c r="AD8008" s="37">
        <v>3.3743907924438901</v>
      </c>
    </row>
    <row r="8009" spans="27:30" x14ac:dyDescent="0.3">
      <c r="AA8009" s="37">
        <v>7989</v>
      </c>
      <c r="AB8009" s="37">
        <v>1.7732613731350675</v>
      </c>
      <c r="AC8009" s="37">
        <v>2.7034769705089059</v>
      </c>
      <c r="AD8009" s="37">
        <v>3.3542714930452422</v>
      </c>
    </row>
    <row r="8010" spans="27:30" x14ac:dyDescent="0.3">
      <c r="AA8010" s="37">
        <v>7990</v>
      </c>
      <c r="AB8010" s="37">
        <v>1.7544745638246815</v>
      </c>
      <c r="AC8010" s="37">
        <v>2.6126604579212769</v>
      </c>
      <c r="AD8010" s="37">
        <v>3.3239803532548717</v>
      </c>
    </row>
    <row r="8011" spans="27:30" x14ac:dyDescent="0.3">
      <c r="AA8011" s="37">
        <v>7991</v>
      </c>
      <c r="AB8011" s="37">
        <v>1.6813487291548608</v>
      </c>
      <c r="AC8011" s="37">
        <v>2.8576456065039024</v>
      </c>
      <c r="AD8011" s="37">
        <v>3.3479534341331405</v>
      </c>
    </row>
    <row r="8012" spans="27:30" x14ac:dyDescent="0.3">
      <c r="AA8012" s="37">
        <v>7992</v>
      </c>
      <c r="AB8012" s="37">
        <v>1.8551686190996139</v>
      </c>
      <c r="AC8012" s="37">
        <v>2.8269537440792472</v>
      </c>
      <c r="AD8012" s="37">
        <v>3.3454469460185172</v>
      </c>
    </row>
    <row r="8013" spans="27:30" x14ac:dyDescent="0.3">
      <c r="AA8013" s="37">
        <v>7993</v>
      </c>
      <c r="AB8013" s="37">
        <v>1.8433307410954143</v>
      </c>
      <c r="AC8013" s="37">
        <v>2.6914292107340287</v>
      </c>
      <c r="AD8013" s="37">
        <v>3.4692178861248375</v>
      </c>
    </row>
    <row r="8014" spans="27:30" x14ac:dyDescent="0.3">
      <c r="AA8014" s="37">
        <v>7994</v>
      </c>
      <c r="AB8014" s="37">
        <v>1.8499650709063771</v>
      </c>
      <c r="AC8014" s="37">
        <v>2.8651147311733491</v>
      </c>
      <c r="AD8014" s="37">
        <v>3.4406708577096095</v>
      </c>
    </row>
    <row r="8015" spans="27:30" x14ac:dyDescent="0.3">
      <c r="AA8015" s="37">
        <v>7995</v>
      </c>
      <c r="AB8015" s="37">
        <v>1.7758832784252236</v>
      </c>
      <c r="AC8015" s="37">
        <v>2.7922236702064316</v>
      </c>
      <c r="AD8015" s="37">
        <v>3.2307667994348739</v>
      </c>
    </row>
    <row r="8016" spans="27:30" x14ac:dyDescent="0.3">
      <c r="AA8016" s="37">
        <v>7996</v>
      </c>
      <c r="AB8016" s="37">
        <v>1.7323522508675433</v>
      </c>
      <c r="AC8016" s="37">
        <v>2.9156061160822642</v>
      </c>
      <c r="AD8016" s="37">
        <v>3.1236939430131092</v>
      </c>
    </row>
    <row r="8017" spans="27:30" x14ac:dyDescent="0.3">
      <c r="AA8017" s="37">
        <v>7997</v>
      </c>
      <c r="AB8017" s="37">
        <v>1.7462495572842194</v>
      </c>
      <c r="AC8017" s="37">
        <v>2.6423340617679671</v>
      </c>
      <c r="AD8017" s="37">
        <v>3.2128869671184028</v>
      </c>
    </row>
    <row r="8018" spans="27:30" x14ac:dyDescent="0.3">
      <c r="AA8018" s="37">
        <v>7998</v>
      </c>
      <c r="AB8018" s="37">
        <v>1.8392035481052542</v>
      </c>
      <c r="AC8018" s="37">
        <v>2.8530075099633145</v>
      </c>
      <c r="AD8018" s="37">
        <v>3.4298150256444817</v>
      </c>
    </row>
    <row r="8019" spans="27:30" x14ac:dyDescent="0.3">
      <c r="AA8019" s="37">
        <v>7999</v>
      </c>
      <c r="AB8019" s="37">
        <v>1.7019941860276695</v>
      </c>
      <c r="AC8019" s="37">
        <v>2.7089206192428037</v>
      </c>
      <c r="AD8019" s="37">
        <v>3.2936085357806557</v>
      </c>
    </row>
    <row r="8020" spans="27:30" x14ac:dyDescent="0.3">
      <c r="AA8020" s="37">
        <v>8000</v>
      </c>
      <c r="AB8020" s="37">
        <v>1.8837804386597996</v>
      </c>
      <c r="AC8020" s="37">
        <v>2.6693652564762345</v>
      </c>
      <c r="AD8020" s="37">
        <v>3.2940054387216087</v>
      </c>
    </row>
    <row r="8021" spans="27:30" x14ac:dyDescent="0.3">
      <c r="AA8021" s="37">
        <v>8001</v>
      </c>
      <c r="AB8021" s="37">
        <v>1.7966363741535778</v>
      </c>
      <c r="AC8021" s="37">
        <v>2.8361591456224802</v>
      </c>
      <c r="AD8021" s="37">
        <v>3.4849452654083781</v>
      </c>
    </row>
    <row r="8022" spans="27:30" x14ac:dyDescent="0.3">
      <c r="AA8022" s="37">
        <v>8002</v>
      </c>
      <c r="AB8022" s="37">
        <v>1.8249599952225661</v>
      </c>
      <c r="AC8022" s="37">
        <v>2.8417076219686614</v>
      </c>
      <c r="AD8022" s="37">
        <v>3.5299459742243902</v>
      </c>
    </row>
    <row r="8023" spans="27:30" x14ac:dyDescent="0.3">
      <c r="AA8023" s="37">
        <v>8003</v>
      </c>
      <c r="AB8023" s="37">
        <v>1.749526817151412</v>
      </c>
      <c r="AC8023" s="37">
        <v>2.9452308013794632</v>
      </c>
      <c r="AD8023" s="37">
        <v>3.2159244675757952</v>
      </c>
    </row>
    <row r="8024" spans="27:30" x14ac:dyDescent="0.3">
      <c r="AA8024" s="37">
        <v>8004</v>
      </c>
      <c r="AB8024" s="37">
        <v>1.7605534547782931</v>
      </c>
      <c r="AC8024" s="37">
        <v>3.0263370528763369</v>
      </c>
      <c r="AD8024" s="37">
        <v>3.4518902984319393</v>
      </c>
    </row>
    <row r="8025" spans="27:30" x14ac:dyDescent="0.3">
      <c r="AA8025" s="37">
        <v>8005</v>
      </c>
      <c r="AB8025" s="37">
        <v>1.8358757823590521</v>
      </c>
      <c r="AC8025" s="37">
        <v>2.8283010384347667</v>
      </c>
      <c r="AD8025" s="37">
        <v>3.475944631037061</v>
      </c>
    </row>
    <row r="8026" spans="27:30" x14ac:dyDescent="0.3">
      <c r="AA8026" s="37">
        <v>8006</v>
      </c>
      <c r="AB8026" s="37">
        <v>1.8627791104959719</v>
      </c>
      <c r="AC8026" s="37">
        <v>2.6814173544578308</v>
      </c>
      <c r="AD8026" s="37">
        <v>3.248449876649885</v>
      </c>
    </row>
    <row r="8027" spans="27:30" x14ac:dyDescent="0.3">
      <c r="AA8027" s="37">
        <v>8007</v>
      </c>
      <c r="AB8027" s="37">
        <v>1.9068740286967067</v>
      </c>
      <c r="AC8027" s="37">
        <v>2.8025471583285295</v>
      </c>
      <c r="AD8027" s="37">
        <v>3.289226572796303</v>
      </c>
    </row>
    <row r="8028" spans="27:30" x14ac:dyDescent="0.3">
      <c r="AA8028" s="37">
        <v>8008</v>
      </c>
      <c r="AB8028" s="37">
        <v>1.7975224834088492</v>
      </c>
      <c r="AC8028" s="37">
        <v>2.7492807172429647</v>
      </c>
      <c r="AD8028" s="37">
        <v>3.4405029554880429</v>
      </c>
    </row>
    <row r="8029" spans="27:30" x14ac:dyDescent="0.3">
      <c r="AA8029" s="37">
        <v>8009</v>
      </c>
      <c r="AB8029" s="37">
        <v>1.8042554522693233</v>
      </c>
      <c r="AC8029" s="37">
        <v>2.8952004075942761</v>
      </c>
      <c r="AD8029" s="37">
        <v>3.3423078145749625</v>
      </c>
    </row>
    <row r="8030" spans="27:30" x14ac:dyDescent="0.3">
      <c r="AA8030" s="37">
        <v>8010</v>
      </c>
      <c r="AB8030" s="37">
        <v>1.8584083787915904</v>
      </c>
      <c r="AC8030" s="37">
        <v>2.9335411550747637</v>
      </c>
      <c r="AD8030" s="37">
        <v>3.2375148769950961</v>
      </c>
    </row>
    <row r="8031" spans="27:30" x14ac:dyDescent="0.3">
      <c r="AA8031" s="37">
        <v>8011</v>
      </c>
      <c r="AB8031" s="37">
        <v>1.8139457022455781</v>
      </c>
      <c r="AC8031" s="37">
        <v>2.903703570432016</v>
      </c>
      <c r="AD8031" s="37">
        <v>3.2080759641085526</v>
      </c>
    </row>
    <row r="8032" spans="27:30" x14ac:dyDescent="0.3">
      <c r="AA8032" s="37">
        <v>8012</v>
      </c>
      <c r="AB8032" s="37">
        <v>1.7695114276362305</v>
      </c>
      <c r="AC8032" s="37">
        <v>2.8483270836269936</v>
      </c>
      <c r="AD8032" s="37">
        <v>3.348582486757206</v>
      </c>
    </row>
    <row r="8033" spans="27:30" x14ac:dyDescent="0.3">
      <c r="AA8033" s="37">
        <v>8013</v>
      </c>
      <c r="AB8033" s="37">
        <v>1.6541298308697308</v>
      </c>
      <c r="AC8033" s="37">
        <v>2.917282423278956</v>
      </c>
      <c r="AD8033" s="37">
        <v>3.3138866350567584</v>
      </c>
    </row>
    <row r="8034" spans="27:30" x14ac:dyDescent="0.3">
      <c r="AA8034" s="37">
        <v>8014</v>
      </c>
      <c r="AB8034" s="37">
        <v>1.977249416833873</v>
      </c>
      <c r="AC8034" s="37">
        <v>2.9115907081083399</v>
      </c>
      <c r="AD8034" s="37">
        <v>3.2672930908914459</v>
      </c>
    </row>
    <row r="8035" spans="27:30" x14ac:dyDescent="0.3">
      <c r="AA8035" s="37">
        <v>8015</v>
      </c>
      <c r="AB8035" s="37">
        <v>1.7370663780828188</v>
      </c>
      <c r="AC8035" s="37">
        <v>2.8345505841528844</v>
      </c>
      <c r="AD8035" s="37">
        <v>3.3465919905430712</v>
      </c>
    </row>
    <row r="8036" spans="27:30" x14ac:dyDescent="0.3">
      <c r="AA8036" s="37">
        <v>8016</v>
      </c>
      <c r="AB8036" s="37">
        <v>1.8357472334443923</v>
      </c>
      <c r="AC8036" s="37">
        <v>2.8184205145610037</v>
      </c>
      <c r="AD8036" s="37">
        <v>3.3090983135003689</v>
      </c>
    </row>
    <row r="8037" spans="27:30" x14ac:dyDescent="0.3">
      <c r="AA8037" s="37">
        <v>8017</v>
      </c>
      <c r="AB8037" s="37">
        <v>1.7605496309385911</v>
      </c>
      <c r="AC8037" s="37">
        <v>2.7948350751538933</v>
      </c>
      <c r="AD8037" s="37">
        <v>3.3132709240032767</v>
      </c>
    </row>
    <row r="8038" spans="27:30" x14ac:dyDescent="0.3">
      <c r="AA8038" s="37">
        <v>8018</v>
      </c>
      <c r="AB8038" s="37">
        <v>1.7644297328631131</v>
      </c>
      <c r="AC8038" s="37">
        <v>2.682247127208417</v>
      </c>
      <c r="AD8038" s="37">
        <v>3.1280403423706797</v>
      </c>
    </row>
    <row r="8039" spans="27:30" x14ac:dyDescent="0.3">
      <c r="AA8039" s="37">
        <v>8019</v>
      </c>
      <c r="AB8039" s="37">
        <v>1.8197258105844389</v>
      </c>
      <c r="AC8039" s="37">
        <v>3.0012145143897393</v>
      </c>
      <c r="AD8039" s="37">
        <v>3.3603892362528165</v>
      </c>
    </row>
    <row r="8040" spans="27:30" x14ac:dyDescent="0.3">
      <c r="AA8040" s="37">
        <v>8020</v>
      </c>
      <c r="AB8040" s="37">
        <v>1.7805312336037</v>
      </c>
      <c r="AC8040" s="37">
        <v>2.9131730118728951</v>
      </c>
      <c r="AD8040" s="37">
        <v>3.3121244436869355</v>
      </c>
    </row>
    <row r="8041" spans="27:30" x14ac:dyDescent="0.3">
      <c r="AA8041" s="37">
        <v>8021</v>
      </c>
      <c r="AB8041" s="37">
        <v>1.6906739642821704</v>
      </c>
      <c r="AC8041" s="37">
        <v>2.6654974400640872</v>
      </c>
      <c r="AD8041" s="37">
        <v>3.2256772705667069</v>
      </c>
    </row>
    <row r="8042" spans="27:30" x14ac:dyDescent="0.3">
      <c r="AA8042" s="37">
        <v>8022</v>
      </c>
      <c r="AB8042" s="37">
        <v>1.7438935594612459</v>
      </c>
      <c r="AC8042" s="37">
        <v>2.88570253619352</v>
      </c>
      <c r="AD8042" s="37">
        <v>3.4914467496735391</v>
      </c>
    </row>
    <row r="8043" spans="27:30" x14ac:dyDescent="0.3">
      <c r="AA8043" s="37">
        <v>8023</v>
      </c>
      <c r="AB8043" s="37">
        <v>1.8490745373304873</v>
      </c>
      <c r="AC8043" s="37">
        <v>2.8346562999625786</v>
      </c>
      <c r="AD8043" s="37">
        <v>3.3992451183246444</v>
      </c>
    </row>
    <row r="8044" spans="27:30" x14ac:dyDescent="0.3">
      <c r="AA8044" s="37">
        <v>8024</v>
      </c>
      <c r="AB8044" s="37">
        <v>1.9160592130672576</v>
      </c>
      <c r="AC8044" s="37">
        <v>2.7507625556795676</v>
      </c>
      <c r="AD8044" s="37">
        <v>3.3879600408874144</v>
      </c>
    </row>
    <row r="8045" spans="27:30" x14ac:dyDescent="0.3">
      <c r="AA8045" s="37">
        <v>8025</v>
      </c>
      <c r="AB8045" s="37">
        <v>1.7274616521756616</v>
      </c>
      <c r="AC8045" s="37">
        <v>2.8287600995119302</v>
      </c>
      <c r="AD8045" s="37">
        <v>3.374637703047445</v>
      </c>
    </row>
    <row r="8046" spans="27:30" x14ac:dyDescent="0.3">
      <c r="AA8046" s="37">
        <v>8026</v>
      </c>
      <c r="AB8046" s="37">
        <v>1.7377004736333772</v>
      </c>
      <c r="AC8046" s="37">
        <v>2.9242362657786414</v>
      </c>
      <c r="AD8046" s="37">
        <v>3.3023071156718347</v>
      </c>
    </row>
    <row r="8047" spans="27:30" x14ac:dyDescent="0.3">
      <c r="AA8047" s="37">
        <v>8027</v>
      </c>
      <c r="AB8047" s="37">
        <v>1.9025650781059744</v>
      </c>
      <c r="AC8047" s="37">
        <v>2.8990648166581945</v>
      </c>
      <c r="AD8047" s="37">
        <v>3.2710720721311572</v>
      </c>
    </row>
    <row r="8048" spans="27:30" x14ac:dyDescent="0.3">
      <c r="AA8048" s="37">
        <v>8028</v>
      </c>
      <c r="AB8048" s="37">
        <v>1.6303555112528285</v>
      </c>
      <c r="AC8048" s="37">
        <v>2.9110148601536614</v>
      </c>
      <c r="AD8048" s="37">
        <v>3.3866723874023683</v>
      </c>
    </row>
    <row r="8049" spans="27:30" x14ac:dyDescent="0.3">
      <c r="AA8049" s="37">
        <v>8029</v>
      </c>
      <c r="AB8049" s="37">
        <v>1.9106880129313395</v>
      </c>
      <c r="AC8049" s="37">
        <v>2.9499918038003443</v>
      </c>
      <c r="AD8049" s="37">
        <v>3.4207581986613116</v>
      </c>
    </row>
    <row r="8050" spans="27:30" x14ac:dyDescent="0.3">
      <c r="AA8050" s="37">
        <v>8030</v>
      </c>
      <c r="AB8050" s="37">
        <v>1.7415419832182037</v>
      </c>
      <c r="AC8050" s="37">
        <v>2.7649538204900961</v>
      </c>
      <c r="AD8050" s="37">
        <v>3.2850355680929089</v>
      </c>
    </row>
    <row r="8051" spans="27:30" x14ac:dyDescent="0.3">
      <c r="AA8051" s="37">
        <v>8031</v>
      </c>
      <c r="AB8051" s="37">
        <v>1.8368931443363323</v>
      </c>
      <c r="AC8051" s="37">
        <v>2.7318303475191383</v>
      </c>
      <c r="AD8051" s="37">
        <v>3.0667447954295719</v>
      </c>
    </row>
    <row r="8052" spans="27:30" x14ac:dyDescent="0.3">
      <c r="AA8052" s="37">
        <v>8032</v>
      </c>
      <c r="AB8052" s="37">
        <v>1.7080473614307947</v>
      </c>
      <c r="AC8052" s="37">
        <v>2.9115106576809082</v>
      </c>
      <c r="AD8052" s="37">
        <v>3.3968107985060438</v>
      </c>
    </row>
    <row r="8053" spans="27:30" x14ac:dyDescent="0.3">
      <c r="AA8053" s="37">
        <v>8033</v>
      </c>
      <c r="AB8053" s="37">
        <v>1.7411504854540414</v>
      </c>
      <c r="AC8053" s="37">
        <v>2.914935322190634</v>
      </c>
      <c r="AD8053" s="37">
        <v>3.2468123588046738</v>
      </c>
    </row>
    <row r="8054" spans="27:30" x14ac:dyDescent="0.3">
      <c r="AA8054" s="37">
        <v>8034</v>
      </c>
      <c r="AB8054" s="37">
        <v>1.8095872699284703</v>
      </c>
      <c r="AC8054" s="37">
        <v>2.9836348982320895</v>
      </c>
      <c r="AD8054" s="37">
        <v>3.3299149069537926</v>
      </c>
    </row>
    <row r="8055" spans="27:30" x14ac:dyDescent="0.3">
      <c r="AA8055" s="37">
        <v>8035</v>
      </c>
      <c r="AB8055" s="37">
        <v>1.7939375243823916</v>
      </c>
      <c r="AC8055" s="37">
        <v>2.6576032219216583</v>
      </c>
      <c r="AD8055" s="37">
        <v>3.4462313223768057</v>
      </c>
    </row>
    <row r="8056" spans="27:30" x14ac:dyDescent="0.3">
      <c r="AA8056" s="37">
        <v>8036</v>
      </c>
      <c r="AB8056" s="37">
        <v>1.8702038313697891</v>
      </c>
      <c r="AC8056" s="37">
        <v>2.6773564034680342</v>
      </c>
      <c r="AD8056" s="37">
        <v>3.2858491679093103</v>
      </c>
    </row>
    <row r="8057" spans="27:30" x14ac:dyDescent="0.3">
      <c r="AA8057" s="37">
        <v>8037</v>
      </c>
      <c r="AB8057" s="37">
        <v>1.7520196831570567</v>
      </c>
      <c r="AC8057" s="37">
        <v>2.7243223019317839</v>
      </c>
      <c r="AD8057" s="37">
        <v>3.1615662094453092</v>
      </c>
    </row>
    <row r="8058" spans="27:30" x14ac:dyDescent="0.3">
      <c r="AA8058" s="37">
        <v>8038</v>
      </c>
      <c r="AB8058" s="37">
        <v>1.6674584283743585</v>
      </c>
      <c r="AC8058" s="37">
        <v>2.6343169795158259</v>
      </c>
      <c r="AD8058" s="37">
        <v>3.5448329682709723</v>
      </c>
    </row>
    <row r="8059" spans="27:30" x14ac:dyDescent="0.3">
      <c r="AA8059" s="37">
        <v>8039</v>
      </c>
      <c r="AB8059" s="37">
        <v>1.7057190570509246</v>
      </c>
      <c r="AC8059" s="37">
        <v>2.9069764630682018</v>
      </c>
      <c r="AD8059" s="37">
        <v>3.4172073710020201</v>
      </c>
    </row>
    <row r="8060" spans="27:30" x14ac:dyDescent="0.3">
      <c r="AA8060" s="37">
        <v>8040</v>
      </c>
      <c r="AB8060" s="37">
        <v>1.9267401499668142</v>
      </c>
      <c r="AC8060" s="37">
        <v>2.802561697628787</v>
      </c>
      <c r="AD8060" s="37">
        <v>3.5182186962333226</v>
      </c>
    </row>
    <row r="8061" spans="27:30" x14ac:dyDescent="0.3">
      <c r="AA8061" s="37">
        <v>8041</v>
      </c>
      <c r="AB8061" s="37">
        <v>1.798846533434733</v>
      </c>
      <c r="AC8061" s="37">
        <v>2.7340954710415963</v>
      </c>
      <c r="AD8061" s="37">
        <v>3.3997396821909085</v>
      </c>
    </row>
    <row r="8062" spans="27:30" x14ac:dyDescent="0.3">
      <c r="AA8062" s="37">
        <v>8042</v>
      </c>
      <c r="AB8062" s="37">
        <v>1.7231635123835822</v>
      </c>
      <c r="AC8062" s="37">
        <v>2.9205925817583132</v>
      </c>
      <c r="AD8062" s="37">
        <v>3.4946078057203058</v>
      </c>
    </row>
    <row r="8063" spans="27:30" x14ac:dyDescent="0.3">
      <c r="AA8063" s="37">
        <v>8043</v>
      </c>
      <c r="AB8063" s="37">
        <v>1.8435350290057264</v>
      </c>
      <c r="AC8063" s="37">
        <v>2.6991892146091883</v>
      </c>
      <c r="AD8063" s="37">
        <v>3.2799199669897421</v>
      </c>
    </row>
    <row r="8064" spans="27:30" x14ac:dyDescent="0.3">
      <c r="AA8064" s="37">
        <v>8044</v>
      </c>
      <c r="AB8064" s="37">
        <v>1.826741899333997</v>
      </c>
      <c r="AC8064" s="37">
        <v>2.9414315815951575</v>
      </c>
      <c r="AD8064" s="37">
        <v>3.2761788818330584</v>
      </c>
    </row>
    <row r="8065" spans="27:30" x14ac:dyDescent="0.3">
      <c r="AA8065" s="37">
        <v>8045</v>
      </c>
      <c r="AB8065" s="37">
        <v>1.7543911945497133</v>
      </c>
      <c r="AC8065" s="37">
        <v>2.7788131278317607</v>
      </c>
      <c r="AD8065" s="37">
        <v>3.3810869749775248</v>
      </c>
    </row>
    <row r="8066" spans="27:30" x14ac:dyDescent="0.3">
      <c r="AA8066" s="37">
        <v>8046</v>
      </c>
      <c r="AB8066" s="37">
        <v>1.8727685823970965</v>
      </c>
      <c r="AC8066" s="37">
        <v>2.8281344436313485</v>
      </c>
      <c r="AD8066" s="37">
        <v>3.3980347258024377</v>
      </c>
    </row>
    <row r="8067" spans="27:30" x14ac:dyDescent="0.3">
      <c r="AA8067" s="37">
        <v>8047</v>
      </c>
      <c r="AB8067" s="37">
        <v>1.668469940009037</v>
      </c>
      <c r="AC8067" s="37">
        <v>2.7547935337666853</v>
      </c>
      <c r="AD8067" s="37">
        <v>3.3583583358993008</v>
      </c>
    </row>
    <row r="8068" spans="27:30" x14ac:dyDescent="0.3">
      <c r="AA8068" s="37">
        <v>8048</v>
      </c>
      <c r="AB8068" s="37">
        <v>1.8262235104721365</v>
      </c>
      <c r="AC8068" s="37">
        <v>2.8367022255279601</v>
      </c>
      <c r="AD8068" s="37">
        <v>3.3168665187372133</v>
      </c>
    </row>
    <row r="8069" spans="27:30" x14ac:dyDescent="0.3">
      <c r="AA8069" s="37">
        <v>8049</v>
      </c>
      <c r="AB8069" s="37">
        <v>1.7630252598488834</v>
      </c>
      <c r="AC8069" s="37">
        <v>2.7629215656774786</v>
      </c>
      <c r="AD8069" s="37">
        <v>3.3539107421829066</v>
      </c>
    </row>
    <row r="8070" spans="27:30" x14ac:dyDescent="0.3">
      <c r="AA8070" s="37">
        <v>8050</v>
      </c>
      <c r="AB8070" s="37">
        <v>1.8643399934722473</v>
      </c>
      <c r="AC8070" s="37">
        <v>2.7440540881528186</v>
      </c>
      <c r="AD8070" s="37">
        <v>3.4444745340483589</v>
      </c>
    </row>
    <row r="8071" spans="27:30" x14ac:dyDescent="0.3">
      <c r="AA8071" s="37">
        <v>8051</v>
      </c>
      <c r="AB8071" s="37">
        <v>1.6964520985232372</v>
      </c>
      <c r="AC8071" s="37">
        <v>2.9420226531634337</v>
      </c>
      <c r="AD8071" s="37">
        <v>3.3296612717873231</v>
      </c>
    </row>
    <row r="8072" spans="27:30" x14ac:dyDescent="0.3">
      <c r="AA8072" s="37">
        <v>8052</v>
      </c>
      <c r="AB8072" s="37">
        <v>1.6537437912375195</v>
      </c>
      <c r="AC8072" s="37">
        <v>3.0082468155512427</v>
      </c>
      <c r="AD8072" s="37">
        <v>3.321325723852445</v>
      </c>
    </row>
    <row r="8073" spans="27:30" x14ac:dyDescent="0.3">
      <c r="AA8073" s="37">
        <v>8053</v>
      </c>
      <c r="AB8073" s="37">
        <v>1.8483787057877492</v>
      </c>
      <c r="AC8073" s="37">
        <v>2.8311810882573605</v>
      </c>
      <c r="AD8073" s="37">
        <v>3.4250238564879236</v>
      </c>
    </row>
    <row r="8074" spans="27:30" x14ac:dyDescent="0.3">
      <c r="AA8074" s="37">
        <v>8054</v>
      </c>
      <c r="AB8074" s="37">
        <v>1.702936676940473</v>
      </c>
      <c r="AC8074" s="37">
        <v>2.8963345952214987</v>
      </c>
      <c r="AD8074" s="37">
        <v>3.2598946841129259</v>
      </c>
    </row>
    <row r="8075" spans="27:30" x14ac:dyDescent="0.3">
      <c r="AA8075" s="37">
        <v>8055</v>
      </c>
      <c r="AB8075" s="37">
        <v>1.7961941968701258</v>
      </c>
      <c r="AC8075" s="37">
        <v>2.9673614751011526</v>
      </c>
      <c r="AD8075" s="37">
        <v>3.4435866420070358</v>
      </c>
    </row>
    <row r="8076" spans="27:30" x14ac:dyDescent="0.3">
      <c r="AA8076" s="37">
        <v>8056</v>
      </c>
      <c r="AB8076" s="37">
        <v>1.7703890158120958</v>
      </c>
      <c r="AC8076" s="37">
        <v>2.7386440213336396</v>
      </c>
      <c r="AD8076" s="37">
        <v>3.3229380564197033</v>
      </c>
    </row>
    <row r="8077" spans="27:30" x14ac:dyDescent="0.3">
      <c r="AA8077" s="37">
        <v>8057</v>
      </c>
      <c r="AB8077" s="37">
        <v>1.7785365685958823</v>
      </c>
      <c r="AC8077" s="37">
        <v>2.9799931667614641</v>
      </c>
      <c r="AD8077" s="37">
        <v>3.4220382767992334</v>
      </c>
    </row>
    <row r="8078" spans="27:30" x14ac:dyDescent="0.3">
      <c r="AA8078" s="37">
        <v>8058</v>
      </c>
      <c r="AB8078" s="37">
        <v>1.7843154303690389</v>
      </c>
      <c r="AC8078" s="37">
        <v>2.9490097084331577</v>
      </c>
      <c r="AD8078" s="37">
        <v>3.4454799531731179</v>
      </c>
    </row>
    <row r="8079" spans="27:30" x14ac:dyDescent="0.3">
      <c r="AA8079" s="37">
        <v>8059</v>
      </c>
      <c r="AB8079" s="37">
        <v>1.8723864088005624</v>
      </c>
      <c r="AC8079" s="37">
        <v>2.7535704030400225</v>
      </c>
      <c r="AD8079" s="37">
        <v>3.1802643542889566</v>
      </c>
    </row>
    <row r="8080" spans="27:30" x14ac:dyDescent="0.3">
      <c r="AA8080" s="37">
        <v>8060</v>
      </c>
      <c r="AB8080" s="37">
        <v>1.8000146472352951</v>
      </c>
      <c r="AC8080" s="37">
        <v>2.8735445413865386</v>
      </c>
      <c r="AD8080" s="37">
        <v>3.4372992055748854</v>
      </c>
    </row>
    <row r="8081" spans="27:30" x14ac:dyDescent="0.3">
      <c r="AA8081" s="37">
        <v>8061</v>
      </c>
      <c r="AB8081" s="37">
        <v>1.8698186838038464</v>
      </c>
      <c r="AC8081" s="37">
        <v>2.9727770521672712</v>
      </c>
      <c r="AD8081" s="37">
        <v>3.3952154179603107</v>
      </c>
    </row>
    <row r="8082" spans="27:30" x14ac:dyDescent="0.3">
      <c r="AA8082" s="37">
        <v>8062</v>
      </c>
      <c r="AB8082" s="37">
        <v>1.7419861350684605</v>
      </c>
      <c r="AC8082" s="37">
        <v>2.7215313962467937</v>
      </c>
      <c r="AD8082" s="37">
        <v>3.438605686048323</v>
      </c>
    </row>
    <row r="8083" spans="27:30" x14ac:dyDescent="0.3">
      <c r="AA8083" s="37">
        <v>8063</v>
      </c>
      <c r="AB8083" s="37">
        <v>1.6997353693122017</v>
      </c>
      <c r="AC8083" s="37">
        <v>2.7989388888797193</v>
      </c>
      <c r="AD8083" s="37">
        <v>3.4085021452583666</v>
      </c>
    </row>
    <row r="8084" spans="27:30" x14ac:dyDescent="0.3">
      <c r="AA8084" s="37">
        <v>8064</v>
      </c>
      <c r="AB8084" s="37">
        <v>1.7740606991056771</v>
      </c>
      <c r="AC8084" s="37">
        <v>2.9653512678446794</v>
      </c>
      <c r="AD8084" s="37">
        <v>3.2743020536562657</v>
      </c>
    </row>
    <row r="8085" spans="27:30" x14ac:dyDescent="0.3">
      <c r="AA8085" s="37">
        <v>8065</v>
      </c>
      <c r="AB8085" s="37">
        <v>1.7861542306618836</v>
      </c>
      <c r="AC8085" s="37">
        <v>2.8854151835188624</v>
      </c>
      <c r="AD8085" s="37">
        <v>3.2338720829686549</v>
      </c>
    </row>
    <row r="8086" spans="27:30" x14ac:dyDescent="0.3">
      <c r="AA8086" s="37">
        <v>8066</v>
      </c>
      <c r="AB8086" s="37">
        <v>1.6407873442030421</v>
      </c>
      <c r="AC8086" s="37">
        <v>2.7351639626855762</v>
      </c>
      <c r="AD8086" s="37">
        <v>3.2467106507313197</v>
      </c>
    </row>
    <row r="8087" spans="27:30" x14ac:dyDescent="0.3">
      <c r="AA8087" s="37">
        <v>8067</v>
      </c>
      <c r="AB8087" s="37">
        <v>1.7155080728843639</v>
      </c>
      <c r="AC8087" s="37">
        <v>2.6884953611330489</v>
      </c>
      <c r="AD8087" s="37">
        <v>3.3244078746937888</v>
      </c>
    </row>
    <row r="8088" spans="27:30" x14ac:dyDescent="0.3">
      <c r="AA8088" s="37">
        <v>8068</v>
      </c>
      <c r="AB8088" s="37">
        <v>1.7375032606356122</v>
      </c>
      <c r="AC8088" s="37">
        <v>2.9055333980098097</v>
      </c>
      <c r="AD8088" s="37">
        <v>3.5746380900755286</v>
      </c>
    </row>
    <row r="8089" spans="27:30" x14ac:dyDescent="0.3">
      <c r="AA8089" s="37">
        <v>8069</v>
      </c>
      <c r="AB8089" s="37">
        <v>1.8570007698493292</v>
      </c>
      <c r="AC8089" s="37">
        <v>2.6918214983887037</v>
      </c>
      <c r="AD8089" s="37">
        <v>3.5382165184694983</v>
      </c>
    </row>
    <row r="8090" spans="27:30" x14ac:dyDescent="0.3">
      <c r="AA8090" s="37">
        <v>8070</v>
      </c>
      <c r="AB8090" s="37">
        <v>1.9407701862662199</v>
      </c>
      <c r="AC8090" s="37">
        <v>2.8028960506071154</v>
      </c>
      <c r="AD8090" s="37">
        <v>3.3369101580336169</v>
      </c>
    </row>
    <row r="8091" spans="27:30" x14ac:dyDescent="0.3">
      <c r="AA8091" s="37">
        <v>8071</v>
      </c>
      <c r="AB8091" s="37">
        <v>1.7566961049658034</v>
      </c>
      <c r="AC8091" s="37">
        <v>2.7894545138405262</v>
      </c>
      <c r="AD8091" s="37">
        <v>3.1876899784971164</v>
      </c>
    </row>
    <row r="8092" spans="27:30" x14ac:dyDescent="0.3">
      <c r="AA8092" s="37">
        <v>8072</v>
      </c>
      <c r="AB8092" s="37">
        <v>1.8200390651029017</v>
      </c>
      <c r="AC8092" s="37">
        <v>2.958545734928431</v>
      </c>
      <c r="AD8092" s="37">
        <v>3.4163051945127529</v>
      </c>
    </row>
    <row r="8093" spans="27:30" x14ac:dyDescent="0.3">
      <c r="AA8093" s="37">
        <v>8073</v>
      </c>
      <c r="AB8093" s="37">
        <v>1.7824068646309501</v>
      </c>
      <c r="AC8093" s="37">
        <v>2.8406388283988133</v>
      </c>
      <c r="AD8093" s="37">
        <v>3.4626795141068865</v>
      </c>
    </row>
    <row r="8094" spans="27:30" x14ac:dyDescent="0.3">
      <c r="AA8094" s="37">
        <v>8074</v>
      </c>
      <c r="AB8094" s="37">
        <v>1.7190275237841326</v>
      </c>
      <c r="AC8094" s="37">
        <v>2.7860697515884505</v>
      </c>
      <c r="AD8094" s="37">
        <v>3.4790468262364889</v>
      </c>
    </row>
    <row r="8095" spans="27:30" x14ac:dyDescent="0.3">
      <c r="AA8095" s="37">
        <v>8075</v>
      </c>
      <c r="AB8095" s="37">
        <v>1.7991764790999958</v>
      </c>
      <c r="AC8095" s="37">
        <v>2.9250301626591453</v>
      </c>
      <c r="AD8095" s="37">
        <v>3.3874970434283553</v>
      </c>
    </row>
    <row r="8096" spans="27:30" x14ac:dyDescent="0.3">
      <c r="AA8096" s="37">
        <v>8076</v>
      </c>
      <c r="AB8096" s="37">
        <v>1.8059178305583334</v>
      </c>
      <c r="AC8096" s="37">
        <v>2.830007199625646</v>
      </c>
      <c r="AD8096" s="37">
        <v>3.3140403617382108</v>
      </c>
    </row>
    <row r="8097" spans="27:30" x14ac:dyDescent="0.3">
      <c r="AA8097" s="37">
        <v>8077</v>
      </c>
      <c r="AB8097" s="37">
        <v>1.7317270132832656</v>
      </c>
      <c r="AC8097" s="37">
        <v>2.8120121447285924</v>
      </c>
      <c r="AD8097" s="37">
        <v>3.3687109665045241</v>
      </c>
    </row>
    <row r="8098" spans="27:30" x14ac:dyDescent="0.3">
      <c r="AA8098" s="37">
        <v>8078</v>
      </c>
      <c r="AB8098" s="37">
        <v>1.7700196426662775</v>
      </c>
      <c r="AC8098" s="37">
        <v>2.9030997207241329</v>
      </c>
      <c r="AD8098" s="37">
        <v>3.3828998756388309</v>
      </c>
    </row>
    <row r="8099" spans="27:30" x14ac:dyDescent="0.3">
      <c r="AA8099" s="37">
        <v>8079</v>
      </c>
      <c r="AB8099" s="37">
        <v>1.7637499250789508</v>
      </c>
      <c r="AC8099" s="37">
        <v>2.8739892512122251</v>
      </c>
      <c r="AD8099" s="37">
        <v>3.3179942826703512</v>
      </c>
    </row>
    <row r="8100" spans="27:30" x14ac:dyDescent="0.3">
      <c r="AA8100" s="37">
        <v>8080</v>
      </c>
      <c r="AB8100" s="37">
        <v>1.7675911772873849</v>
      </c>
      <c r="AC8100" s="37">
        <v>2.9432320055093584</v>
      </c>
      <c r="AD8100" s="37">
        <v>3.1693575050729961</v>
      </c>
    </row>
    <row r="8101" spans="27:30" x14ac:dyDescent="0.3">
      <c r="AA8101" s="37">
        <v>8081</v>
      </c>
      <c r="AB8101" s="37">
        <v>1.8560314605488959</v>
      </c>
      <c r="AC8101" s="37">
        <v>2.7011876979657061</v>
      </c>
      <c r="AD8101" s="37">
        <v>3.3809462133100152</v>
      </c>
    </row>
    <row r="8102" spans="27:30" x14ac:dyDescent="0.3">
      <c r="AA8102" s="37">
        <v>8082</v>
      </c>
      <c r="AB8102" s="37">
        <v>1.7094908159261188</v>
      </c>
      <c r="AC8102" s="37">
        <v>3.0132007961548677</v>
      </c>
      <c r="AD8102" s="37">
        <v>3.3529861671378387</v>
      </c>
    </row>
    <row r="8103" spans="27:30" x14ac:dyDescent="0.3">
      <c r="AA8103" s="37">
        <v>8083</v>
      </c>
      <c r="AB8103" s="37">
        <v>1.7657670221421504</v>
      </c>
      <c r="AC8103" s="37">
        <v>2.8956082362480613</v>
      </c>
      <c r="AD8103" s="37">
        <v>3.3038203019787411</v>
      </c>
    </row>
    <row r="8104" spans="27:30" x14ac:dyDescent="0.3">
      <c r="AA8104" s="37">
        <v>8084</v>
      </c>
      <c r="AB8104" s="37">
        <v>1.829604610782547</v>
      </c>
      <c r="AC8104" s="37">
        <v>2.9442124212113705</v>
      </c>
      <c r="AD8104" s="37">
        <v>3.3593292306201792</v>
      </c>
    </row>
    <row r="8105" spans="27:30" x14ac:dyDescent="0.3">
      <c r="AA8105" s="37">
        <v>8085</v>
      </c>
      <c r="AB8105" s="37">
        <v>1.7176355995837878</v>
      </c>
      <c r="AC8105" s="37">
        <v>2.7774086442373078</v>
      </c>
      <c r="AD8105" s="37">
        <v>3.5340489658950425</v>
      </c>
    </row>
    <row r="8106" spans="27:30" x14ac:dyDescent="0.3">
      <c r="AA8106" s="37">
        <v>8086</v>
      </c>
      <c r="AB8106" s="37">
        <v>1.8115134653676372</v>
      </c>
      <c r="AC8106" s="37">
        <v>2.8882564677214639</v>
      </c>
      <c r="AD8106" s="37">
        <v>3.38955575141377</v>
      </c>
    </row>
    <row r="8107" spans="27:30" x14ac:dyDescent="0.3">
      <c r="AA8107" s="37">
        <v>8087</v>
      </c>
      <c r="AB8107" s="37">
        <v>1.8811194239804023</v>
      </c>
      <c r="AC8107" s="37">
        <v>2.7533695781382446</v>
      </c>
      <c r="AD8107" s="37">
        <v>3.2916185694573632</v>
      </c>
    </row>
    <row r="8108" spans="27:30" x14ac:dyDescent="0.3">
      <c r="AA8108" s="37">
        <v>8088</v>
      </c>
      <c r="AB8108" s="37">
        <v>1.766833716608692</v>
      </c>
      <c r="AC8108" s="37">
        <v>2.9567089371600317</v>
      </c>
      <c r="AD8108" s="37">
        <v>3.307752271201311</v>
      </c>
    </row>
    <row r="8109" spans="27:30" x14ac:dyDescent="0.3">
      <c r="AA8109" s="37">
        <v>8089</v>
      </c>
      <c r="AB8109" s="37">
        <v>1.7073120869168257</v>
      </c>
      <c r="AC8109" s="37">
        <v>2.6827561196141558</v>
      </c>
      <c r="AD8109" s="37">
        <v>3.0296281379141403</v>
      </c>
    </row>
    <row r="8110" spans="27:30" x14ac:dyDescent="0.3">
      <c r="AA8110" s="37">
        <v>8090</v>
      </c>
      <c r="AB8110" s="37">
        <v>1.7514713481780957</v>
      </c>
      <c r="AC8110" s="37">
        <v>3.0024231175783891</v>
      </c>
      <c r="AD8110" s="37">
        <v>3.398863964617826</v>
      </c>
    </row>
    <row r="8111" spans="27:30" x14ac:dyDescent="0.3">
      <c r="AA8111" s="37">
        <v>8091</v>
      </c>
      <c r="AB8111" s="37">
        <v>1.8700413391175876</v>
      </c>
      <c r="AC8111" s="37">
        <v>2.8227468556447555</v>
      </c>
      <c r="AD8111" s="37">
        <v>3.2725073126656579</v>
      </c>
    </row>
    <row r="8112" spans="27:30" x14ac:dyDescent="0.3">
      <c r="AA8112" s="37">
        <v>8092</v>
      </c>
      <c r="AB8112" s="37">
        <v>1.912930494911419</v>
      </c>
      <c r="AC8112" s="37">
        <v>2.6925864624883293</v>
      </c>
      <c r="AD8112" s="37">
        <v>3.1308685623205856</v>
      </c>
    </row>
    <row r="8113" spans="27:30" x14ac:dyDescent="0.3">
      <c r="AA8113" s="37">
        <v>8093</v>
      </c>
      <c r="AB8113" s="37">
        <v>1.795714057447289</v>
      </c>
      <c r="AC8113" s="37">
        <v>2.9495689281101289</v>
      </c>
      <c r="AD8113" s="37">
        <v>3.3623990620553208</v>
      </c>
    </row>
    <row r="8114" spans="27:30" x14ac:dyDescent="0.3">
      <c r="AA8114" s="37">
        <v>8094</v>
      </c>
      <c r="AB8114" s="37">
        <v>1.8115162157697258</v>
      </c>
      <c r="AC8114" s="37">
        <v>2.8923676498094841</v>
      </c>
      <c r="AD8114" s="37">
        <v>3.4487405212784688</v>
      </c>
    </row>
    <row r="8115" spans="27:30" x14ac:dyDescent="0.3">
      <c r="AA8115" s="37">
        <v>8095</v>
      </c>
      <c r="AB8115" s="37">
        <v>1.7862606400532177</v>
      </c>
      <c r="AC8115" s="37">
        <v>2.7590014239467724</v>
      </c>
      <c r="AD8115" s="37">
        <v>3.3557935878437815</v>
      </c>
    </row>
    <row r="8116" spans="27:30" x14ac:dyDescent="0.3">
      <c r="AA8116" s="37">
        <v>8096</v>
      </c>
      <c r="AB8116" s="37">
        <v>1.8192778019882694</v>
      </c>
      <c r="AC8116" s="37">
        <v>2.8046013776017857</v>
      </c>
      <c r="AD8116" s="37">
        <v>3.1733227468450758</v>
      </c>
    </row>
    <row r="8117" spans="27:30" x14ac:dyDescent="0.3">
      <c r="AA8117" s="37">
        <v>8097</v>
      </c>
      <c r="AB8117" s="37">
        <v>1.8246525660473387</v>
      </c>
      <c r="AC8117" s="37">
        <v>2.8783735430978075</v>
      </c>
      <c r="AD8117" s="37">
        <v>3.3636877807345478</v>
      </c>
    </row>
    <row r="8118" spans="27:30" x14ac:dyDescent="0.3">
      <c r="AA8118" s="37">
        <v>8098</v>
      </c>
      <c r="AB8118" s="37">
        <v>1.8221280906954034</v>
      </c>
      <c r="AC8118" s="37">
        <v>2.6667819371975141</v>
      </c>
      <c r="AD8118" s="37">
        <v>3.2599653553914534</v>
      </c>
    </row>
    <row r="8119" spans="27:30" x14ac:dyDescent="0.3">
      <c r="AA8119" s="37">
        <v>8099</v>
      </c>
      <c r="AB8119" s="37">
        <v>1.7653080123037539</v>
      </c>
      <c r="AC8119" s="37">
        <v>2.9412941071199938</v>
      </c>
      <c r="AD8119" s="37">
        <v>3.4883212116504967</v>
      </c>
    </row>
    <row r="8120" spans="27:30" x14ac:dyDescent="0.3">
      <c r="AA8120" s="37">
        <v>8100</v>
      </c>
      <c r="AB8120" s="37">
        <v>1.7076261188499713</v>
      </c>
      <c r="AC8120" s="37">
        <v>2.7532372652116517</v>
      </c>
      <c r="AD8120" s="37">
        <v>3.5099604367678934</v>
      </c>
    </row>
    <row r="8121" spans="27:30" x14ac:dyDescent="0.3">
      <c r="AA8121" s="37">
        <v>8101</v>
      </c>
      <c r="AB8121" s="37">
        <v>1.7561022975871676</v>
      </c>
      <c r="AC8121" s="37">
        <v>2.8641713621734524</v>
      </c>
      <c r="AD8121" s="37">
        <v>3.3214892079546448</v>
      </c>
    </row>
    <row r="8122" spans="27:30" x14ac:dyDescent="0.3">
      <c r="AA8122" s="37">
        <v>8102</v>
      </c>
      <c r="AB8122" s="37">
        <v>1.7720401360917653</v>
      </c>
      <c r="AC8122" s="37">
        <v>2.8723641166281277</v>
      </c>
      <c r="AD8122" s="37">
        <v>3.2527388564547288</v>
      </c>
    </row>
    <row r="8123" spans="27:30" x14ac:dyDescent="0.3">
      <c r="AA8123" s="37">
        <v>8103</v>
      </c>
      <c r="AB8123" s="37">
        <v>1.8620383754497893</v>
      </c>
      <c r="AC8123" s="37">
        <v>2.8169071184591576</v>
      </c>
      <c r="AD8123" s="37">
        <v>3.422262169284878</v>
      </c>
    </row>
    <row r="8124" spans="27:30" x14ac:dyDescent="0.3">
      <c r="AA8124" s="37">
        <v>8104</v>
      </c>
      <c r="AB8124" s="37">
        <v>1.835134406540061</v>
      </c>
      <c r="AC8124" s="37">
        <v>2.6907777743093675</v>
      </c>
      <c r="AD8124" s="37">
        <v>3.3005368997824531</v>
      </c>
    </row>
    <row r="8125" spans="27:30" x14ac:dyDescent="0.3">
      <c r="AA8125" s="37">
        <v>8105</v>
      </c>
      <c r="AB8125" s="37">
        <v>1.8418352160978706</v>
      </c>
      <c r="AC8125" s="37">
        <v>2.9381982031403822</v>
      </c>
      <c r="AD8125" s="37">
        <v>3.4056508383904691</v>
      </c>
    </row>
    <row r="8126" spans="27:30" x14ac:dyDescent="0.3">
      <c r="AA8126" s="37">
        <v>8106</v>
      </c>
      <c r="AB8126" s="37">
        <v>1.8245012652029766</v>
      </c>
      <c r="AC8126" s="37">
        <v>2.8386657708717147</v>
      </c>
      <c r="AD8126" s="37">
        <v>3.2831707186101267</v>
      </c>
    </row>
    <row r="8127" spans="27:30" x14ac:dyDescent="0.3">
      <c r="AA8127" s="37">
        <v>8107</v>
      </c>
      <c r="AB8127" s="37">
        <v>1.6978920771486505</v>
      </c>
      <c r="AC8127" s="37">
        <v>2.7961171864806551</v>
      </c>
      <c r="AD8127" s="37">
        <v>3.3609646229792092</v>
      </c>
    </row>
    <row r="8128" spans="27:30" x14ac:dyDescent="0.3">
      <c r="AA8128" s="37">
        <v>8108</v>
      </c>
      <c r="AB8128" s="37">
        <v>1.8515915482661029</v>
      </c>
      <c r="AC8128" s="37">
        <v>2.6639400380421989</v>
      </c>
      <c r="AD8128" s="37">
        <v>3.3912500187268804</v>
      </c>
    </row>
    <row r="8129" spans="27:30" x14ac:dyDescent="0.3">
      <c r="AA8129" s="37">
        <v>8109</v>
      </c>
      <c r="AB8129" s="37">
        <v>1.8229097598520099</v>
      </c>
      <c r="AC8129" s="37">
        <v>2.6614792063438029</v>
      </c>
      <c r="AD8129" s="37">
        <v>3.2868382255142965</v>
      </c>
    </row>
    <row r="8130" spans="27:30" x14ac:dyDescent="0.3">
      <c r="AA8130" s="37">
        <v>8110</v>
      </c>
      <c r="AB8130" s="37">
        <v>1.7815014539140228</v>
      </c>
      <c r="AC8130" s="37">
        <v>2.7771408744436612</v>
      </c>
      <c r="AD8130" s="37">
        <v>3.185356384781445</v>
      </c>
    </row>
    <row r="8131" spans="27:30" x14ac:dyDescent="0.3">
      <c r="AA8131" s="37">
        <v>8111</v>
      </c>
      <c r="AB8131" s="37">
        <v>1.8291317597393557</v>
      </c>
      <c r="AC8131" s="37">
        <v>2.7629136700373307</v>
      </c>
      <c r="AD8131" s="37">
        <v>3.4112778580701515</v>
      </c>
    </row>
    <row r="8132" spans="27:30" x14ac:dyDescent="0.3">
      <c r="AA8132" s="37">
        <v>8112</v>
      </c>
      <c r="AB8132" s="37">
        <v>1.8005801010079407</v>
      </c>
      <c r="AC8132" s="37">
        <v>2.7879247498865123</v>
      </c>
      <c r="AD8132" s="37">
        <v>3.3810604614856947</v>
      </c>
    </row>
    <row r="8133" spans="27:30" x14ac:dyDescent="0.3">
      <c r="AA8133" s="37">
        <v>8113</v>
      </c>
      <c r="AB8133" s="37">
        <v>1.6912269028102562</v>
      </c>
      <c r="AC8133" s="37">
        <v>2.7643185282152358</v>
      </c>
      <c r="AD8133" s="37">
        <v>3.2894498606726166</v>
      </c>
    </row>
    <row r="8134" spans="27:30" x14ac:dyDescent="0.3">
      <c r="AA8134" s="37">
        <v>8114</v>
      </c>
      <c r="AB8134" s="37">
        <v>1.8209998240845882</v>
      </c>
      <c r="AC8134" s="37">
        <v>2.9771416140776776</v>
      </c>
      <c r="AD8134" s="37">
        <v>3.3830396714294753</v>
      </c>
    </row>
    <row r="8135" spans="27:30" x14ac:dyDescent="0.3">
      <c r="AA8135" s="37">
        <v>8115</v>
      </c>
      <c r="AB8135" s="37">
        <v>1.8730351549995321</v>
      </c>
      <c r="AC8135" s="37">
        <v>2.861510249395419</v>
      </c>
      <c r="AD8135" s="37">
        <v>3.1362358831092307</v>
      </c>
    </row>
    <row r="8136" spans="27:30" x14ac:dyDescent="0.3">
      <c r="AA8136" s="37">
        <v>8116</v>
      </c>
      <c r="AB8136" s="37">
        <v>1.8162686141252811</v>
      </c>
      <c r="AC8136" s="37">
        <v>3.0635164394786458</v>
      </c>
      <c r="AD8136" s="37">
        <v>3.5717205308223248</v>
      </c>
    </row>
    <row r="8137" spans="27:30" x14ac:dyDescent="0.3">
      <c r="AA8137" s="37">
        <v>8117</v>
      </c>
      <c r="AB8137" s="37">
        <v>1.7267186314078464</v>
      </c>
      <c r="AC8137" s="37">
        <v>2.9328266190126961</v>
      </c>
      <c r="AD8137" s="37">
        <v>3.2961086016406269</v>
      </c>
    </row>
    <row r="8138" spans="27:30" x14ac:dyDescent="0.3">
      <c r="AA8138" s="37">
        <v>8118</v>
      </c>
      <c r="AB8138" s="37">
        <v>1.7945091873287486</v>
      </c>
      <c r="AC8138" s="37">
        <v>3.0411358638105397</v>
      </c>
      <c r="AD8138" s="37">
        <v>3.3502101632335415</v>
      </c>
    </row>
    <row r="8139" spans="27:30" x14ac:dyDescent="0.3">
      <c r="AA8139" s="37">
        <v>8119</v>
      </c>
      <c r="AB8139" s="37">
        <v>1.757852032249658</v>
      </c>
      <c r="AC8139" s="37">
        <v>2.7118727884774594</v>
      </c>
      <c r="AD8139" s="37">
        <v>3.3508735585130855</v>
      </c>
    </row>
    <row r="8140" spans="27:30" x14ac:dyDescent="0.3">
      <c r="AA8140" s="37">
        <v>8120</v>
      </c>
      <c r="AB8140" s="37">
        <v>1.7695398498207395</v>
      </c>
      <c r="AC8140" s="37">
        <v>2.8777443064405861</v>
      </c>
      <c r="AD8140" s="37">
        <v>3.0171500397139197</v>
      </c>
    </row>
    <row r="8141" spans="27:30" x14ac:dyDescent="0.3">
      <c r="AA8141" s="37">
        <v>8121</v>
      </c>
      <c r="AB8141" s="37">
        <v>1.783318062182186</v>
      </c>
      <c r="AC8141" s="37">
        <v>2.7745927559497172</v>
      </c>
      <c r="AD8141" s="37">
        <v>3.4756876318116832</v>
      </c>
    </row>
    <row r="8142" spans="27:30" x14ac:dyDescent="0.3">
      <c r="AA8142" s="37">
        <v>8122</v>
      </c>
      <c r="AB8142" s="37">
        <v>1.7445873861370478</v>
      </c>
      <c r="AC8142" s="37">
        <v>2.6285444206650168</v>
      </c>
      <c r="AD8142" s="37">
        <v>3.4307437302614754</v>
      </c>
    </row>
    <row r="8143" spans="27:30" x14ac:dyDescent="0.3">
      <c r="AA8143" s="37">
        <v>8123</v>
      </c>
      <c r="AB8143" s="37">
        <v>1.7489476174940859</v>
      </c>
      <c r="AC8143" s="37">
        <v>2.9338956072828046</v>
      </c>
      <c r="AD8143" s="37">
        <v>3.4911222339652705</v>
      </c>
    </row>
    <row r="8144" spans="27:30" x14ac:dyDescent="0.3">
      <c r="AA8144" s="37">
        <v>8124</v>
      </c>
      <c r="AB8144" s="37">
        <v>1.7664167561665656</v>
      </c>
      <c r="AC8144" s="37">
        <v>2.7072616794594428</v>
      </c>
      <c r="AD8144" s="37">
        <v>3.1162310030515616</v>
      </c>
    </row>
    <row r="8145" spans="27:30" x14ac:dyDescent="0.3">
      <c r="AA8145" s="37">
        <v>8125</v>
      </c>
      <c r="AB8145" s="37">
        <v>1.81832294557399</v>
      </c>
      <c r="AC8145" s="37">
        <v>2.788663100950167</v>
      </c>
      <c r="AD8145" s="37">
        <v>3.3791347726338934</v>
      </c>
    </row>
    <row r="8146" spans="27:30" x14ac:dyDescent="0.3">
      <c r="AA8146" s="37">
        <v>8126</v>
      </c>
      <c r="AB8146" s="37">
        <v>1.835919340973764</v>
      </c>
      <c r="AC8146" s="37">
        <v>3.0601295214627871</v>
      </c>
      <c r="AD8146" s="37">
        <v>3.4219850602288338</v>
      </c>
    </row>
    <row r="8147" spans="27:30" x14ac:dyDescent="0.3">
      <c r="AA8147" s="37">
        <v>8127</v>
      </c>
      <c r="AB8147" s="37">
        <v>1.7812121414420883</v>
      </c>
      <c r="AC8147" s="37">
        <v>2.796052230772978</v>
      </c>
      <c r="AD8147" s="37">
        <v>3.4759095954756027</v>
      </c>
    </row>
    <row r="8148" spans="27:30" x14ac:dyDescent="0.3">
      <c r="AA8148" s="37">
        <v>8128</v>
      </c>
      <c r="AB8148" s="37">
        <v>1.8217582592328514</v>
      </c>
      <c r="AC8148" s="37">
        <v>2.8014515838965637</v>
      </c>
      <c r="AD8148" s="37">
        <v>3.4608958945115957</v>
      </c>
    </row>
    <row r="8149" spans="27:30" x14ac:dyDescent="0.3">
      <c r="AA8149" s="37">
        <v>8129</v>
      </c>
      <c r="AB8149" s="37">
        <v>1.8149953530136933</v>
      </c>
      <c r="AC8149" s="37">
        <v>2.8618556805294828</v>
      </c>
      <c r="AD8149" s="37">
        <v>3.2737574655224861</v>
      </c>
    </row>
    <row r="8150" spans="27:30" x14ac:dyDescent="0.3">
      <c r="AA8150" s="37">
        <v>8130</v>
      </c>
      <c r="AB8150" s="37">
        <v>1.6669356879795789</v>
      </c>
      <c r="AC8150" s="37">
        <v>2.9100112063447723</v>
      </c>
      <c r="AD8150" s="37">
        <v>3.5342911153438354</v>
      </c>
    </row>
    <row r="8151" spans="27:30" x14ac:dyDescent="0.3">
      <c r="AA8151" s="37">
        <v>8131</v>
      </c>
      <c r="AB8151" s="37">
        <v>1.8042801598362372</v>
      </c>
      <c r="AC8151" s="37">
        <v>2.8784159304148069</v>
      </c>
      <c r="AD8151" s="37">
        <v>3.4104852961832757</v>
      </c>
    </row>
    <row r="8152" spans="27:30" x14ac:dyDescent="0.3">
      <c r="AA8152" s="37">
        <v>8132</v>
      </c>
      <c r="AB8152" s="37">
        <v>1.7481351452134248</v>
      </c>
      <c r="AC8152" s="37">
        <v>2.6866340573473546</v>
      </c>
      <c r="AD8152" s="37">
        <v>3.3154644676888956</v>
      </c>
    </row>
    <row r="8153" spans="27:30" x14ac:dyDescent="0.3">
      <c r="AA8153" s="37">
        <v>8133</v>
      </c>
      <c r="AB8153" s="37">
        <v>1.8047203847225839</v>
      </c>
      <c r="AC8153" s="37">
        <v>2.7660153069050932</v>
      </c>
      <c r="AD8153" s="37">
        <v>2.9753448079262661</v>
      </c>
    </row>
    <row r="8154" spans="27:30" x14ac:dyDescent="0.3">
      <c r="AA8154" s="37">
        <v>8134</v>
      </c>
      <c r="AB8154" s="37">
        <v>1.7824600709553291</v>
      </c>
      <c r="AC8154" s="37">
        <v>2.8978709242367131</v>
      </c>
      <c r="AD8154" s="37">
        <v>3.5342141919713703</v>
      </c>
    </row>
    <row r="8155" spans="27:30" x14ac:dyDescent="0.3">
      <c r="AA8155" s="37">
        <v>8135</v>
      </c>
      <c r="AB8155" s="37">
        <v>1.7690682906704425</v>
      </c>
      <c r="AC8155" s="37">
        <v>2.9745827510531444</v>
      </c>
      <c r="AD8155" s="37">
        <v>3.4196832601419689</v>
      </c>
    </row>
    <row r="8156" spans="27:30" x14ac:dyDescent="0.3">
      <c r="AA8156" s="37">
        <v>8136</v>
      </c>
      <c r="AB8156" s="37">
        <v>1.7731618573523942</v>
      </c>
      <c r="AC8156" s="37">
        <v>2.8990921677536217</v>
      </c>
      <c r="AD8156" s="37">
        <v>3.1751833254303614</v>
      </c>
    </row>
    <row r="8157" spans="27:30" x14ac:dyDescent="0.3">
      <c r="AA8157" s="37">
        <v>8137</v>
      </c>
      <c r="AB8157" s="37">
        <v>1.6946069796112857</v>
      </c>
      <c r="AC8157" s="37">
        <v>2.6743877122570594</v>
      </c>
      <c r="AD8157" s="37">
        <v>3.4534819678981945</v>
      </c>
    </row>
    <row r="8158" spans="27:30" x14ac:dyDescent="0.3">
      <c r="AA8158" s="37">
        <v>8138</v>
      </c>
      <c r="AB8158" s="37">
        <v>1.8149942971009019</v>
      </c>
      <c r="AC8158" s="37">
        <v>2.9872175097973637</v>
      </c>
      <c r="AD8158" s="37">
        <v>3.2492593572581536</v>
      </c>
    </row>
    <row r="8159" spans="27:30" x14ac:dyDescent="0.3">
      <c r="AA8159" s="37">
        <v>8139</v>
      </c>
      <c r="AB8159" s="37">
        <v>1.7805989263366011</v>
      </c>
      <c r="AC8159" s="37">
        <v>2.8618304697860037</v>
      </c>
      <c r="AD8159" s="37">
        <v>3.4104541327193805</v>
      </c>
    </row>
    <row r="8160" spans="27:30" x14ac:dyDescent="0.3">
      <c r="AA8160" s="37">
        <v>8140</v>
      </c>
      <c r="AB8160" s="37">
        <v>1.7625688780256037</v>
      </c>
      <c r="AC8160" s="37">
        <v>2.7213661130515492</v>
      </c>
      <c r="AD8160" s="37">
        <v>3.1910772498157942</v>
      </c>
    </row>
    <row r="8161" spans="27:30" x14ac:dyDescent="0.3">
      <c r="AA8161" s="37">
        <v>8141</v>
      </c>
      <c r="AB8161" s="37">
        <v>1.8040522704345472</v>
      </c>
      <c r="AC8161" s="37">
        <v>2.9030828456578543</v>
      </c>
      <c r="AD8161" s="37">
        <v>3.260724284085208</v>
      </c>
    </row>
    <row r="8162" spans="27:30" x14ac:dyDescent="0.3">
      <c r="AA8162" s="37">
        <v>8142</v>
      </c>
      <c r="AB8162" s="37">
        <v>1.8221000344694394</v>
      </c>
      <c r="AC8162" s="37">
        <v>2.7107316285791767</v>
      </c>
      <c r="AD8162" s="37">
        <v>3.414716447083062</v>
      </c>
    </row>
    <row r="8163" spans="27:30" x14ac:dyDescent="0.3">
      <c r="AA8163" s="37">
        <v>8143</v>
      </c>
      <c r="AB8163" s="37">
        <v>1.7217419624537285</v>
      </c>
      <c r="AC8163" s="37">
        <v>2.8785422155251137</v>
      </c>
      <c r="AD8163" s="37">
        <v>3.2480917026328027</v>
      </c>
    </row>
    <row r="8164" spans="27:30" x14ac:dyDescent="0.3">
      <c r="AA8164" s="37">
        <v>8144</v>
      </c>
      <c r="AB8164" s="37">
        <v>1.7717601635828857</v>
      </c>
      <c r="AC8164" s="37">
        <v>2.7596655037907691</v>
      </c>
      <c r="AD8164" s="37">
        <v>3.1734319194303602</v>
      </c>
    </row>
    <row r="8165" spans="27:30" x14ac:dyDescent="0.3">
      <c r="AA8165" s="37">
        <v>8145</v>
      </c>
      <c r="AB8165" s="37">
        <v>1.7693243853333644</v>
      </c>
      <c r="AC8165" s="37">
        <v>2.9625560859419648</v>
      </c>
      <c r="AD8165" s="37">
        <v>3.163912894181856</v>
      </c>
    </row>
    <row r="8166" spans="27:30" x14ac:dyDescent="0.3">
      <c r="AA8166" s="37">
        <v>8146</v>
      </c>
      <c r="AB8166" s="37">
        <v>1.7425868133377007</v>
      </c>
      <c r="AC8166" s="37">
        <v>2.7650552832818005</v>
      </c>
      <c r="AD8166" s="37">
        <v>3.3841882492300592</v>
      </c>
    </row>
    <row r="8167" spans="27:30" x14ac:dyDescent="0.3">
      <c r="AA8167" s="37">
        <v>8147</v>
      </c>
      <c r="AB8167" s="37">
        <v>1.7997956186958914</v>
      </c>
      <c r="AC8167" s="37">
        <v>2.7887273623585025</v>
      </c>
      <c r="AD8167" s="37">
        <v>3.4528133718927791</v>
      </c>
    </row>
    <row r="8168" spans="27:30" x14ac:dyDescent="0.3">
      <c r="AA8168" s="37">
        <v>8148</v>
      </c>
      <c r="AB8168" s="37">
        <v>1.7170350869840203</v>
      </c>
      <c r="AC8168" s="37">
        <v>2.9446659596967129</v>
      </c>
      <c r="AD8168" s="37">
        <v>3.1265471024838836</v>
      </c>
    </row>
    <row r="8169" spans="27:30" x14ac:dyDescent="0.3">
      <c r="AA8169" s="37">
        <v>8149</v>
      </c>
      <c r="AB8169" s="37">
        <v>1.8156359893871383</v>
      </c>
      <c r="AC8169" s="37">
        <v>2.9245051827461701</v>
      </c>
      <c r="AD8169" s="37">
        <v>3.1720963408920713</v>
      </c>
    </row>
    <row r="8170" spans="27:30" x14ac:dyDescent="0.3">
      <c r="AA8170" s="37">
        <v>8150</v>
      </c>
      <c r="AB8170" s="37">
        <v>1.8464346736288919</v>
      </c>
      <c r="AC8170" s="37">
        <v>2.7752467810649226</v>
      </c>
      <c r="AD8170" s="37">
        <v>3.4944749289127137</v>
      </c>
    </row>
    <row r="8171" spans="27:30" x14ac:dyDescent="0.3">
      <c r="AA8171" s="37">
        <v>8151</v>
      </c>
      <c r="AB8171" s="37">
        <v>1.6521940714926542</v>
      </c>
      <c r="AC8171" s="37">
        <v>2.7108117590439704</v>
      </c>
      <c r="AD8171" s="37">
        <v>3.2929980280116919</v>
      </c>
    </row>
    <row r="8172" spans="27:30" x14ac:dyDescent="0.3">
      <c r="AA8172" s="37">
        <v>8152</v>
      </c>
      <c r="AB8172" s="37">
        <v>1.8673341637034226</v>
      </c>
      <c r="AC8172" s="37">
        <v>2.7218666875317759</v>
      </c>
      <c r="AD8172" s="37">
        <v>3.3597150950695696</v>
      </c>
    </row>
    <row r="8173" spans="27:30" x14ac:dyDescent="0.3">
      <c r="AA8173" s="37">
        <v>8153</v>
      </c>
      <c r="AB8173" s="37">
        <v>1.7296073115066068</v>
      </c>
      <c r="AC8173" s="37">
        <v>2.8206946599687499</v>
      </c>
      <c r="AD8173" s="37">
        <v>3.41698583150822</v>
      </c>
    </row>
    <row r="8174" spans="27:30" x14ac:dyDescent="0.3">
      <c r="AA8174" s="37">
        <v>8154</v>
      </c>
      <c r="AB8174" s="37">
        <v>1.7457653326193372</v>
      </c>
      <c r="AC8174" s="37">
        <v>2.8349661323126649</v>
      </c>
      <c r="AD8174" s="37">
        <v>3.5707623311486008</v>
      </c>
    </row>
    <row r="8175" spans="27:30" x14ac:dyDescent="0.3">
      <c r="AA8175" s="37">
        <v>8155</v>
      </c>
      <c r="AB8175" s="37">
        <v>1.7323957424575542</v>
      </c>
      <c r="AC8175" s="37">
        <v>2.7691258214381662</v>
      </c>
      <c r="AD8175" s="37">
        <v>3.1720376447355978</v>
      </c>
    </row>
    <row r="8176" spans="27:30" x14ac:dyDescent="0.3">
      <c r="AA8176" s="37">
        <v>8156</v>
      </c>
      <c r="AB8176" s="37">
        <v>1.7799272785932796</v>
      </c>
      <c r="AC8176" s="37">
        <v>2.6922963207267308</v>
      </c>
      <c r="AD8176" s="37">
        <v>3.4990608405267287</v>
      </c>
    </row>
    <row r="8177" spans="27:30" x14ac:dyDescent="0.3">
      <c r="AA8177" s="37">
        <v>8157</v>
      </c>
      <c r="AB8177" s="37">
        <v>1.7275939765062023</v>
      </c>
      <c r="AC8177" s="37">
        <v>3.0790080892209102</v>
      </c>
      <c r="AD8177" s="37">
        <v>3.3371994807116678</v>
      </c>
    </row>
    <row r="8178" spans="27:30" x14ac:dyDescent="0.3">
      <c r="AA8178" s="37">
        <v>8158</v>
      </c>
      <c r="AB8178" s="37">
        <v>1.7396661458441309</v>
      </c>
      <c r="AC8178" s="37">
        <v>2.9584329451339291</v>
      </c>
      <c r="AD8178" s="37">
        <v>3.2264882751485704</v>
      </c>
    </row>
    <row r="8179" spans="27:30" x14ac:dyDescent="0.3">
      <c r="AA8179" s="37">
        <v>8159</v>
      </c>
      <c r="AB8179" s="37">
        <v>1.7595197589743121</v>
      </c>
      <c r="AC8179" s="37">
        <v>2.8119449108388901</v>
      </c>
      <c r="AD8179" s="37">
        <v>3.1751154693739299</v>
      </c>
    </row>
    <row r="8180" spans="27:30" x14ac:dyDescent="0.3">
      <c r="AA8180" s="37">
        <v>8160</v>
      </c>
      <c r="AB8180" s="37">
        <v>1.7727137447984915</v>
      </c>
      <c r="AC8180" s="37">
        <v>2.8567090827561814</v>
      </c>
      <c r="AD8180" s="37">
        <v>3.4923318675993036</v>
      </c>
    </row>
    <row r="8181" spans="27:30" x14ac:dyDescent="0.3">
      <c r="AA8181" s="37">
        <v>8161</v>
      </c>
      <c r="AB8181" s="37">
        <v>1.745541124556077</v>
      </c>
      <c r="AC8181" s="37">
        <v>2.8425491805041787</v>
      </c>
      <c r="AD8181" s="37">
        <v>3.4994896370718869</v>
      </c>
    </row>
    <row r="8182" spans="27:30" x14ac:dyDescent="0.3">
      <c r="AA8182" s="37">
        <v>8162</v>
      </c>
      <c r="AB8182" s="37">
        <v>1.7552093008497414</v>
      </c>
      <c r="AC8182" s="37">
        <v>2.8867998788448981</v>
      </c>
      <c r="AD8182" s="37">
        <v>3.2328329467274806</v>
      </c>
    </row>
    <row r="8183" spans="27:30" x14ac:dyDescent="0.3">
      <c r="AA8183" s="37">
        <v>8163</v>
      </c>
      <c r="AB8183" s="37">
        <v>1.817337489801466</v>
      </c>
      <c r="AC8183" s="37">
        <v>2.8150693326577083</v>
      </c>
      <c r="AD8183" s="37">
        <v>3.2944690925295537</v>
      </c>
    </row>
    <row r="8184" spans="27:30" x14ac:dyDescent="0.3">
      <c r="AA8184" s="37">
        <v>8164</v>
      </c>
      <c r="AB8184" s="37">
        <v>1.7622810318520805</v>
      </c>
      <c r="AC8184" s="37">
        <v>2.8128746706889927</v>
      </c>
      <c r="AD8184" s="37">
        <v>3.3141968464429765</v>
      </c>
    </row>
    <row r="8185" spans="27:30" x14ac:dyDescent="0.3">
      <c r="AA8185" s="37">
        <v>8165</v>
      </c>
      <c r="AB8185" s="37">
        <v>1.8525431167603612</v>
      </c>
      <c r="AC8185" s="37">
        <v>2.8906889398637468</v>
      </c>
      <c r="AD8185" s="37">
        <v>3.2705957127860148</v>
      </c>
    </row>
    <row r="8186" spans="27:30" x14ac:dyDescent="0.3">
      <c r="AA8186" s="37">
        <v>8166</v>
      </c>
      <c r="AB8186" s="37">
        <v>1.7065272859374561</v>
      </c>
      <c r="AC8186" s="37">
        <v>2.931830246692837</v>
      </c>
      <c r="AD8186" s="37">
        <v>3.3507030588955575</v>
      </c>
    </row>
    <row r="8187" spans="27:30" x14ac:dyDescent="0.3">
      <c r="AA8187" s="37">
        <v>8167</v>
      </c>
      <c r="AB8187" s="37">
        <v>1.8266004225990022</v>
      </c>
      <c r="AC8187" s="37">
        <v>2.8326683468541662</v>
      </c>
      <c r="AD8187" s="37">
        <v>3.490431032075076</v>
      </c>
    </row>
    <row r="8188" spans="27:30" x14ac:dyDescent="0.3">
      <c r="AA8188" s="37">
        <v>8168</v>
      </c>
      <c r="AB8188" s="37">
        <v>1.7133575504606597</v>
      </c>
      <c r="AC8188" s="37">
        <v>2.8149483832697406</v>
      </c>
      <c r="AD8188" s="37">
        <v>3.1863374630649313</v>
      </c>
    </row>
    <row r="8189" spans="27:30" x14ac:dyDescent="0.3">
      <c r="AA8189" s="37">
        <v>8169</v>
      </c>
      <c r="AB8189" s="37">
        <v>1.750036934049477</v>
      </c>
      <c r="AC8189" s="37">
        <v>2.7676328722761072</v>
      </c>
      <c r="AD8189" s="37">
        <v>3.3577181366598006</v>
      </c>
    </row>
    <row r="8190" spans="27:30" x14ac:dyDescent="0.3">
      <c r="AA8190" s="37">
        <v>8170</v>
      </c>
      <c r="AB8190" s="37">
        <v>1.7666626852125109</v>
      </c>
      <c r="AC8190" s="37">
        <v>2.7257275412484758</v>
      </c>
      <c r="AD8190" s="37">
        <v>3.4217554815584514</v>
      </c>
    </row>
    <row r="8191" spans="27:30" x14ac:dyDescent="0.3">
      <c r="AA8191" s="37">
        <v>8171</v>
      </c>
      <c r="AB8191" s="37">
        <v>1.8919140697650756</v>
      </c>
      <c r="AC8191" s="37">
        <v>2.8406231061511287</v>
      </c>
      <c r="AD8191" s="37">
        <v>3.3142575429657155</v>
      </c>
    </row>
    <row r="8192" spans="27:30" x14ac:dyDescent="0.3">
      <c r="AA8192" s="37">
        <v>8172</v>
      </c>
      <c r="AB8192" s="37">
        <v>1.7165107726132731</v>
      </c>
      <c r="AC8192" s="37">
        <v>2.9045017948534007</v>
      </c>
      <c r="AD8192" s="37">
        <v>3.282499800770478</v>
      </c>
    </row>
    <row r="8193" spans="27:30" x14ac:dyDescent="0.3">
      <c r="AA8193" s="37">
        <v>8173</v>
      </c>
      <c r="AB8193" s="37">
        <v>1.8576227285848759</v>
      </c>
      <c r="AC8193" s="37">
        <v>2.9996555523507991</v>
      </c>
      <c r="AD8193" s="37">
        <v>3.4116574507653472</v>
      </c>
    </row>
    <row r="8194" spans="27:30" x14ac:dyDescent="0.3">
      <c r="AA8194" s="37">
        <v>8174</v>
      </c>
      <c r="AB8194" s="37">
        <v>1.7248578594625086</v>
      </c>
      <c r="AC8194" s="37">
        <v>2.8391681405947367</v>
      </c>
      <c r="AD8194" s="37">
        <v>3.2694060665024036</v>
      </c>
    </row>
    <row r="8195" spans="27:30" x14ac:dyDescent="0.3">
      <c r="AA8195" s="37">
        <v>8175</v>
      </c>
      <c r="AB8195" s="37">
        <v>1.7721042765307868</v>
      </c>
      <c r="AC8195" s="37">
        <v>2.9131803619354151</v>
      </c>
      <c r="AD8195" s="37">
        <v>3.4081805067288307</v>
      </c>
    </row>
    <row r="8196" spans="27:30" x14ac:dyDescent="0.3">
      <c r="AA8196" s="37">
        <v>8176</v>
      </c>
      <c r="AB8196" s="37">
        <v>1.6851048242076954</v>
      </c>
      <c r="AC8196" s="37">
        <v>2.7436755381496805</v>
      </c>
      <c r="AD8196" s="37">
        <v>3.2542254311566499</v>
      </c>
    </row>
    <row r="8197" spans="27:30" x14ac:dyDescent="0.3">
      <c r="AA8197" s="37">
        <v>8177</v>
      </c>
      <c r="AB8197" s="37">
        <v>1.7188335421572696</v>
      </c>
      <c r="AC8197" s="37">
        <v>2.7890197123106453</v>
      </c>
      <c r="AD8197" s="37">
        <v>3.4812348008006637</v>
      </c>
    </row>
    <row r="8198" spans="27:30" x14ac:dyDescent="0.3">
      <c r="AA8198" s="37">
        <v>8178</v>
      </c>
      <c r="AB8198" s="37">
        <v>1.7862355185415395</v>
      </c>
      <c r="AC8198" s="37">
        <v>2.7027074371363606</v>
      </c>
      <c r="AD8198" s="37">
        <v>3.3489839947363427</v>
      </c>
    </row>
    <row r="8199" spans="27:30" x14ac:dyDescent="0.3">
      <c r="AA8199" s="37">
        <v>8179</v>
      </c>
      <c r="AB8199" s="37">
        <v>1.6988106501346187</v>
      </c>
      <c r="AC8199" s="37">
        <v>2.9550794881466187</v>
      </c>
      <c r="AD8199" s="37">
        <v>3.4500262086187039</v>
      </c>
    </row>
    <row r="8200" spans="27:30" x14ac:dyDescent="0.3">
      <c r="AA8200" s="37">
        <v>8180</v>
      </c>
      <c r="AB8200" s="37">
        <v>1.7850832493066209</v>
      </c>
      <c r="AC8200" s="37">
        <v>3.0433857716568467</v>
      </c>
      <c r="AD8200" s="37">
        <v>3.5132758118300353</v>
      </c>
    </row>
    <row r="8201" spans="27:30" x14ac:dyDescent="0.3">
      <c r="AA8201" s="37">
        <v>8181</v>
      </c>
      <c r="AB8201" s="37">
        <v>1.8228837765387607</v>
      </c>
      <c r="AC8201" s="37">
        <v>2.7881230345074646</v>
      </c>
      <c r="AD8201" s="37">
        <v>3.2444307289319045</v>
      </c>
    </row>
    <row r="8202" spans="27:30" x14ac:dyDescent="0.3">
      <c r="AA8202" s="37">
        <v>8182</v>
      </c>
      <c r="AB8202" s="37">
        <v>1.7529834424264474</v>
      </c>
      <c r="AC8202" s="37">
        <v>3.0323737639434709</v>
      </c>
      <c r="AD8202" s="37">
        <v>3.3786929362380218</v>
      </c>
    </row>
    <row r="8203" spans="27:30" x14ac:dyDescent="0.3">
      <c r="AA8203" s="37">
        <v>8183</v>
      </c>
      <c r="AB8203" s="37">
        <v>1.7375186644335892</v>
      </c>
      <c r="AC8203" s="37">
        <v>2.8174182649384818</v>
      </c>
      <c r="AD8203" s="37">
        <v>3.3087257233494389</v>
      </c>
    </row>
    <row r="8204" spans="27:30" x14ac:dyDescent="0.3">
      <c r="AA8204" s="37">
        <v>8184</v>
      </c>
      <c r="AB8204" s="37">
        <v>1.8494408127608037</v>
      </c>
      <c r="AC8204" s="37">
        <v>3.0169265338171454</v>
      </c>
      <c r="AD8204" s="37">
        <v>3.4144077426967745</v>
      </c>
    </row>
    <row r="8205" spans="27:30" x14ac:dyDescent="0.3">
      <c r="AA8205" s="37">
        <v>8185</v>
      </c>
      <c r="AB8205" s="37">
        <v>1.839958747640613</v>
      </c>
      <c r="AC8205" s="37">
        <v>2.5236859725491341</v>
      </c>
      <c r="AD8205" s="37">
        <v>3.3081317067992067</v>
      </c>
    </row>
    <row r="8206" spans="27:30" x14ac:dyDescent="0.3">
      <c r="AA8206" s="37">
        <v>8186</v>
      </c>
      <c r="AB8206" s="37">
        <v>1.7904327255308154</v>
      </c>
      <c r="AC8206" s="37">
        <v>2.8886235539944307</v>
      </c>
      <c r="AD8206" s="37">
        <v>3.394785600251601</v>
      </c>
    </row>
    <row r="8207" spans="27:30" x14ac:dyDescent="0.3">
      <c r="AA8207" s="37">
        <v>8187</v>
      </c>
      <c r="AB8207" s="37">
        <v>1.7980579323558765</v>
      </c>
      <c r="AC8207" s="37">
        <v>2.7232919040051526</v>
      </c>
      <c r="AD8207" s="37">
        <v>3.2978473372574997</v>
      </c>
    </row>
    <row r="8208" spans="27:30" x14ac:dyDescent="0.3">
      <c r="AA8208" s="37">
        <v>8188</v>
      </c>
      <c r="AB8208" s="37">
        <v>1.8376834271533617</v>
      </c>
      <c r="AC8208" s="37">
        <v>3.0333722357001194</v>
      </c>
      <c r="AD8208" s="37">
        <v>3.3698137674238207</v>
      </c>
    </row>
    <row r="8209" spans="27:30" x14ac:dyDescent="0.3">
      <c r="AA8209" s="37">
        <v>8189</v>
      </c>
      <c r="AB8209" s="37">
        <v>1.7619827810900046</v>
      </c>
      <c r="AC8209" s="37">
        <v>2.9030256431981551</v>
      </c>
      <c r="AD8209" s="37">
        <v>3.3161665336426238</v>
      </c>
    </row>
    <row r="8210" spans="27:30" x14ac:dyDescent="0.3">
      <c r="AA8210" s="37">
        <v>8190</v>
      </c>
      <c r="AB8210" s="37">
        <v>1.752695682356858</v>
      </c>
      <c r="AC8210" s="37">
        <v>2.9575475945890508</v>
      </c>
      <c r="AD8210" s="37">
        <v>3.3728556256036626</v>
      </c>
    </row>
    <row r="8211" spans="27:30" x14ac:dyDescent="0.3">
      <c r="AA8211" s="37">
        <v>8191</v>
      </c>
      <c r="AB8211" s="37">
        <v>1.7258579237326264</v>
      </c>
      <c r="AC8211" s="37">
        <v>2.674855667764005</v>
      </c>
      <c r="AD8211" s="37">
        <v>3.3085289960653581</v>
      </c>
    </row>
    <row r="8212" spans="27:30" x14ac:dyDescent="0.3">
      <c r="AA8212" s="37">
        <v>8192</v>
      </c>
      <c r="AB8212" s="37">
        <v>1.8000070357232116</v>
      </c>
      <c r="AC8212" s="37">
        <v>2.8314244745978381</v>
      </c>
      <c r="AD8212" s="37">
        <v>3.5141695336196288</v>
      </c>
    </row>
    <row r="8213" spans="27:30" x14ac:dyDescent="0.3">
      <c r="AA8213" s="37">
        <v>8193</v>
      </c>
      <c r="AB8213" s="37">
        <v>1.8167335341176729</v>
      </c>
      <c r="AC8213" s="37">
        <v>2.783281328144521</v>
      </c>
      <c r="AD8213" s="37">
        <v>3.472587086032132</v>
      </c>
    </row>
    <row r="8214" spans="27:30" x14ac:dyDescent="0.3">
      <c r="AA8214" s="37">
        <v>8194</v>
      </c>
      <c r="AB8214" s="37">
        <v>1.7936866499411324</v>
      </c>
      <c r="AC8214" s="37">
        <v>2.6985550935079692</v>
      </c>
      <c r="AD8214" s="37">
        <v>3.3149871729006688</v>
      </c>
    </row>
    <row r="8215" spans="27:30" x14ac:dyDescent="0.3">
      <c r="AA8215" s="37">
        <v>8195</v>
      </c>
      <c r="AB8215" s="37">
        <v>1.799682054973351</v>
      </c>
      <c r="AC8215" s="37">
        <v>2.8527741836869054</v>
      </c>
      <c r="AD8215" s="37">
        <v>3.2734537210914501</v>
      </c>
    </row>
    <row r="8216" spans="27:30" x14ac:dyDescent="0.3">
      <c r="AA8216" s="37">
        <v>8196</v>
      </c>
      <c r="AB8216" s="37">
        <v>1.7671270725604267</v>
      </c>
      <c r="AC8216" s="37">
        <v>2.9331175526268418</v>
      </c>
      <c r="AD8216" s="37">
        <v>3.3481151688616162</v>
      </c>
    </row>
    <row r="8217" spans="27:30" x14ac:dyDescent="0.3">
      <c r="AA8217" s="37">
        <v>8197</v>
      </c>
      <c r="AB8217" s="37">
        <v>1.8027830528623201</v>
      </c>
      <c r="AC8217" s="37">
        <v>2.8168183210431215</v>
      </c>
      <c r="AD8217" s="37">
        <v>3.3859087069328377</v>
      </c>
    </row>
    <row r="8218" spans="27:30" x14ac:dyDescent="0.3">
      <c r="AA8218" s="37">
        <v>8198</v>
      </c>
      <c r="AB8218" s="37">
        <v>1.8298859835704036</v>
      </c>
      <c r="AC8218" s="37">
        <v>2.8691651484936536</v>
      </c>
      <c r="AD8218" s="37">
        <v>3.2829664895056632</v>
      </c>
    </row>
    <row r="8219" spans="27:30" x14ac:dyDescent="0.3">
      <c r="AA8219" s="37">
        <v>8199</v>
      </c>
      <c r="AB8219" s="37">
        <v>1.7289909700742994</v>
      </c>
      <c r="AC8219" s="37">
        <v>2.9065119408596813</v>
      </c>
      <c r="AD8219" s="37">
        <v>3.238738505512583</v>
      </c>
    </row>
    <row r="8220" spans="27:30" x14ac:dyDescent="0.3">
      <c r="AA8220" s="37">
        <v>8200</v>
      </c>
      <c r="AB8220" s="37">
        <v>1.6538050715253012</v>
      </c>
      <c r="AC8220" s="37">
        <v>2.8979016221658713</v>
      </c>
      <c r="AD8220" s="37">
        <v>3.2993653456653602</v>
      </c>
    </row>
    <row r="8221" spans="27:30" x14ac:dyDescent="0.3">
      <c r="AA8221" s="37">
        <v>8201</v>
      </c>
      <c r="AB8221" s="37">
        <v>1.7228681825803958</v>
      </c>
      <c r="AC8221" s="37">
        <v>2.6460270636579253</v>
      </c>
      <c r="AD8221" s="37">
        <v>3.3932810035889638</v>
      </c>
    </row>
    <row r="8222" spans="27:30" x14ac:dyDescent="0.3">
      <c r="AA8222" s="37">
        <v>8202</v>
      </c>
      <c r="AB8222" s="37">
        <v>1.8547453489679178</v>
      </c>
      <c r="AC8222" s="37">
        <v>2.9322273240802583</v>
      </c>
      <c r="AD8222" s="37">
        <v>3.6565840425317293</v>
      </c>
    </row>
    <row r="8223" spans="27:30" x14ac:dyDescent="0.3">
      <c r="AA8223" s="37">
        <v>8203</v>
      </c>
      <c r="AB8223" s="37">
        <v>1.8913572522082143</v>
      </c>
      <c r="AC8223" s="37">
        <v>2.8051669126903733</v>
      </c>
      <c r="AD8223" s="37">
        <v>3.2180172791484432</v>
      </c>
    </row>
    <row r="8224" spans="27:30" x14ac:dyDescent="0.3">
      <c r="AA8224" s="37">
        <v>8204</v>
      </c>
      <c r="AB8224" s="37">
        <v>1.7436054413845234</v>
      </c>
      <c r="AC8224" s="37">
        <v>2.8859020512022808</v>
      </c>
      <c r="AD8224" s="37">
        <v>3.3339737082972416</v>
      </c>
    </row>
    <row r="8225" spans="27:30" x14ac:dyDescent="0.3">
      <c r="AA8225" s="37">
        <v>8205</v>
      </c>
      <c r="AB8225" s="37">
        <v>1.6825286025334099</v>
      </c>
      <c r="AC8225" s="37">
        <v>2.7544302478535299</v>
      </c>
      <c r="AD8225" s="37">
        <v>3.1933183312657105</v>
      </c>
    </row>
    <row r="8226" spans="27:30" x14ac:dyDescent="0.3">
      <c r="AA8226" s="37">
        <v>8206</v>
      </c>
      <c r="AB8226" s="37">
        <v>1.7290357281431945</v>
      </c>
      <c r="AC8226" s="37">
        <v>3.0117708160883638</v>
      </c>
      <c r="AD8226" s="37">
        <v>3.3921809792010476</v>
      </c>
    </row>
    <row r="8227" spans="27:30" x14ac:dyDescent="0.3">
      <c r="AA8227" s="37">
        <v>8207</v>
      </c>
      <c r="AB8227" s="37">
        <v>1.8497862589640226</v>
      </c>
      <c r="AC8227" s="37">
        <v>2.6268552548725568</v>
      </c>
      <c r="AD8227" s="37">
        <v>3.2468440888365877</v>
      </c>
    </row>
    <row r="8228" spans="27:30" x14ac:dyDescent="0.3">
      <c r="AA8228" s="37">
        <v>8208</v>
      </c>
      <c r="AB8228" s="37">
        <v>1.7173678837843078</v>
      </c>
      <c r="AC8228" s="37">
        <v>2.6815058997960111</v>
      </c>
      <c r="AD8228" s="37">
        <v>3.5141375988705335</v>
      </c>
    </row>
    <row r="8229" spans="27:30" x14ac:dyDescent="0.3">
      <c r="AA8229" s="37">
        <v>8209</v>
      </c>
      <c r="AB8229" s="37">
        <v>1.7556498686734219</v>
      </c>
      <c r="AC8229" s="37">
        <v>2.9786034417259173</v>
      </c>
      <c r="AD8229" s="37">
        <v>3.2334489745056283</v>
      </c>
    </row>
    <row r="8230" spans="27:30" x14ac:dyDescent="0.3">
      <c r="AA8230" s="37">
        <v>8210</v>
      </c>
      <c r="AB8230" s="37">
        <v>1.8095764955988105</v>
      </c>
      <c r="AC8230" s="37">
        <v>2.962152207883316</v>
      </c>
      <c r="AD8230" s="37">
        <v>3.1575244315407751</v>
      </c>
    </row>
    <row r="8231" spans="27:30" x14ac:dyDescent="0.3">
      <c r="AA8231" s="37">
        <v>8211</v>
      </c>
      <c r="AB8231" s="37">
        <v>1.6978973582587256</v>
      </c>
      <c r="AC8231" s="37">
        <v>2.8713829564714377</v>
      </c>
      <c r="AD8231" s="37">
        <v>3.3401911811129739</v>
      </c>
    </row>
    <row r="8232" spans="27:30" x14ac:dyDescent="0.3">
      <c r="AA8232" s="37">
        <v>8212</v>
      </c>
      <c r="AB8232" s="37">
        <v>1.8065925594994787</v>
      </c>
      <c r="AC8232" s="37">
        <v>2.8512725730931656</v>
      </c>
      <c r="AD8232" s="37">
        <v>3.2849506901732419</v>
      </c>
    </row>
    <row r="8233" spans="27:30" x14ac:dyDescent="0.3">
      <c r="AA8233" s="37">
        <v>8213</v>
      </c>
      <c r="AB8233" s="37">
        <v>1.766404553211417</v>
      </c>
      <c r="AC8233" s="37">
        <v>2.8459155687417974</v>
      </c>
      <c r="AD8233" s="37">
        <v>3.2031646822422299</v>
      </c>
    </row>
    <row r="8234" spans="27:30" x14ac:dyDescent="0.3">
      <c r="AA8234" s="37">
        <v>8214</v>
      </c>
      <c r="AB8234" s="37">
        <v>1.7405724380911014</v>
      </c>
      <c r="AC8234" s="37">
        <v>2.7726256903122901</v>
      </c>
      <c r="AD8234" s="37">
        <v>3.5403011861392835</v>
      </c>
    </row>
    <row r="8235" spans="27:30" x14ac:dyDescent="0.3">
      <c r="AA8235" s="37">
        <v>8215</v>
      </c>
      <c r="AB8235" s="37">
        <v>1.8300936836064607</v>
      </c>
      <c r="AC8235" s="37">
        <v>2.9992769695689403</v>
      </c>
      <c r="AD8235" s="37">
        <v>3.5348156436851976</v>
      </c>
    </row>
    <row r="8236" spans="27:30" x14ac:dyDescent="0.3">
      <c r="AA8236" s="37">
        <v>8216</v>
      </c>
      <c r="AB8236" s="37">
        <v>1.7749761036776492</v>
      </c>
      <c r="AC8236" s="37">
        <v>2.7139153952743533</v>
      </c>
      <c r="AD8236" s="37">
        <v>3.4020597069340042</v>
      </c>
    </row>
    <row r="8237" spans="27:30" x14ac:dyDescent="0.3">
      <c r="AA8237" s="37">
        <v>8217</v>
      </c>
      <c r="AB8237" s="37">
        <v>1.7379344517989241</v>
      </c>
      <c r="AC8237" s="37">
        <v>2.9836613442322029</v>
      </c>
      <c r="AD8237" s="37">
        <v>3.4598674198209758</v>
      </c>
    </row>
    <row r="8238" spans="27:30" x14ac:dyDescent="0.3">
      <c r="AA8238" s="37">
        <v>8218</v>
      </c>
      <c r="AB8238" s="37">
        <v>1.7351143689113264</v>
      </c>
      <c r="AC8238" s="37">
        <v>2.8388105190047526</v>
      </c>
      <c r="AD8238" s="37">
        <v>3.2346728612718385</v>
      </c>
    </row>
    <row r="8239" spans="27:30" x14ac:dyDescent="0.3">
      <c r="AA8239" s="37">
        <v>8219</v>
      </c>
      <c r="AB8239" s="37">
        <v>1.8399678816792187</v>
      </c>
      <c r="AC8239" s="37">
        <v>2.7978339887255554</v>
      </c>
      <c r="AD8239" s="37">
        <v>3.3087871722171371</v>
      </c>
    </row>
    <row r="8240" spans="27:30" x14ac:dyDescent="0.3">
      <c r="AA8240" s="37">
        <v>8220</v>
      </c>
      <c r="AB8240" s="37">
        <v>1.7930555794109222</v>
      </c>
      <c r="AC8240" s="37">
        <v>2.8856832881655885</v>
      </c>
      <c r="AD8240" s="37">
        <v>3.3609784638998326</v>
      </c>
    </row>
    <row r="8241" spans="27:30" x14ac:dyDescent="0.3">
      <c r="AA8241" s="37">
        <v>8221</v>
      </c>
      <c r="AB8241" s="37">
        <v>1.9326109535109202</v>
      </c>
      <c r="AC8241" s="37">
        <v>2.8685155642733418</v>
      </c>
      <c r="AD8241" s="37">
        <v>3.4960735585774207</v>
      </c>
    </row>
    <row r="8242" spans="27:30" x14ac:dyDescent="0.3">
      <c r="AA8242" s="37">
        <v>8222</v>
      </c>
      <c r="AB8242" s="37">
        <v>1.8119666289593779</v>
      </c>
      <c r="AC8242" s="37">
        <v>2.5918199132283801</v>
      </c>
      <c r="AD8242" s="37">
        <v>3.5235378461136482</v>
      </c>
    </row>
    <row r="8243" spans="27:30" x14ac:dyDescent="0.3">
      <c r="AA8243" s="37">
        <v>8223</v>
      </c>
      <c r="AB8243" s="37">
        <v>1.6476350531160882</v>
      </c>
      <c r="AC8243" s="37">
        <v>2.872971064589255</v>
      </c>
      <c r="AD8243" s="37">
        <v>3.5502911685887195</v>
      </c>
    </row>
    <row r="8244" spans="27:30" x14ac:dyDescent="0.3">
      <c r="AA8244" s="37">
        <v>8224</v>
      </c>
      <c r="AB8244" s="37">
        <v>1.7894959721306072</v>
      </c>
      <c r="AC8244" s="37">
        <v>2.6643579490226852</v>
      </c>
      <c r="AD8244" s="37">
        <v>3.3212846244143388</v>
      </c>
    </row>
    <row r="8245" spans="27:30" x14ac:dyDescent="0.3">
      <c r="AA8245" s="37">
        <v>8225</v>
      </c>
      <c r="AB8245" s="37">
        <v>1.712935333277533</v>
      </c>
      <c r="AC8245" s="37">
        <v>2.8504557584643022</v>
      </c>
      <c r="AD8245" s="37">
        <v>3.447051622972142</v>
      </c>
    </row>
    <row r="8246" spans="27:30" x14ac:dyDescent="0.3">
      <c r="AA8246" s="37">
        <v>8226</v>
      </c>
      <c r="AB8246" s="37">
        <v>1.7638188899326706</v>
      </c>
      <c r="AC8246" s="37">
        <v>2.9855056200925638</v>
      </c>
      <c r="AD8246" s="37">
        <v>3.3320099286671554</v>
      </c>
    </row>
    <row r="8247" spans="27:30" x14ac:dyDescent="0.3">
      <c r="AA8247" s="37">
        <v>8227</v>
      </c>
      <c r="AB8247" s="37">
        <v>1.7331584189761864</v>
      </c>
      <c r="AC8247" s="37">
        <v>2.7898943017385034</v>
      </c>
      <c r="AD8247" s="37">
        <v>3.3168922119806092</v>
      </c>
    </row>
    <row r="8248" spans="27:30" x14ac:dyDescent="0.3">
      <c r="AA8248" s="37">
        <v>8228</v>
      </c>
      <c r="AB8248" s="37">
        <v>1.7935571117258333</v>
      </c>
      <c r="AC8248" s="37">
        <v>2.6609199421740426</v>
      </c>
      <c r="AD8248" s="37">
        <v>3.3029931639099148</v>
      </c>
    </row>
    <row r="8249" spans="27:30" x14ac:dyDescent="0.3">
      <c r="AA8249" s="37">
        <v>8229</v>
      </c>
      <c r="AB8249" s="37">
        <v>1.7830046896695371</v>
      </c>
      <c r="AC8249" s="37">
        <v>2.826333974031936</v>
      </c>
      <c r="AD8249" s="37">
        <v>3.4026101374964952</v>
      </c>
    </row>
    <row r="8250" spans="27:30" x14ac:dyDescent="0.3">
      <c r="AA8250" s="37">
        <v>8230</v>
      </c>
      <c r="AB8250" s="37">
        <v>1.7858492255169329</v>
      </c>
      <c r="AC8250" s="37">
        <v>2.883014958056314</v>
      </c>
      <c r="AD8250" s="37">
        <v>3.21642417956937</v>
      </c>
    </row>
    <row r="8251" spans="27:30" x14ac:dyDescent="0.3">
      <c r="AA8251" s="37">
        <v>8231</v>
      </c>
      <c r="AB8251" s="37">
        <v>1.7633895974578089</v>
      </c>
      <c r="AC8251" s="37">
        <v>2.7725721014260327</v>
      </c>
      <c r="AD8251" s="37">
        <v>3.2389173001387479</v>
      </c>
    </row>
    <row r="8252" spans="27:30" x14ac:dyDescent="0.3">
      <c r="AA8252" s="37">
        <v>8232</v>
      </c>
      <c r="AB8252" s="37">
        <v>1.8109546143729736</v>
      </c>
      <c r="AC8252" s="37">
        <v>2.7731289726943342</v>
      </c>
      <c r="AD8252" s="37">
        <v>3.2721163481462261</v>
      </c>
    </row>
    <row r="8253" spans="27:30" x14ac:dyDescent="0.3">
      <c r="AA8253" s="37">
        <v>8233</v>
      </c>
      <c r="AB8253" s="37">
        <v>1.7962438737908974</v>
      </c>
      <c r="AC8253" s="37">
        <v>2.8315256033128824</v>
      </c>
      <c r="AD8253" s="37">
        <v>3.4377334796207903</v>
      </c>
    </row>
    <row r="8254" spans="27:30" x14ac:dyDescent="0.3">
      <c r="AA8254" s="37">
        <v>8234</v>
      </c>
      <c r="AB8254" s="37">
        <v>1.8764657131224953</v>
      </c>
      <c r="AC8254" s="37">
        <v>2.7362977415847634</v>
      </c>
      <c r="AD8254" s="37">
        <v>3.2987260493865915</v>
      </c>
    </row>
    <row r="8255" spans="27:30" x14ac:dyDescent="0.3">
      <c r="AA8255" s="37">
        <v>8235</v>
      </c>
      <c r="AB8255" s="37">
        <v>1.6824110278692024</v>
      </c>
      <c r="AC8255" s="37">
        <v>2.8400451756493403</v>
      </c>
      <c r="AD8255" s="37">
        <v>3.331862276935996</v>
      </c>
    </row>
    <row r="8256" spans="27:30" x14ac:dyDescent="0.3">
      <c r="AA8256" s="37">
        <v>8236</v>
      </c>
      <c r="AB8256" s="37">
        <v>1.7396906261131668</v>
      </c>
      <c r="AC8256" s="37">
        <v>2.7476306046144026</v>
      </c>
      <c r="AD8256" s="37">
        <v>3.351226485763072</v>
      </c>
    </row>
    <row r="8257" spans="27:30" x14ac:dyDescent="0.3">
      <c r="AA8257" s="37">
        <v>8237</v>
      </c>
      <c r="AB8257" s="37">
        <v>1.8147013924471516</v>
      </c>
      <c r="AC8257" s="37">
        <v>2.91672222127242</v>
      </c>
      <c r="AD8257" s="37">
        <v>3.4784046377684463</v>
      </c>
    </row>
    <row r="8258" spans="27:30" x14ac:dyDescent="0.3">
      <c r="AA8258" s="37">
        <v>8238</v>
      </c>
      <c r="AB8258" s="37">
        <v>1.77637860945565</v>
      </c>
      <c r="AC8258" s="37">
        <v>2.8539751247986942</v>
      </c>
      <c r="AD8258" s="37">
        <v>3.2221561738517139</v>
      </c>
    </row>
    <row r="8259" spans="27:30" x14ac:dyDescent="0.3">
      <c r="AA8259" s="37">
        <v>8239</v>
      </c>
      <c r="AB8259" s="37">
        <v>1.8427394714512426</v>
      </c>
      <c r="AC8259" s="37">
        <v>2.6583437096568274</v>
      </c>
      <c r="AD8259" s="37">
        <v>3.2666851370023271</v>
      </c>
    </row>
    <row r="8260" spans="27:30" x14ac:dyDescent="0.3">
      <c r="AA8260" s="37">
        <v>8240</v>
      </c>
      <c r="AB8260" s="37">
        <v>1.8201393268999815</v>
      </c>
      <c r="AC8260" s="37">
        <v>2.8986531518686389</v>
      </c>
      <c r="AD8260" s="37">
        <v>3.1936933512758587</v>
      </c>
    </row>
    <row r="8261" spans="27:30" x14ac:dyDescent="0.3">
      <c r="AA8261" s="37">
        <v>8241</v>
      </c>
      <c r="AB8261" s="37">
        <v>1.7928696607398797</v>
      </c>
      <c r="AC8261" s="37">
        <v>2.910767417170586</v>
      </c>
      <c r="AD8261" s="37">
        <v>3.3915383076090611</v>
      </c>
    </row>
    <row r="8262" spans="27:30" x14ac:dyDescent="0.3">
      <c r="AA8262" s="37">
        <v>8242</v>
      </c>
      <c r="AB8262" s="37">
        <v>1.7912562984942459</v>
      </c>
      <c r="AC8262" s="37">
        <v>2.8534652239574552</v>
      </c>
      <c r="AD8262" s="37">
        <v>3.3097856475732113</v>
      </c>
    </row>
    <row r="8263" spans="27:30" x14ac:dyDescent="0.3">
      <c r="AA8263" s="37">
        <v>8243</v>
      </c>
      <c r="AB8263" s="37">
        <v>1.8010839725163466</v>
      </c>
      <c r="AC8263" s="37">
        <v>2.9201161978469852</v>
      </c>
      <c r="AD8263" s="37">
        <v>3.4590299549323702</v>
      </c>
    </row>
    <row r="8264" spans="27:30" x14ac:dyDescent="0.3">
      <c r="AA8264" s="37">
        <v>8244</v>
      </c>
      <c r="AB8264" s="37">
        <v>1.8259561316717472</v>
      </c>
      <c r="AC8264" s="37">
        <v>2.7142901185963124</v>
      </c>
      <c r="AD8264" s="37">
        <v>3.5106471463267952</v>
      </c>
    </row>
    <row r="8265" spans="27:30" x14ac:dyDescent="0.3">
      <c r="AA8265" s="37">
        <v>8245</v>
      </c>
      <c r="AB8265" s="37">
        <v>1.8113171783665434</v>
      </c>
      <c r="AC8265" s="37">
        <v>3.0103984982058969</v>
      </c>
      <c r="AD8265" s="37">
        <v>3.2790933835366856</v>
      </c>
    </row>
    <row r="8266" spans="27:30" x14ac:dyDescent="0.3">
      <c r="AA8266" s="37">
        <v>8246</v>
      </c>
      <c r="AB8266" s="37">
        <v>1.7937591049429091</v>
      </c>
      <c r="AC8266" s="37">
        <v>2.8649385613565008</v>
      </c>
      <c r="AD8266" s="37">
        <v>3.4637236598268926</v>
      </c>
    </row>
    <row r="8267" spans="27:30" x14ac:dyDescent="0.3">
      <c r="AA8267" s="37">
        <v>8247</v>
      </c>
      <c r="AB8267" s="37">
        <v>1.7431240483487762</v>
      </c>
      <c r="AC8267" s="37">
        <v>2.9869989623842965</v>
      </c>
      <c r="AD8267" s="37">
        <v>3.3728568877027167</v>
      </c>
    </row>
    <row r="8268" spans="27:30" x14ac:dyDescent="0.3">
      <c r="AA8268" s="37">
        <v>8248</v>
      </c>
      <c r="AB8268" s="37">
        <v>1.836788760861175</v>
      </c>
      <c r="AC8268" s="37">
        <v>2.8493912402340698</v>
      </c>
      <c r="AD8268" s="37">
        <v>3.3972076085526779</v>
      </c>
    </row>
    <row r="8269" spans="27:30" x14ac:dyDescent="0.3">
      <c r="AA8269" s="37">
        <v>8249</v>
      </c>
      <c r="AB8269" s="37">
        <v>1.7894011499528748</v>
      </c>
      <c r="AC8269" s="37">
        <v>2.7035787673028961</v>
      </c>
      <c r="AD8269" s="37">
        <v>3.4048619866717549</v>
      </c>
    </row>
    <row r="8270" spans="27:30" x14ac:dyDescent="0.3">
      <c r="AA8270" s="37">
        <v>8250</v>
      </c>
      <c r="AB8270" s="37">
        <v>1.7066606504726725</v>
      </c>
      <c r="AC8270" s="37">
        <v>2.8232387842776023</v>
      </c>
      <c r="AD8270" s="37">
        <v>3.2387519347480409</v>
      </c>
    </row>
    <row r="8271" spans="27:30" x14ac:dyDescent="0.3">
      <c r="AA8271" s="37">
        <v>8251</v>
      </c>
      <c r="AB8271" s="37">
        <v>1.7937686368545618</v>
      </c>
      <c r="AC8271" s="37">
        <v>2.9086211584365342</v>
      </c>
      <c r="AD8271" s="37">
        <v>3.3252235766787757</v>
      </c>
    </row>
    <row r="8272" spans="27:30" x14ac:dyDescent="0.3">
      <c r="AA8272" s="37">
        <v>8252</v>
      </c>
      <c r="AB8272" s="37">
        <v>1.7790589589174499</v>
      </c>
      <c r="AC8272" s="37">
        <v>2.9194985495971992</v>
      </c>
      <c r="AD8272" s="37">
        <v>3.3159122214869483</v>
      </c>
    </row>
    <row r="8273" spans="27:30" x14ac:dyDescent="0.3">
      <c r="AA8273" s="37">
        <v>8253</v>
      </c>
      <c r="AB8273" s="37">
        <v>1.8269469506676812</v>
      </c>
      <c r="AC8273" s="37">
        <v>2.9540577352011694</v>
      </c>
      <c r="AD8273" s="37">
        <v>3.1585457064157088</v>
      </c>
    </row>
    <row r="8274" spans="27:30" x14ac:dyDescent="0.3">
      <c r="AA8274" s="37">
        <v>8254</v>
      </c>
      <c r="AB8274" s="37">
        <v>1.7268851303316075</v>
      </c>
      <c r="AC8274" s="37">
        <v>3.1149830809785612</v>
      </c>
      <c r="AD8274" s="37">
        <v>3.3859562424590943</v>
      </c>
    </row>
    <row r="8275" spans="27:30" x14ac:dyDescent="0.3">
      <c r="AA8275" s="37">
        <v>8255</v>
      </c>
      <c r="AB8275" s="37">
        <v>1.7254530807175901</v>
      </c>
      <c r="AC8275" s="37">
        <v>2.7363684610706893</v>
      </c>
      <c r="AD8275" s="37">
        <v>3.0424430215631313</v>
      </c>
    </row>
    <row r="8276" spans="27:30" x14ac:dyDescent="0.3">
      <c r="AA8276" s="37">
        <v>8256</v>
      </c>
      <c r="AB8276" s="37">
        <v>1.8152886015458569</v>
      </c>
      <c r="AC8276" s="37">
        <v>2.8374181520326784</v>
      </c>
      <c r="AD8276" s="37">
        <v>3.1365579305416729</v>
      </c>
    </row>
    <row r="8277" spans="27:30" x14ac:dyDescent="0.3">
      <c r="AA8277" s="37">
        <v>8257</v>
      </c>
      <c r="AB8277" s="37">
        <v>1.829982021094573</v>
      </c>
      <c r="AC8277" s="37">
        <v>2.9493297471812894</v>
      </c>
      <c r="AD8277" s="37">
        <v>3.2880430070895907</v>
      </c>
    </row>
    <row r="8278" spans="27:30" x14ac:dyDescent="0.3">
      <c r="AA8278" s="37">
        <v>8258</v>
      </c>
      <c r="AB8278" s="37">
        <v>1.7720737198156988</v>
      </c>
      <c r="AC8278" s="37">
        <v>2.7308509676738875</v>
      </c>
      <c r="AD8278" s="37">
        <v>3.3943728269140729</v>
      </c>
    </row>
    <row r="8279" spans="27:30" x14ac:dyDescent="0.3">
      <c r="AA8279" s="37">
        <v>8259</v>
      </c>
      <c r="AB8279" s="37">
        <v>1.7411150616391056</v>
      </c>
      <c r="AC8279" s="37">
        <v>2.7845778110679409</v>
      </c>
      <c r="AD8279" s="37">
        <v>3.266905884281003</v>
      </c>
    </row>
    <row r="8280" spans="27:30" x14ac:dyDescent="0.3">
      <c r="AA8280" s="37">
        <v>8260</v>
      </c>
      <c r="AB8280" s="37">
        <v>1.7970351401906361</v>
      </c>
      <c r="AC8280" s="37">
        <v>3.0657662940778021</v>
      </c>
      <c r="AD8280" s="37">
        <v>3.2640719865877101</v>
      </c>
    </row>
    <row r="8281" spans="27:30" x14ac:dyDescent="0.3">
      <c r="AA8281" s="37">
        <v>8261</v>
      </c>
      <c r="AB8281" s="37">
        <v>1.705695737966247</v>
      </c>
      <c r="AC8281" s="37">
        <v>2.8356122505570625</v>
      </c>
      <c r="AD8281" s="37">
        <v>3.1246955009673294</v>
      </c>
    </row>
    <row r="8282" spans="27:30" x14ac:dyDescent="0.3">
      <c r="AA8282" s="37">
        <v>8262</v>
      </c>
      <c r="AB8282" s="37">
        <v>1.7193246497134231</v>
      </c>
      <c r="AC8282" s="37">
        <v>2.8988484961567038</v>
      </c>
      <c r="AD8282" s="37">
        <v>3.2674617300744604</v>
      </c>
    </row>
    <row r="8283" spans="27:30" x14ac:dyDescent="0.3">
      <c r="AA8283" s="37">
        <v>8263</v>
      </c>
      <c r="AB8283" s="37">
        <v>1.7428166455877301</v>
      </c>
      <c r="AC8283" s="37">
        <v>2.8503185129580526</v>
      </c>
      <c r="AD8283" s="37">
        <v>3.239992882584481</v>
      </c>
    </row>
    <row r="8284" spans="27:30" x14ac:dyDescent="0.3">
      <c r="AA8284" s="37">
        <v>8264</v>
      </c>
      <c r="AB8284" s="37">
        <v>1.786162218224961</v>
      </c>
      <c r="AC8284" s="37">
        <v>3.0235181688620032</v>
      </c>
      <c r="AD8284" s="37">
        <v>3.2744288443941358</v>
      </c>
    </row>
    <row r="8285" spans="27:30" x14ac:dyDescent="0.3">
      <c r="AA8285" s="37">
        <v>8265</v>
      </c>
      <c r="AB8285" s="37">
        <v>1.7370818360156641</v>
      </c>
      <c r="AC8285" s="37">
        <v>2.8360506829481911</v>
      </c>
      <c r="AD8285" s="37">
        <v>3.4664766228040627</v>
      </c>
    </row>
    <row r="8286" spans="27:30" x14ac:dyDescent="0.3">
      <c r="AA8286" s="37">
        <v>8266</v>
      </c>
      <c r="AB8286" s="37">
        <v>1.8808330530587318</v>
      </c>
      <c r="AC8286" s="37">
        <v>2.8569323444543397</v>
      </c>
      <c r="AD8286" s="37">
        <v>3.3644264973289038</v>
      </c>
    </row>
    <row r="8287" spans="27:30" x14ac:dyDescent="0.3">
      <c r="AA8287" s="37">
        <v>8267</v>
      </c>
      <c r="AB8287" s="37">
        <v>1.7170246809134249</v>
      </c>
      <c r="AC8287" s="37">
        <v>2.7760657509052264</v>
      </c>
      <c r="AD8287" s="37">
        <v>3.2463703882976214</v>
      </c>
    </row>
    <row r="8288" spans="27:30" x14ac:dyDescent="0.3">
      <c r="AA8288" s="37">
        <v>8268</v>
      </c>
      <c r="AB8288" s="37">
        <v>1.8064713496749261</v>
      </c>
      <c r="AC8288" s="37">
        <v>2.908391317938178</v>
      </c>
      <c r="AD8288" s="37">
        <v>3.6349073499564204</v>
      </c>
    </row>
    <row r="8289" spans="27:30" x14ac:dyDescent="0.3">
      <c r="AA8289" s="37">
        <v>8269</v>
      </c>
      <c r="AB8289" s="37">
        <v>1.7794370812225211</v>
      </c>
      <c r="AC8289" s="37">
        <v>2.9015579351614997</v>
      </c>
      <c r="AD8289" s="37">
        <v>3.4251565290146253</v>
      </c>
    </row>
    <row r="8290" spans="27:30" x14ac:dyDescent="0.3">
      <c r="AA8290" s="37">
        <v>8270</v>
      </c>
      <c r="AB8290" s="37">
        <v>1.7758352968632016</v>
      </c>
      <c r="AC8290" s="37">
        <v>2.8431208108454693</v>
      </c>
      <c r="AD8290" s="37">
        <v>3.3489248362803421</v>
      </c>
    </row>
    <row r="8291" spans="27:30" x14ac:dyDescent="0.3">
      <c r="AA8291" s="37">
        <v>8271</v>
      </c>
      <c r="AB8291" s="37">
        <v>1.8358287633129564</v>
      </c>
      <c r="AC8291" s="37">
        <v>2.9168768483251037</v>
      </c>
      <c r="AD8291" s="37">
        <v>3.4642895326957293</v>
      </c>
    </row>
    <row r="8292" spans="27:30" x14ac:dyDescent="0.3">
      <c r="AA8292" s="37">
        <v>8272</v>
      </c>
      <c r="AB8292" s="37">
        <v>1.8587674193056725</v>
      </c>
      <c r="AC8292" s="37">
        <v>2.6558696274173066</v>
      </c>
      <c r="AD8292" s="37">
        <v>3.3752761229676791</v>
      </c>
    </row>
    <row r="8293" spans="27:30" x14ac:dyDescent="0.3">
      <c r="AA8293" s="37">
        <v>8273</v>
      </c>
      <c r="AB8293" s="37">
        <v>1.800033597318158</v>
      </c>
      <c r="AC8293" s="37">
        <v>2.7129399295267826</v>
      </c>
      <c r="AD8293" s="37">
        <v>3.2885125797191148</v>
      </c>
    </row>
    <row r="8294" spans="27:30" x14ac:dyDescent="0.3">
      <c r="AA8294" s="37">
        <v>8274</v>
      </c>
      <c r="AB8294" s="37">
        <v>1.7079535080657875</v>
      </c>
      <c r="AC8294" s="37">
        <v>2.7349325675393557</v>
      </c>
      <c r="AD8294" s="37">
        <v>3.3162469716763567</v>
      </c>
    </row>
    <row r="8295" spans="27:30" x14ac:dyDescent="0.3">
      <c r="AA8295" s="37">
        <v>8275</v>
      </c>
      <c r="AB8295" s="37">
        <v>1.7902058065139683</v>
      </c>
      <c r="AC8295" s="37">
        <v>2.8224243949374253</v>
      </c>
      <c r="AD8295" s="37">
        <v>3.4073479775063809</v>
      </c>
    </row>
    <row r="8296" spans="27:30" x14ac:dyDescent="0.3">
      <c r="AA8296" s="37">
        <v>8276</v>
      </c>
      <c r="AB8296" s="37">
        <v>1.7713640919820561</v>
      </c>
      <c r="AC8296" s="37">
        <v>2.663161895927959</v>
      </c>
      <c r="AD8296" s="37">
        <v>3.2387973772112826</v>
      </c>
    </row>
    <row r="8297" spans="27:30" x14ac:dyDescent="0.3">
      <c r="AA8297" s="37">
        <v>8277</v>
      </c>
      <c r="AB8297" s="37">
        <v>1.7733920173448405</v>
      </c>
      <c r="AC8297" s="37">
        <v>2.704377750914694</v>
      </c>
      <c r="AD8297" s="37">
        <v>3.1193741885128876</v>
      </c>
    </row>
    <row r="8298" spans="27:30" x14ac:dyDescent="0.3">
      <c r="AA8298" s="37">
        <v>8278</v>
      </c>
      <c r="AB8298" s="37">
        <v>1.7759530808847583</v>
      </c>
      <c r="AC8298" s="37">
        <v>2.8565725472527372</v>
      </c>
      <c r="AD8298" s="37">
        <v>3.3960399853097667</v>
      </c>
    </row>
    <row r="8299" spans="27:30" x14ac:dyDescent="0.3">
      <c r="AA8299" s="37">
        <v>8279</v>
      </c>
      <c r="AB8299" s="37">
        <v>1.7271834359067704</v>
      </c>
      <c r="AC8299" s="37">
        <v>2.7290735022453076</v>
      </c>
      <c r="AD8299" s="37">
        <v>3.2757352411006213</v>
      </c>
    </row>
    <row r="8300" spans="27:30" x14ac:dyDescent="0.3">
      <c r="AA8300" s="37">
        <v>8280</v>
      </c>
      <c r="AB8300" s="37">
        <v>1.7952135848490101</v>
      </c>
      <c r="AC8300" s="37">
        <v>2.8192349237441885</v>
      </c>
      <c r="AD8300" s="37">
        <v>3.4563585287392251</v>
      </c>
    </row>
    <row r="8301" spans="27:30" x14ac:dyDescent="0.3">
      <c r="AA8301" s="37">
        <v>8281</v>
      </c>
      <c r="AB8301" s="37">
        <v>1.7339542862586554</v>
      </c>
      <c r="AC8301" s="37">
        <v>2.9473385590410541</v>
      </c>
      <c r="AD8301" s="37">
        <v>3.1033861715894795</v>
      </c>
    </row>
    <row r="8302" spans="27:30" x14ac:dyDescent="0.3">
      <c r="AA8302" s="37">
        <v>8282</v>
      </c>
      <c r="AB8302" s="37">
        <v>1.7501893618921087</v>
      </c>
      <c r="AC8302" s="37">
        <v>2.8191636041238066</v>
      </c>
      <c r="AD8302" s="37">
        <v>3.479803878787477</v>
      </c>
    </row>
    <row r="8303" spans="27:30" x14ac:dyDescent="0.3">
      <c r="AA8303" s="37">
        <v>8283</v>
      </c>
      <c r="AB8303" s="37">
        <v>1.8198499568300512</v>
      </c>
      <c r="AC8303" s="37">
        <v>2.8494058451842945</v>
      </c>
      <c r="AD8303" s="37">
        <v>3.4919092534111043</v>
      </c>
    </row>
    <row r="8304" spans="27:30" x14ac:dyDescent="0.3">
      <c r="AA8304" s="37">
        <v>8284</v>
      </c>
      <c r="AB8304" s="37">
        <v>1.7446110232076462</v>
      </c>
      <c r="AC8304" s="37">
        <v>2.9193734169029164</v>
      </c>
      <c r="AD8304" s="37">
        <v>3.5355157374328954</v>
      </c>
    </row>
    <row r="8305" spans="27:30" x14ac:dyDescent="0.3">
      <c r="AA8305" s="37">
        <v>8285</v>
      </c>
      <c r="AB8305" s="37">
        <v>1.7342580509798755</v>
      </c>
      <c r="AC8305" s="37">
        <v>2.8231609315252024</v>
      </c>
      <c r="AD8305" s="37">
        <v>3.4719394391620684</v>
      </c>
    </row>
    <row r="8306" spans="27:30" x14ac:dyDescent="0.3">
      <c r="AA8306" s="37">
        <v>8286</v>
      </c>
      <c r="AB8306" s="37">
        <v>1.8472899943586596</v>
      </c>
      <c r="AC8306" s="37">
        <v>2.7747335841478824</v>
      </c>
      <c r="AD8306" s="37">
        <v>3.4724456739849092</v>
      </c>
    </row>
    <row r="8307" spans="27:30" x14ac:dyDescent="0.3">
      <c r="AA8307" s="37">
        <v>8287</v>
      </c>
      <c r="AB8307" s="37">
        <v>1.638631893220764</v>
      </c>
      <c r="AC8307" s="37">
        <v>2.7484277448973509</v>
      </c>
      <c r="AD8307" s="37">
        <v>3.516409336112658</v>
      </c>
    </row>
    <row r="8308" spans="27:30" x14ac:dyDescent="0.3">
      <c r="AA8308" s="37">
        <v>8288</v>
      </c>
      <c r="AB8308" s="37">
        <v>1.7994790798180036</v>
      </c>
      <c r="AC8308" s="37">
        <v>2.873136311433365</v>
      </c>
      <c r="AD8308" s="37">
        <v>3.362924030952068</v>
      </c>
    </row>
    <row r="8309" spans="27:30" x14ac:dyDescent="0.3">
      <c r="AA8309" s="37">
        <v>8289</v>
      </c>
      <c r="AB8309" s="37">
        <v>1.8032401221887118</v>
      </c>
      <c r="AC8309" s="37">
        <v>2.6045218919576949</v>
      </c>
      <c r="AD8309" s="37">
        <v>3.1308037468101193</v>
      </c>
    </row>
    <row r="8310" spans="27:30" x14ac:dyDescent="0.3">
      <c r="AA8310" s="37">
        <v>8290</v>
      </c>
      <c r="AB8310" s="37">
        <v>1.8360314845222077</v>
      </c>
      <c r="AC8310" s="37">
        <v>2.8071697031229035</v>
      </c>
      <c r="AD8310" s="37">
        <v>3.1337791539574598</v>
      </c>
    </row>
    <row r="8311" spans="27:30" x14ac:dyDescent="0.3">
      <c r="AA8311" s="37">
        <v>8291</v>
      </c>
      <c r="AB8311" s="37">
        <v>1.8010010672464523</v>
      </c>
      <c r="AC8311" s="37">
        <v>2.7735474369756816</v>
      </c>
      <c r="AD8311" s="37">
        <v>3.3957245693907177</v>
      </c>
    </row>
    <row r="8312" spans="27:30" x14ac:dyDescent="0.3">
      <c r="AA8312" s="37">
        <v>8292</v>
      </c>
      <c r="AB8312" s="37">
        <v>1.7936748134099267</v>
      </c>
      <c r="AC8312" s="37">
        <v>2.9240773251856838</v>
      </c>
      <c r="AD8312" s="37">
        <v>3.2504698140465802</v>
      </c>
    </row>
    <row r="8313" spans="27:30" x14ac:dyDescent="0.3">
      <c r="AA8313" s="37">
        <v>8293</v>
      </c>
      <c r="AB8313" s="37">
        <v>1.6786686319693596</v>
      </c>
      <c r="AC8313" s="37">
        <v>2.7915459134307854</v>
      </c>
      <c r="AD8313" s="37">
        <v>3.4948586402121644</v>
      </c>
    </row>
    <row r="8314" spans="27:30" x14ac:dyDescent="0.3">
      <c r="AA8314" s="37">
        <v>8294</v>
      </c>
      <c r="AB8314" s="37">
        <v>1.6568314302260005</v>
      </c>
      <c r="AC8314" s="37">
        <v>2.9713281240569858</v>
      </c>
      <c r="AD8314" s="37">
        <v>3.4355774643704748</v>
      </c>
    </row>
    <row r="8315" spans="27:30" x14ac:dyDescent="0.3">
      <c r="AA8315" s="37">
        <v>8295</v>
      </c>
      <c r="AB8315" s="37">
        <v>1.754722531837634</v>
      </c>
      <c r="AC8315" s="37">
        <v>2.8409859446578105</v>
      </c>
      <c r="AD8315" s="37">
        <v>3.4993970498635245</v>
      </c>
    </row>
    <row r="8316" spans="27:30" x14ac:dyDescent="0.3">
      <c r="AA8316" s="37">
        <v>8296</v>
      </c>
      <c r="AB8316" s="37">
        <v>1.8554206704222427</v>
      </c>
      <c r="AC8316" s="37">
        <v>2.8153927686400495</v>
      </c>
      <c r="AD8316" s="37">
        <v>3.4688544625231894</v>
      </c>
    </row>
    <row r="8317" spans="27:30" x14ac:dyDescent="0.3">
      <c r="AA8317" s="37">
        <v>8297</v>
      </c>
      <c r="AB8317" s="37">
        <v>1.7604559721389454</v>
      </c>
      <c r="AC8317" s="37">
        <v>2.7732647748680059</v>
      </c>
      <c r="AD8317" s="37">
        <v>3.3905867919851969</v>
      </c>
    </row>
    <row r="8318" spans="27:30" x14ac:dyDescent="0.3">
      <c r="AA8318" s="37">
        <v>8298</v>
      </c>
      <c r="AB8318" s="37">
        <v>1.8207691499664929</v>
      </c>
      <c r="AC8318" s="37">
        <v>2.7839372992261171</v>
      </c>
      <c r="AD8318" s="37">
        <v>3.2602294319237393</v>
      </c>
    </row>
    <row r="8319" spans="27:30" x14ac:dyDescent="0.3">
      <c r="AA8319" s="37">
        <v>8299</v>
      </c>
      <c r="AB8319" s="37">
        <v>1.9216094095788807</v>
      </c>
      <c r="AC8319" s="37">
        <v>2.8939927630941695</v>
      </c>
      <c r="AD8319" s="37">
        <v>3.219598326553744</v>
      </c>
    </row>
    <row r="8320" spans="27:30" x14ac:dyDescent="0.3">
      <c r="AA8320" s="37">
        <v>8300</v>
      </c>
      <c r="AB8320" s="37">
        <v>1.8671522220589456</v>
      </c>
      <c r="AC8320" s="37">
        <v>2.806943647959784</v>
      </c>
      <c r="AD8320" s="37">
        <v>3.5585335907419964</v>
      </c>
    </row>
    <row r="8321" spans="27:30" x14ac:dyDescent="0.3">
      <c r="AA8321" s="37">
        <v>8301</v>
      </c>
      <c r="AB8321" s="37">
        <v>1.7890254075460643</v>
      </c>
      <c r="AC8321" s="37">
        <v>2.9251019744134812</v>
      </c>
      <c r="AD8321" s="37">
        <v>3.472230713411339</v>
      </c>
    </row>
    <row r="8322" spans="27:30" x14ac:dyDescent="0.3">
      <c r="AA8322" s="37">
        <v>8302</v>
      </c>
      <c r="AB8322" s="37">
        <v>1.789618206862291</v>
      </c>
      <c r="AC8322" s="37">
        <v>2.8122663493776643</v>
      </c>
      <c r="AD8322" s="37">
        <v>3.205709777409619</v>
      </c>
    </row>
    <row r="8323" spans="27:30" x14ac:dyDescent="0.3">
      <c r="AA8323" s="37">
        <v>8303</v>
      </c>
      <c r="AB8323" s="37">
        <v>1.7108606716124743</v>
      </c>
      <c r="AC8323" s="37">
        <v>2.5376532413472437</v>
      </c>
      <c r="AD8323" s="37">
        <v>3.3563185882778455</v>
      </c>
    </row>
    <row r="8324" spans="27:30" x14ac:dyDescent="0.3">
      <c r="AA8324" s="37">
        <v>8304</v>
      </c>
      <c r="AB8324" s="37">
        <v>1.8325657654090326</v>
      </c>
      <c r="AC8324" s="37">
        <v>2.5964544597670196</v>
      </c>
      <c r="AD8324" s="37">
        <v>3.422463783613324</v>
      </c>
    </row>
    <row r="8325" spans="27:30" x14ac:dyDescent="0.3">
      <c r="AA8325" s="37">
        <v>8305</v>
      </c>
      <c r="AB8325" s="37">
        <v>1.7468726744942416</v>
      </c>
      <c r="AC8325" s="37">
        <v>2.7100052325181929</v>
      </c>
      <c r="AD8325" s="37">
        <v>3.5108941016762323</v>
      </c>
    </row>
    <row r="8326" spans="27:30" x14ac:dyDescent="0.3">
      <c r="AA8326" s="37">
        <v>8306</v>
      </c>
      <c r="AB8326" s="37">
        <v>1.7670667993020337</v>
      </c>
      <c r="AC8326" s="37">
        <v>2.7851535495706616</v>
      </c>
      <c r="AD8326" s="37">
        <v>3.3568841277504653</v>
      </c>
    </row>
    <row r="8327" spans="27:30" x14ac:dyDescent="0.3">
      <c r="AA8327" s="37">
        <v>8307</v>
      </c>
      <c r="AB8327" s="37">
        <v>1.937376214577361</v>
      </c>
      <c r="AC8327" s="37">
        <v>2.7429024165554576</v>
      </c>
      <c r="AD8327" s="37">
        <v>3.3085438999748118</v>
      </c>
    </row>
    <row r="8328" spans="27:30" x14ac:dyDescent="0.3">
      <c r="AA8328" s="37">
        <v>8308</v>
      </c>
      <c r="AB8328" s="37">
        <v>1.8131461538749376</v>
      </c>
      <c r="AC8328" s="37">
        <v>2.8848719934057065</v>
      </c>
      <c r="AD8328" s="37">
        <v>3.454621822306482</v>
      </c>
    </row>
    <row r="8329" spans="27:30" x14ac:dyDescent="0.3">
      <c r="AA8329" s="37">
        <v>8309</v>
      </c>
      <c r="AB8329" s="37">
        <v>1.8030714389196745</v>
      </c>
      <c r="AC8329" s="37">
        <v>2.8302932332562802</v>
      </c>
      <c r="AD8329" s="37">
        <v>3.4967378422169908</v>
      </c>
    </row>
    <row r="8330" spans="27:30" x14ac:dyDescent="0.3">
      <c r="AA8330" s="37">
        <v>8310</v>
      </c>
      <c r="AB8330" s="37">
        <v>1.8817801961758691</v>
      </c>
      <c r="AC8330" s="37">
        <v>2.8875319775671739</v>
      </c>
      <c r="AD8330" s="37">
        <v>3.2998468458865364</v>
      </c>
    </row>
    <row r="8331" spans="27:30" x14ac:dyDescent="0.3">
      <c r="AA8331" s="37">
        <v>8311</v>
      </c>
      <c r="AB8331" s="37">
        <v>1.7271940265013823</v>
      </c>
      <c r="AC8331" s="37">
        <v>2.9253528034911334</v>
      </c>
      <c r="AD8331" s="37">
        <v>3.5086940082583333</v>
      </c>
    </row>
    <row r="8332" spans="27:30" x14ac:dyDescent="0.3">
      <c r="AA8332" s="37">
        <v>8312</v>
      </c>
      <c r="AB8332" s="37">
        <v>1.7539907619134827</v>
      </c>
      <c r="AC8332" s="37">
        <v>2.8052040251863888</v>
      </c>
      <c r="AD8332" s="37">
        <v>3.2274718750571507</v>
      </c>
    </row>
    <row r="8333" spans="27:30" x14ac:dyDescent="0.3">
      <c r="AA8333" s="37">
        <v>8313</v>
      </c>
      <c r="AB8333" s="37">
        <v>1.735319093689538</v>
      </c>
      <c r="AC8333" s="37">
        <v>2.7699901724541429</v>
      </c>
      <c r="AD8333" s="37">
        <v>3.3168151251804479</v>
      </c>
    </row>
    <row r="8334" spans="27:30" x14ac:dyDescent="0.3">
      <c r="AA8334" s="37">
        <v>8314</v>
      </c>
      <c r="AB8334" s="37">
        <v>1.6788013347659154</v>
      </c>
      <c r="AC8334" s="37">
        <v>2.6557194595378588</v>
      </c>
      <c r="AD8334" s="37">
        <v>3.2421848729586737</v>
      </c>
    </row>
    <row r="8335" spans="27:30" x14ac:dyDescent="0.3">
      <c r="AA8335" s="37">
        <v>8315</v>
      </c>
      <c r="AB8335" s="37">
        <v>1.7662675607976395</v>
      </c>
      <c r="AC8335" s="37">
        <v>2.8554360550873366</v>
      </c>
      <c r="AD8335" s="37">
        <v>3.3733636856133771</v>
      </c>
    </row>
    <row r="8336" spans="27:30" x14ac:dyDescent="0.3">
      <c r="AA8336" s="37">
        <v>8316</v>
      </c>
      <c r="AB8336" s="37">
        <v>1.8337325545524163</v>
      </c>
      <c r="AC8336" s="37">
        <v>2.7482419739658921</v>
      </c>
      <c r="AD8336" s="37">
        <v>3.2796978117403652</v>
      </c>
    </row>
    <row r="8337" spans="27:30" x14ac:dyDescent="0.3">
      <c r="AA8337" s="37">
        <v>8317</v>
      </c>
      <c r="AB8337" s="37">
        <v>1.8092124599278654</v>
      </c>
      <c r="AC8337" s="37">
        <v>2.8063657236216049</v>
      </c>
      <c r="AD8337" s="37">
        <v>3.332930516979971</v>
      </c>
    </row>
    <row r="8338" spans="27:30" x14ac:dyDescent="0.3">
      <c r="AA8338" s="37">
        <v>8318</v>
      </c>
      <c r="AB8338" s="37">
        <v>1.7102508050675342</v>
      </c>
      <c r="AC8338" s="37">
        <v>2.8347461340886526</v>
      </c>
      <c r="AD8338" s="37">
        <v>3.200970948177754</v>
      </c>
    </row>
    <row r="8339" spans="27:30" x14ac:dyDescent="0.3">
      <c r="AA8339" s="37">
        <v>8319</v>
      </c>
      <c r="AB8339" s="37">
        <v>1.7648714888310755</v>
      </c>
      <c r="AC8339" s="37">
        <v>2.8485264315307028</v>
      </c>
      <c r="AD8339" s="37">
        <v>3.5656599008577579</v>
      </c>
    </row>
    <row r="8340" spans="27:30" x14ac:dyDescent="0.3">
      <c r="AA8340" s="37">
        <v>8320</v>
      </c>
      <c r="AB8340" s="37">
        <v>1.7755225894518816</v>
      </c>
      <c r="AC8340" s="37">
        <v>2.8102731949045543</v>
      </c>
      <c r="AD8340" s="37">
        <v>3.2690468204596246</v>
      </c>
    </row>
    <row r="8341" spans="27:30" x14ac:dyDescent="0.3">
      <c r="AA8341" s="37">
        <v>8321</v>
      </c>
      <c r="AB8341" s="37">
        <v>1.7638128182784303</v>
      </c>
      <c r="AC8341" s="37">
        <v>2.8801604111452241</v>
      </c>
      <c r="AD8341" s="37">
        <v>3.2490254428934242</v>
      </c>
    </row>
    <row r="8342" spans="27:30" x14ac:dyDescent="0.3">
      <c r="AA8342" s="37">
        <v>8322</v>
      </c>
      <c r="AB8342" s="37">
        <v>1.7795626225580305</v>
      </c>
      <c r="AC8342" s="37">
        <v>2.7201790841300428</v>
      </c>
      <c r="AD8342" s="37">
        <v>3.3828127713177714</v>
      </c>
    </row>
    <row r="8343" spans="27:30" x14ac:dyDescent="0.3">
      <c r="AA8343" s="37">
        <v>8323</v>
      </c>
      <c r="AB8343" s="37">
        <v>1.810736723722044</v>
      </c>
      <c r="AC8343" s="37">
        <v>3.1037691247697787</v>
      </c>
      <c r="AD8343" s="37">
        <v>3.3043490758342804</v>
      </c>
    </row>
    <row r="8344" spans="27:30" x14ac:dyDescent="0.3">
      <c r="AA8344" s="37">
        <v>8324</v>
      </c>
      <c r="AB8344" s="37">
        <v>1.7039626383577759</v>
      </c>
      <c r="AC8344" s="37">
        <v>2.9064543756251937</v>
      </c>
      <c r="AD8344" s="37">
        <v>3.2135722249012018</v>
      </c>
    </row>
    <row r="8345" spans="27:30" x14ac:dyDescent="0.3">
      <c r="AA8345" s="37">
        <v>8325</v>
      </c>
      <c r="AB8345" s="37">
        <v>1.8356540854867203</v>
      </c>
      <c r="AC8345" s="37">
        <v>2.6569036495285951</v>
      </c>
      <c r="AD8345" s="37">
        <v>3.1706960326804019</v>
      </c>
    </row>
    <row r="8346" spans="27:30" x14ac:dyDescent="0.3">
      <c r="AA8346" s="37">
        <v>8326</v>
      </c>
      <c r="AB8346" s="37">
        <v>1.8021675018950674</v>
      </c>
      <c r="AC8346" s="37">
        <v>2.7859740404520292</v>
      </c>
      <c r="AD8346" s="37">
        <v>3.4696751414155531</v>
      </c>
    </row>
    <row r="8347" spans="27:30" x14ac:dyDescent="0.3">
      <c r="AA8347" s="37">
        <v>8327</v>
      </c>
      <c r="AB8347" s="37">
        <v>1.8274870081857837</v>
      </c>
      <c r="AC8347" s="37">
        <v>2.786311847954436</v>
      </c>
      <c r="AD8347" s="37">
        <v>3.5878334671342968</v>
      </c>
    </row>
    <row r="8348" spans="27:30" x14ac:dyDescent="0.3">
      <c r="AA8348" s="37">
        <v>8328</v>
      </c>
      <c r="AB8348" s="37">
        <v>1.7213336138452353</v>
      </c>
      <c r="AC8348" s="37">
        <v>2.9573964187497266</v>
      </c>
      <c r="AD8348" s="37">
        <v>3.451764284498819</v>
      </c>
    </row>
    <row r="8349" spans="27:30" x14ac:dyDescent="0.3">
      <c r="AA8349" s="37">
        <v>8329</v>
      </c>
      <c r="AB8349" s="37">
        <v>1.8535183116194518</v>
      </c>
      <c r="AC8349" s="37">
        <v>2.6940722491686682</v>
      </c>
      <c r="AD8349" s="37">
        <v>3.2505425885290022</v>
      </c>
    </row>
    <row r="8350" spans="27:30" x14ac:dyDescent="0.3">
      <c r="AA8350" s="37">
        <v>8330</v>
      </c>
      <c r="AB8350" s="37">
        <v>1.7670301829223976</v>
      </c>
      <c r="AC8350" s="37">
        <v>2.724310620002055</v>
      </c>
      <c r="AD8350" s="37">
        <v>3.3897799087942579</v>
      </c>
    </row>
    <row r="8351" spans="27:30" x14ac:dyDescent="0.3">
      <c r="AA8351" s="37">
        <v>8331</v>
      </c>
      <c r="AB8351" s="37">
        <v>1.7449856818921676</v>
      </c>
      <c r="AC8351" s="37">
        <v>2.7835814101753686</v>
      </c>
      <c r="AD8351" s="37">
        <v>3.2533861728318318</v>
      </c>
    </row>
    <row r="8352" spans="27:30" x14ac:dyDescent="0.3">
      <c r="AA8352" s="37">
        <v>8332</v>
      </c>
      <c r="AB8352" s="37">
        <v>1.6090617405690921</v>
      </c>
      <c r="AC8352" s="37">
        <v>2.9272542549675302</v>
      </c>
      <c r="AD8352" s="37">
        <v>3.2791707822646723</v>
      </c>
    </row>
    <row r="8353" spans="27:30" x14ac:dyDescent="0.3">
      <c r="AA8353" s="37">
        <v>8333</v>
      </c>
      <c r="AB8353" s="37">
        <v>1.9085033192111793</v>
      </c>
      <c r="AC8353" s="37">
        <v>2.8442084939852417</v>
      </c>
      <c r="AD8353" s="37">
        <v>3.239833694242471</v>
      </c>
    </row>
    <row r="8354" spans="27:30" x14ac:dyDescent="0.3">
      <c r="AA8354" s="37">
        <v>8334</v>
      </c>
      <c r="AB8354" s="37">
        <v>1.6945374578825974</v>
      </c>
      <c r="AC8354" s="37">
        <v>2.9215790163479625</v>
      </c>
      <c r="AD8354" s="37">
        <v>3.3991726181542399</v>
      </c>
    </row>
    <row r="8355" spans="27:30" x14ac:dyDescent="0.3">
      <c r="AA8355" s="37">
        <v>8335</v>
      </c>
      <c r="AB8355" s="37">
        <v>1.8002108333514044</v>
      </c>
      <c r="AC8355" s="37">
        <v>2.7896665260946278</v>
      </c>
      <c r="AD8355" s="37">
        <v>3.2680835730222144</v>
      </c>
    </row>
    <row r="8356" spans="27:30" x14ac:dyDescent="0.3">
      <c r="AA8356" s="37">
        <v>8336</v>
      </c>
      <c r="AB8356" s="37">
        <v>1.9270764946581087</v>
      </c>
      <c r="AC8356" s="37">
        <v>2.8914954588629609</v>
      </c>
      <c r="AD8356" s="37">
        <v>3.320129207006254</v>
      </c>
    </row>
    <row r="8357" spans="27:30" x14ac:dyDescent="0.3">
      <c r="AA8357" s="37">
        <v>8337</v>
      </c>
      <c r="AB8357" s="37">
        <v>1.7521775145597422</v>
      </c>
      <c r="AC8357" s="37">
        <v>2.8536443736682298</v>
      </c>
      <c r="AD8357" s="37">
        <v>3.4211005752688131</v>
      </c>
    </row>
    <row r="8358" spans="27:30" x14ac:dyDescent="0.3">
      <c r="AA8358" s="37">
        <v>8338</v>
      </c>
      <c r="AB8358" s="37">
        <v>1.7085031233156163</v>
      </c>
      <c r="AC8358" s="37">
        <v>2.8351550890536181</v>
      </c>
      <c r="AD8358" s="37">
        <v>3.4919647339216984</v>
      </c>
    </row>
    <row r="8359" spans="27:30" x14ac:dyDescent="0.3">
      <c r="AA8359" s="37">
        <v>8339</v>
      </c>
      <c r="AB8359" s="37">
        <v>1.6861696772697419</v>
      </c>
      <c r="AC8359" s="37">
        <v>2.9583683321707732</v>
      </c>
      <c r="AD8359" s="37">
        <v>3.2091340024274766</v>
      </c>
    </row>
    <row r="8360" spans="27:30" x14ac:dyDescent="0.3">
      <c r="AA8360" s="37">
        <v>8340</v>
      </c>
      <c r="AB8360" s="37">
        <v>1.7361988951380551</v>
      </c>
      <c r="AC8360" s="37">
        <v>2.6766782855535607</v>
      </c>
      <c r="AD8360" s="37">
        <v>3.4890806336585665</v>
      </c>
    </row>
    <row r="8361" spans="27:30" x14ac:dyDescent="0.3">
      <c r="AA8361" s="37">
        <v>8341</v>
      </c>
      <c r="AB8361" s="37">
        <v>1.8038897783454557</v>
      </c>
      <c r="AC8361" s="37">
        <v>2.9815363403018691</v>
      </c>
      <c r="AD8361" s="37">
        <v>3.3314207819829207</v>
      </c>
    </row>
    <row r="8362" spans="27:30" x14ac:dyDescent="0.3">
      <c r="AA8362" s="37">
        <v>8342</v>
      </c>
      <c r="AB8362" s="37">
        <v>1.844668490477898</v>
      </c>
      <c r="AC8362" s="37">
        <v>2.8698660299784868</v>
      </c>
      <c r="AD8362" s="37">
        <v>3.4385128436670551</v>
      </c>
    </row>
    <row r="8363" spans="27:30" x14ac:dyDescent="0.3">
      <c r="AA8363" s="37">
        <v>8343</v>
      </c>
      <c r="AB8363" s="37">
        <v>1.788090550825548</v>
      </c>
      <c r="AC8363" s="37">
        <v>2.8462944978525098</v>
      </c>
      <c r="AD8363" s="37">
        <v>3.2642264957448273</v>
      </c>
    </row>
    <row r="8364" spans="27:30" x14ac:dyDescent="0.3">
      <c r="AA8364" s="37">
        <v>8344</v>
      </c>
      <c r="AB8364" s="37">
        <v>1.7165413759407151</v>
      </c>
      <c r="AC8364" s="37">
        <v>2.9303914528870112</v>
      </c>
      <c r="AD8364" s="37">
        <v>3.3928391102154034</v>
      </c>
    </row>
    <row r="8365" spans="27:30" x14ac:dyDescent="0.3">
      <c r="AA8365" s="37">
        <v>8345</v>
      </c>
      <c r="AB8365" s="37">
        <v>1.6803589754697399</v>
      </c>
      <c r="AC8365" s="37">
        <v>2.7100809627323508</v>
      </c>
      <c r="AD8365" s="37">
        <v>3.1206574432239598</v>
      </c>
    </row>
    <row r="8366" spans="27:30" x14ac:dyDescent="0.3">
      <c r="AA8366" s="37">
        <v>8346</v>
      </c>
      <c r="AB8366" s="37">
        <v>1.744464854516355</v>
      </c>
      <c r="AC8366" s="37">
        <v>2.8158358265541703</v>
      </c>
      <c r="AD8366" s="37">
        <v>3.2267532347665329</v>
      </c>
    </row>
    <row r="8367" spans="27:30" x14ac:dyDescent="0.3">
      <c r="AA8367" s="37">
        <v>8347</v>
      </c>
      <c r="AB8367" s="37">
        <v>1.7764688696372557</v>
      </c>
      <c r="AC8367" s="37">
        <v>3.0052197017765709</v>
      </c>
      <c r="AD8367" s="37">
        <v>3.3613774195864625</v>
      </c>
    </row>
    <row r="8368" spans="27:30" x14ac:dyDescent="0.3">
      <c r="AA8368" s="37">
        <v>8348</v>
      </c>
      <c r="AB8368" s="37">
        <v>1.7949706396257892</v>
      </c>
      <c r="AC8368" s="37">
        <v>2.780436691516317</v>
      </c>
      <c r="AD8368" s="37">
        <v>3.3583876186325576</v>
      </c>
    </row>
    <row r="8369" spans="27:30" x14ac:dyDescent="0.3">
      <c r="AA8369" s="37">
        <v>8349</v>
      </c>
      <c r="AB8369" s="37">
        <v>1.7611437696640606</v>
      </c>
      <c r="AC8369" s="37">
        <v>2.7315230442367207</v>
      </c>
      <c r="AD8369" s="37">
        <v>3.166901826141105</v>
      </c>
    </row>
    <row r="8370" spans="27:30" x14ac:dyDescent="0.3">
      <c r="AA8370" s="37">
        <v>8350</v>
      </c>
      <c r="AB8370" s="37">
        <v>1.8373862133764183</v>
      </c>
      <c r="AC8370" s="37">
        <v>2.8093848313180048</v>
      </c>
      <c r="AD8370" s="37">
        <v>3.4376600026865423</v>
      </c>
    </row>
    <row r="8371" spans="27:30" x14ac:dyDescent="0.3">
      <c r="AA8371" s="37">
        <v>8351</v>
      </c>
      <c r="AB8371" s="37">
        <v>1.7700321094701128</v>
      </c>
      <c r="AC8371" s="37">
        <v>2.8604092784307595</v>
      </c>
      <c r="AD8371" s="37">
        <v>3.2056796038225457</v>
      </c>
    </row>
    <row r="8372" spans="27:30" x14ac:dyDescent="0.3">
      <c r="AA8372" s="37">
        <v>8352</v>
      </c>
      <c r="AB8372" s="37">
        <v>1.8079019467361588</v>
      </c>
      <c r="AC8372" s="37">
        <v>2.725689893625344</v>
      </c>
      <c r="AD8372" s="37">
        <v>3.4148234258226196</v>
      </c>
    </row>
    <row r="8373" spans="27:30" x14ac:dyDescent="0.3">
      <c r="AA8373" s="37">
        <v>8353</v>
      </c>
      <c r="AB8373" s="37">
        <v>1.8985781341705479</v>
      </c>
      <c r="AC8373" s="37">
        <v>2.8435055782317589</v>
      </c>
      <c r="AD8373" s="37">
        <v>3.6944433215878361</v>
      </c>
    </row>
    <row r="8374" spans="27:30" x14ac:dyDescent="0.3">
      <c r="AA8374" s="37">
        <v>8354</v>
      </c>
      <c r="AB8374" s="37">
        <v>1.8412881704940096</v>
      </c>
      <c r="AC8374" s="37">
        <v>2.7821971584842937</v>
      </c>
      <c r="AD8374" s="37">
        <v>3.2221698479646528</v>
      </c>
    </row>
    <row r="8375" spans="27:30" x14ac:dyDescent="0.3">
      <c r="AA8375" s="37">
        <v>8355</v>
      </c>
      <c r="AB8375" s="37">
        <v>1.8483857337303653</v>
      </c>
      <c r="AC8375" s="37">
        <v>2.7890662540000788</v>
      </c>
      <c r="AD8375" s="37">
        <v>3.3567115166017545</v>
      </c>
    </row>
    <row r="8376" spans="27:30" x14ac:dyDescent="0.3">
      <c r="AA8376" s="37">
        <v>8356</v>
      </c>
      <c r="AB8376" s="37">
        <v>2.0172791123389406</v>
      </c>
      <c r="AC8376" s="37">
        <v>2.8069389253103787</v>
      </c>
      <c r="AD8376" s="37">
        <v>3.3610373470620991</v>
      </c>
    </row>
    <row r="8377" spans="27:30" x14ac:dyDescent="0.3">
      <c r="AA8377" s="37">
        <v>8357</v>
      </c>
      <c r="AB8377" s="37">
        <v>1.6663055293977798</v>
      </c>
      <c r="AC8377" s="37">
        <v>2.7068458688570796</v>
      </c>
      <c r="AD8377" s="37">
        <v>3.187489042169481</v>
      </c>
    </row>
    <row r="8378" spans="27:30" x14ac:dyDescent="0.3">
      <c r="AA8378" s="37">
        <v>8358</v>
      </c>
      <c r="AB8378" s="37">
        <v>1.7182827447083253</v>
      </c>
      <c r="AC8378" s="37">
        <v>2.6326041908118674</v>
      </c>
      <c r="AD8378" s="37">
        <v>3.5282113001837154</v>
      </c>
    </row>
    <row r="8379" spans="27:30" x14ac:dyDescent="0.3">
      <c r="AA8379" s="37">
        <v>8359</v>
      </c>
      <c r="AB8379" s="37">
        <v>1.9412747343860008</v>
      </c>
      <c r="AC8379" s="37">
        <v>3.1328988946395726</v>
      </c>
      <c r="AD8379" s="37">
        <v>3.2971817428495811</v>
      </c>
    </row>
    <row r="8380" spans="27:30" x14ac:dyDescent="0.3">
      <c r="AA8380" s="37">
        <v>8360</v>
      </c>
      <c r="AB8380" s="37">
        <v>1.6943764887308792</v>
      </c>
      <c r="AC8380" s="37">
        <v>2.7819035105535974</v>
      </c>
      <c r="AD8380" s="37">
        <v>3.3065512763689333</v>
      </c>
    </row>
    <row r="8381" spans="27:30" x14ac:dyDescent="0.3">
      <c r="AA8381" s="37">
        <v>8361</v>
      </c>
      <c r="AB8381" s="37">
        <v>1.6486262765668449</v>
      </c>
      <c r="AC8381" s="37">
        <v>2.8802859816479809</v>
      </c>
      <c r="AD8381" s="37">
        <v>3.6400696288809398</v>
      </c>
    </row>
    <row r="8382" spans="27:30" x14ac:dyDescent="0.3">
      <c r="AA8382" s="37">
        <v>8362</v>
      </c>
      <c r="AB8382" s="37">
        <v>1.9134748613036638</v>
      </c>
      <c r="AC8382" s="37">
        <v>3.1333168308530372</v>
      </c>
      <c r="AD8382" s="37">
        <v>3.4623019980512271</v>
      </c>
    </row>
    <row r="8383" spans="27:30" x14ac:dyDescent="0.3">
      <c r="AA8383" s="37">
        <v>8363</v>
      </c>
      <c r="AB8383" s="37">
        <v>1.7969127191611445</v>
      </c>
      <c r="AC8383" s="37">
        <v>2.8727101052592712</v>
      </c>
      <c r="AD8383" s="37">
        <v>3.4712437718017903</v>
      </c>
    </row>
    <row r="8384" spans="27:30" x14ac:dyDescent="0.3">
      <c r="AA8384" s="37">
        <v>8364</v>
      </c>
      <c r="AB8384" s="37">
        <v>1.8991999068672947</v>
      </c>
      <c r="AC8384" s="37">
        <v>2.7272446656283358</v>
      </c>
      <c r="AD8384" s="37">
        <v>3.2312412549843263</v>
      </c>
    </row>
    <row r="8385" spans="27:30" x14ac:dyDescent="0.3">
      <c r="AA8385" s="37">
        <v>8365</v>
      </c>
      <c r="AB8385" s="37">
        <v>1.7670528046965779</v>
      </c>
      <c r="AC8385" s="37">
        <v>2.8138728249000335</v>
      </c>
      <c r="AD8385" s="37">
        <v>3.3490032958411362</v>
      </c>
    </row>
    <row r="8386" spans="27:30" x14ac:dyDescent="0.3">
      <c r="AA8386" s="37">
        <v>8366</v>
      </c>
      <c r="AB8386" s="37">
        <v>1.8744195450313306</v>
      </c>
      <c r="AC8386" s="37">
        <v>2.9831528223836634</v>
      </c>
      <c r="AD8386" s="37">
        <v>3.3607692237449975</v>
      </c>
    </row>
    <row r="8387" spans="27:30" x14ac:dyDescent="0.3">
      <c r="AA8387" s="37">
        <v>8367</v>
      </c>
      <c r="AB8387" s="37">
        <v>1.7762093859709767</v>
      </c>
      <c r="AC8387" s="37">
        <v>2.8771729540943167</v>
      </c>
      <c r="AD8387" s="37">
        <v>3.3715019580447314</v>
      </c>
    </row>
    <row r="8388" spans="27:30" x14ac:dyDescent="0.3">
      <c r="AA8388" s="37">
        <v>8368</v>
      </c>
      <c r="AB8388" s="37">
        <v>1.7305665847872609</v>
      </c>
      <c r="AC8388" s="37">
        <v>3.019820163224368</v>
      </c>
      <c r="AD8388" s="37">
        <v>3.355413927778744</v>
      </c>
    </row>
    <row r="8389" spans="27:30" x14ac:dyDescent="0.3">
      <c r="AA8389" s="37">
        <v>8369</v>
      </c>
      <c r="AB8389" s="37">
        <v>1.8520917940273764</v>
      </c>
      <c r="AC8389" s="37">
        <v>2.8465496513427686</v>
      </c>
      <c r="AD8389" s="37">
        <v>3.4370506164444179</v>
      </c>
    </row>
    <row r="8390" spans="27:30" x14ac:dyDescent="0.3">
      <c r="AA8390" s="37">
        <v>8370</v>
      </c>
      <c r="AB8390" s="37">
        <v>1.703691047193683</v>
      </c>
      <c r="AC8390" s="37">
        <v>2.8388726722423954</v>
      </c>
      <c r="AD8390" s="37">
        <v>3.4291965514547975</v>
      </c>
    </row>
    <row r="8391" spans="27:30" x14ac:dyDescent="0.3">
      <c r="AA8391" s="37">
        <v>8371</v>
      </c>
      <c r="AB8391" s="37">
        <v>1.7154247514904351</v>
      </c>
      <c r="AC8391" s="37">
        <v>2.8812931614795643</v>
      </c>
      <c r="AD8391" s="37">
        <v>3.5639291115313663</v>
      </c>
    </row>
    <row r="8392" spans="27:30" x14ac:dyDescent="0.3">
      <c r="AA8392" s="37">
        <v>8372</v>
      </c>
      <c r="AB8392" s="37">
        <v>1.7514008337072262</v>
      </c>
      <c r="AC8392" s="37">
        <v>2.7515444943323084</v>
      </c>
      <c r="AD8392" s="37">
        <v>3.4197418804783211</v>
      </c>
    </row>
    <row r="8393" spans="27:30" x14ac:dyDescent="0.3">
      <c r="AA8393" s="37">
        <v>8373</v>
      </c>
      <c r="AB8393" s="37">
        <v>1.7581123866232595</v>
      </c>
      <c r="AC8393" s="37">
        <v>2.9857847045271466</v>
      </c>
      <c r="AD8393" s="37">
        <v>3.3794617080361795</v>
      </c>
    </row>
    <row r="8394" spans="27:30" x14ac:dyDescent="0.3">
      <c r="AA8394" s="37">
        <v>8374</v>
      </c>
      <c r="AB8394" s="37">
        <v>1.810124799409552</v>
      </c>
      <c r="AC8394" s="37">
        <v>2.8765527607417241</v>
      </c>
      <c r="AD8394" s="37">
        <v>3.3248686173841033</v>
      </c>
    </row>
    <row r="8395" spans="27:30" x14ac:dyDescent="0.3">
      <c r="AA8395" s="37">
        <v>8375</v>
      </c>
      <c r="AB8395" s="37">
        <v>1.8255988212526764</v>
      </c>
      <c r="AC8395" s="37">
        <v>2.6579979316208102</v>
      </c>
      <c r="AD8395" s="37">
        <v>3.3564748985136381</v>
      </c>
    </row>
    <row r="8396" spans="27:30" x14ac:dyDescent="0.3">
      <c r="AA8396" s="37">
        <v>8376</v>
      </c>
      <c r="AB8396" s="37">
        <v>1.8381826895065472</v>
      </c>
      <c r="AC8396" s="37">
        <v>2.8898474547151154</v>
      </c>
      <c r="AD8396" s="37">
        <v>3.3592203916263013</v>
      </c>
    </row>
    <row r="8397" spans="27:30" x14ac:dyDescent="0.3">
      <c r="AA8397" s="37">
        <v>8377</v>
      </c>
      <c r="AB8397" s="37">
        <v>1.7733413195557113</v>
      </c>
      <c r="AC8397" s="37">
        <v>2.7342144159775401</v>
      </c>
      <c r="AD8397" s="37">
        <v>3.2306213740073955</v>
      </c>
    </row>
    <row r="8398" spans="27:30" x14ac:dyDescent="0.3">
      <c r="AA8398" s="37">
        <v>8378</v>
      </c>
      <c r="AB8398" s="37">
        <v>1.8550951911213434</v>
      </c>
      <c r="AC8398" s="37">
        <v>2.6575269992604365</v>
      </c>
      <c r="AD8398" s="37">
        <v>3.4995866596446707</v>
      </c>
    </row>
    <row r="8399" spans="27:30" x14ac:dyDescent="0.3">
      <c r="AA8399" s="37">
        <v>8379</v>
      </c>
      <c r="AB8399" s="37">
        <v>1.8202616680152288</v>
      </c>
      <c r="AC8399" s="37">
        <v>2.8209126953150698</v>
      </c>
      <c r="AD8399" s="37">
        <v>3.5154195046571681</v>
      </c>
    </row>
    <row r="8400" spans="27:30" x14ac:dyDescent="0.3">
      <c r="AA8400" s="37">
        <v>8380</v>
      </c>
      <c r="AB8400" s="37">
        <v>1.8076731959918786</v>
      </c>
      <c r="AC8400" s="37">
        <v>2.8654925346231939</v>
      </c>
      <c r="AD8400" s="37">
        <v>3.3401676080762681</v>
      </c>
    </row>
    <row r="8401" spans="27:30" x14ac:dyDescent="0.3">
      <c r="AA8401" s="37">
        <v>8381</v>
      </c>
      <c r="AB8401" s="37">
        <v>1.8266304380542149</v>
      </c>
      <c r="AC8401" s="37">
        <v>2.8666935597926901</v>
      </c>
      <c r="AD8401" s="37">
        <v>3.2519281103922757</v>
      </c>
    </row>
    <row r="8402" spans="27:30" x14ac:dyDescent="0.3">
      <c r="AA8402" s="37">
        <v>8382</v>
      </c>
      <c r="AB8402" s="37">
        <v>1.8161321724982482</v>
      </c>
      <c r="AC8402" s="37">
        <v>2.9705140613838537</v>
      </c>
      <c r="AD8402" s="37">
        <v>3.2985568119597617</v>
      </c>
    </row>
    <row r="8403" spans="27:30" x14ac:dyDescent="0.3">
      <c r="AA8403" s="37">
        <v>8383</v>
      </c>
      <c r="AB8403" s="37">
        <v>1.75460246712974</v>
      </c>
      <c r="AC8403" s="37">
        <v>2.6796893307978769</v>
      </c>
      <c r="AD8403" s="37">
        <v>3.3440794268288605</v>
      </c>
    </row>
    <row r="8404" spans="27:30" x14ac:dyDescent="0.3">
      <c r="AA8404" s="37">
        <v>8384</v>
      </c>
      <c r="AB8404" s="37">
        <v>1.8341578111354806</v>
      </c>
      <c r="AC8404" s="37">
        <v>2.7629989615593415</v>
      </c>
      <c r="AD8404" s="37">
        <v>2.9964804807837266</v>
      </c>
    </row>
    <row r="8405" spans="27:30" x14ac:dyDescent="0.3">
      <c r="AA8405" s="37">
        <v>8385</v>
      </c>
      <c r="AB8405" s="37">
        <v>1.7746333525295428</v>
      </c>
      <c r="AC8405" s="37">
        <v>2.9082403889360617</v>
      </c>
      <c r="AD8405" s="37">
        <v>3.5503080958506534</v>
      </c>
    </row>
    <row r="8406" spans="27:30" x14ac:dyDescent="0.3">
      <c r="AA8406" s="37">
        <v>8386</v>
      </c>
      <c r="AB8406" s="37">
        <v>1.8184560480843881</v>
      </c>
      <c r="AC8406" s="37">
        <v>2.8643370368129477</v>
      </c>
      <c r="AD8406" s="37">
        <v>3.4243167780333428</v>
      </c>
    </row>
    <row r="8407" spans="27:30" x14ac:dyDescent="0.3">
      <c r="AA8407" s="37">
        <v>8387</v>
      </c>
      <c r="AB8407" s="37">
        <v>1.8118268209386517</v>
      </c>
      <c r="AC8407" s="37">
        <v>3.0573192833042269</v>
      </c>
      <c r="AD8407" s="37">
        <v>3.2302874224644387</v>
      </c>
    </row>
    <row r="8408" spans="27:30" x14ac:dyDescent="0.3">
      <c r="AA8408" s="37">
        <v>8388</v>
      </c>
      <c r="AB8408" s="37">
        <v>1.7783707955296588</v>
      </c>
      <c r="AC8408" s="37">
        <v>2.8057165155347237</v>
      </c>
      <c r="AD8408" s="37">
        <v>3.454348973455486</v>
      </c>
    </row>
    <row r="8409" spans="27:30" x14ac:dyDescent="0.3">
      <c r="AA8409" s="37">
        <v>8389</v>
      </c>
      <c r="AB8409" s="37">
        <v>1.7267529976205402</v>
      </c>
      <c r="AC8409" s="37">
        <v>2.9814860633188855</v>
      </c>
      <c r="AD8409" s="37">
        <v>3.2832261959497107</v>
      </c>
    </row>
    <row r="8410" spans="27:30" x14ac:dyDescent="0.3">
      <c r="AA8410" s="37">
        <v>8390</v>
      </c>
      <c r="AB8410" s="37">
        <v>1.9197472966680271</v>
      </c>
      <c r="AC8410" s="37">
        <v>2.8976988110126216</v>
      </c>
      <c r="AD8410" s="37">
        <v>3.3728174561371764</v>
      </c>
    </row>
    <row r="8411" spans="27:30" x14ac:dyDescent="0.3">
      <c r="AA8411" s="37">
        <v>8391</v>
      </c>
      <c r="AB8411" s="37">
        <v>1.7898268454946256</v>
      </c>
      <c r="AC8411" s="37">
        <v>2.8310034482704802</v>
      </c>
      <c r="AD8411" s="37">
        <v>3.5020406906117096</v>
      </c>
    </row>
    <row r="8412" spans="27:30" x14ac:dyDescent="0.3">
      <c r="AA8412" s="37">
        <v>8392</v>
      </c>
      <c r="AB8412" s="37">
        <v>1.7752096439936498</v>
      </c>
      <c r="AC8412" s="37">
        <v>2.9157077301626031</v>
      </c>
      <c r="AD8412" s="37">
        <v>3.5503009917676818</v>
      </c>
    </row>
    <row r="8413" spans="27:30" x14ac:dyDescent="0.3">
      <c r="AA8413" s="37">
        <v>8393</v>
      </c>
      <c r="AB8413" s="37">
        <v>1.8248243655492171</v>
      </c>
      <c r="AC8413" s="37">
        <v>2.8251578384465339</v>
      </c>
      <c r="AD8413" s="37">
        <v>3.3905406163285607</v>
      </c>
    </row>
    <row r="8414" spans="27:30" x14ac:dyDescent="0.3">
      <c r="AA8414" s="37">
        <v>8394</v>
      </c>
      <c r="AB8414" s="37">
        <v>1.7770269686130062</v>
      </c>
      <c r="AC8414" s="37">
        <v>2.9581829337941681</v>
      </c>
      <c r="AD8414" s="37">
        <v>3.2534608375862839</v>
      </c>
    </row>
    <row r="8415" spans="27:30" x14ac:dyDescent="0.3">
      <c r="AA8415" s="37">
        <v>8395</v>
      </c>
      <c r="AB8415" s="37">
        <v>1.7651957653703101</v>
      </c>
      <c r="AC8415" s="37">
        <v>2.7891865669206091</v>
      </c>
      <c r="AD8415" s="37">
        <v>3.571887660451289</v>
      </c>
    </row>
    <row r="8416" spans="27:30" x14ac:dyDescent="0.3">
      <c r="AA8416" s="37">
        <v>8396</v>
      </c>
      <c r="AB8416" s="37">
        <v>1.8215147300339749</v>
      </c>
      <c r="AC8416" s="37">
        <v>2.7339453111813552</v>
      </c>
      <c r="AD8416" s="37">
        <v>3.1992599192262983</v>
      </c>
    </row>
    <row r="8417" spans="27:30" x14ac:dyDescent="0.3">
      <c r="AA8417" s="37">
        <v>8397</v>
      </c>
      <c r="AB8417" s="37">
        <v>1.6941004861528017</v>
      </c>
      <c r="AC8417" s="37">
        <v>2.9871993943164767</v>
      </c>
      <c r="AD8417" s="37">
        <v>3.4576780435389085</v>
      </c>
    </row>
    <row r="8418" spans="27:30" x14ac:dyDescent="0.3">
      <c r="AA8418" s="37">
        <v>8398</v>
      </c>
      <c r="AB8418" s="37">
        <v>1.8764190458927719</v>
      </c>
      <c r="AC8418" s="37">
        <v>2.9236350604285946</v>
      </c>
      <c r="AD8418" s="37">
        <v>3.1202383843482506</v>
      </c>
    </row>
    <row r="8419" spans="27:30" x14ac:dyDescent="0.3">
      <c r="AA8419" s="37">
        <v>8399</v>
      </c>
      <c r="AB8419" s="37">
        <v>1.794847420084497</v>
      </c>
      <c r="AC8419" s="37">
        <v>2.7605952144845998</v>
      </c>
      <c r="AD8419" s="37">
        <v>3.3542540370456808</v>
      </c>
    </row>
    <row r="8420" spans="27:30" x14ac:dyDescent="0.3">
      <c r="AA8420" s="37">
        <v>8400</v>
      </c>
      <c r="AB8420" s="37">
        <v>1.8094685929115357</v>
      </c>
      <c r="AC8420" s="37">
        <v>2.7153975193429583</v>
      </c>
      <c r="AD8420" s="37">
        <v>3.4660604381041269</v>
      </c>
    </row>
    <row r="8421" spans="27:30" x14ac:dyDescent="0.3">
      <c r="AA8421" s="37">
        <v>8401</v>
      </c>
      <c r="AB8421" s="37">
        <v>1.844359420144122</v>
      </c>
      <c r="AC8421" s="37">
        <v>2.7419326033476876</v>
      </c>
      <c r="AD8421" s="37">
        <v>3.1903652250851433</v>
      </c>
    </row>
    <row r="8422" spans="27:30" x14ac:dyDescent="0.3">
      <c r="AA8422" s="37">
        <v>8402</v>
      </c>
      <c r="AB8422" s="37">
        <v>1.7475171757850554</v>
      </c>
      <c r="AC8422" s="37">
        <v>2.8890825387430294</v>
      </c>
      <c r="AD8422" s="37">
        <v>3.4643997853395634</v>
      </c>
    </row>
    <row r="8423" spans="27:30" x14ac:dyDescent="0.3">
      <c r="AA8423" s="37">
        <v>8403</v>
      </c>
      <c r="AB8423" s="37">
        <v>1.8409761456474896</v>
      </c>
      <c r="AC8423" s="37">
        <v>3.0997079869446904</v>
      </c>
      <c r="AD8423" s="37">
        <v>3.3084708205221323</v>
      </c>
    </row>
    <row r="8424" spans="27:30" x14ac:dyDescent="0.3">
      <c r="AA8424" s="37">
        <v>8404</v>
      </c>
      <c r="AB8424" s="37">
        <v>1.7847484729631384</v>
      </c>
      <c r="AC8424" s="37">
        <v>3.0629711309955856</v>
      </c>
      <c r="AD8424" s="37">
        <v>3.5108693561091977</v>
      </c>
    </row>
    <row r="8425" spans="27:30" x14ac:dyDescent="0.3">
      <c r="AA8425" s="37">
        <v>8405</v>
      </c>
      <c r="AB8425" s="37">
        <v>1.8758802732094026</v>
      </c>
      <c r="AC8425" s="37">
        <v>2.6780480333599477</v>
      </c>
      <c r="AD8425" s="37">
        <v>3.4015425253711009</v>
      </c>
    </row>
    <row r="8426" spans="27:30" x14ac:dyDescent="0.3">
      <c r="AA8426" s="37">
        <v>8406</v>
      </c>
      <c r="AB8426" s="37">
        <v>1.806164329382971</v>
      </c>
      <c r="AC8426" s="37">
        <v>2.7427213865599125</v>
      </c>
      <c r="AD8426" s="37">
        <v>3.2976164868853299</v>
      </c>
    </row>
    <row r="8427" spans="27:30" x14ac:dyDescent="0.3">
      <c r="AA8427" s="37">
        <v>8407</v>
      </c>
      <c r="AB8427" s="37">
        <v>1.8875088848717125</v>
      </c>
      <c r="AC8427" s="37">
        <v>2.8021240917312134</v>
      </c>
      <c r="AD8427" s="37">
        <v>3.4986048497373057</v>
      </c>
    </row>
    <row r="8428" spans="27:30" x14ac:dyDescent="0.3">
      <c r="AA8428" s="37">
        <v>8408</v>
      </c>
      <c r="AB8428" s="37">
        <v>1.8630223856284978</v>
      </c>
      <c r="AC8428" s="37">
        <v>2.8453121580042713</v>
      </c>
      <c r="AD8428" s="37">
        <v>3.4705120240818315</v>
      </c>
    </row>
    <row r="8429" spans="27:30" x14ac:dyDescent="0.3">
      <c r="AA8429" s="37">
        <v>8409</v>
      </c>
      <c r="AB8429" s="37">
        <v>1.8558693964444741</v>
      </c>
      <c r="AC8429" s="37">
        <v>2.7447143764761983</v>
      </c>
      <c r="AD8429" s="37">
        <v>3.2930409101696321</v>
      </c>
    </row>
    <row r="8430" spans="27:30" x14ac:dyDescent="0.3">
      <c r="AA8430" s="37">
        <v>8410</v>
      </c>
      <c r="AB8430" s="37">
        <v>1.7289482507966802</v>
      </c>
      <c r="AC8430" s="37">
        <v>2.8623451318846986</v>
      </c>
      <c r="AD8430" s="37">
        <v>3.2550982192115572</v>
      </c>
    </row>
    <row r="8431" spans="27:30" x14ac:dyDescent="0.3">
      <c r="AA8431" s="37">
        <v>8411</v>
      </c>
      <c r="AB8431" s="37">
        <v>1.8814625515701457</v>
      </c>
      <c r="AC8431" s="37">
        <v>2.8118134627609632</v>
      </c>
      <c r="AD8431" s="37">
        <v>3.4788259571621718</v>
      </c>
    </row>
    <row r="8432" spans="27:30" x14ac:dyDescent="0.3">
      <c r="AA8432" s="37">
        <v>8412</v>
      </c>
      <c r="AB8432" s="37">
        <v>1.7293141113646944</v>
      </c>
      <c r="AC8432" s="37">
        <v>2.7922125845792016</v>
      </c>
      <c r="AD8432" s="37">
        <v>3.5507448186379564</v>
      </c>
    </row>
    <row r="8433" spans="27:30" x14ac:dyDescent="0.3">
      <c r="AA8433" s="37">
        <v>8413</v>
      </c>
      <c r="AB8433" s="37">
        <v>1.8374273099476544</v>
      </c>
      <c r="AC8433" s="37">
        <v>2.9680609426091604</v>
      </c>
      <c r="AD8433" s="37">
        <v>3.6666839180528168</v>
      </c>
    </row>
    <row r="8434" spans="27:30" x14ac:dyDescent="0.3">
      <c r="AA8434" s="37">
        <v>8414</v>
      </c>
      <c r="AB8434" s="37">
        <v>1.8446969350967235</v>
      </c>
      <c r="AC8434" s="37">
        <v>2.6905344253694419</v>
      </c>
      <c r="AD8434" s="37">
        <v>3.2417270401603102</v>
      </c>
    </row>
    <row r="8435" spans="27:30" x14ac:dyDescent="0.3">
      <c r="AA8435" s="37">
        <v>8415</v>
      </c>
      <c r="AB8435" s="37">
        <v>1.6859251207112294</v>
      </c>
      <c r="AC8435" s="37">
        <v>2.7960586467300512</v>
      </c>
      <c r="AD8435" s="37">
        <v>3.2524292478021768</v>
      </c>
    </row>
    <row r="8436" spans="27:30" x14ac:dyDescent="0.3">
      <c r="AA8436" s="37">
        <v>8416</v>
      </c>
      <c r="AB8436" s="37">
        <v>1.8171762648859788</v>
      </c>
      <c r="AC8436" s="37">
        <v>2.8427146426095291</v>
      </c>
      <c r="AD8436" s="37">
        <v>3.3975015599231773</v>
      </c>
    </row>
    <row r="8437" spans="27:30" x14ac:dyDescent="0.3">
      <c r="AA8437" s="37">
        <v>8417</v>
      </c>
      <c r="AB8437" s="37">
        <v>1.8973339842063395</v>
      </c>
      <c r="AC8437" s="37">
        <v>2.8625608551383834</v>
      </c>
      <c r="AD8437" s="37">
        <v>3.1816143010435241</v>
      </c>
    </row>
    <row r="8438" spans="27:30" x14ac:dyDescent="0.3">
      <c r="AA8438" s="37">
        <v>8418</v>
      </c>
      <c r="AB8438" s="37">
        <v>1.7835929758039915</v>
      </c>
      <c r="AC8438" s="37">
        <v>2.8614698928515261</v>
      </c>
      <c r="AD8438" s="37">
        <v>3.5838943698393484</v>
      </c>
    </row>
    <row r="8439" spans="27:30" x14ac:dyDescent="0.3">
      <c r="AA8439" s="37">
        <v>8419</v>
      </c>
      <c r="AB8439" s="37">
        <v>1.8010994611820348</v>
      </c>
      <c r="AC8439" s="37">
        <v>2.8811449736413128</v>
      </c>
      <c r="AD8439" s="37">
        <v>3.3879567861543718</v>
      </c>
    </row>
    <row r="8440" spans="27:30" x14ac:dyDescent="0.3">
      <c r="AA8440" s="37">
        <v>8420</v>
      </c>
      <c r="AB8440" s="37">
        <v>1.8100975090799813</v>
      </c>
      <c r="AC8440" s="37">
        <v>2.836988997538695</v>
      </c>
      <c r="AD8440" s="37">
        <v>3.4521574487733724</v>
      </c>
    </row>
    <row r="8441" spans="27:30" x14ac:dyDescent="0.3">
      <c r="AA8441" s="37">
        <v>8421</v>
      </c>
      <c r="AB8441" s="37">
        <v>1.7843668055644655</v>
      </c>
      <c r="AC8441" s="37">
        <v>2.7238258802963955</v>
      </c>
      <c r="AD8441" s="37">
        <v>3.1600876475994779</v>
      </c>
    </row>
    <row r="8442" spans="27:30" x14ac:dyDescent="0.3">
      <c r="AA8442" s="37">
        <v>8422</v>
      </c>
      <c r="AB8442" s="37">
        <v>1.6905059602808199</v>
      </c>
      <c r="AC8442" s="37">
        <v>2.9966538498450834</v>
      </c>
      <c r="AD8442" s="37">
        <v>3.2329610160324771</v>
      </c>
    </row>
    <row r="8443" spans="27:30" x14ac:dyDescent="0.3">
      <c r="AA8443" s="37">
        <v>8423</v>
      </c>
      <c r="AB8443" s="37">
        <v>1.7840312155090001</v>
      </c>
      <c r="AC8443" s="37">
        <v>2.6481746775729733</v>
      </c>
      <c r="AD8443" s="37">
        <v>3.338803036348954</v>
      </c>
    </row>
    <row r="8444" spans="27:30" x14ac:dyDescent="0.3">
      <c r="AA8444" s="37">
        <v>8424</v>
      </c>
      <c r="AB8444" s="37">
        <v>1.8115923804878102</v>
      </c>
      <c r="AC8444" s="37">
        <v>2.844893447495104</v>
      </c>
      <c r="AD8444" s="37">
        <v>3.3678931898222464</v>
      </c>
    </row>
    <row r="8445" spans="27:30" x14ac:dyDescent="0.3">
      <c r="AA8445" s="37">
        <v>8425</v>
      </c>
      <c r="AB8445" s="37">
        <v>1.7919364501630841</v>
      </c>
      <c r="AC8445" s="37">
        <v>3.0113757836930635</v>
      </c>
      <c r="AD8445" s="37">
        <v>3.2685112683679147</v>
      </c>
    </row>
    <row r="8446" spans="27:30" x14ac:dyDescent="0.3">
      <c r="AA8446" s="37">
        <v>8426</v>
      </c>
      <c r="AB8446" s="37">
        <v>1.7823776222005392</v>
      </c>
      <c r="AC8446" s="37">
        <v>2.8753628087234846</v>
      </c>
      <c r="AD8446" s="37">
        <v>3.4015149070695858</v>
      </c>
    </row>
    <row r="8447" spans="27:30" x14ac:dyDescent="0.3">
      <c r="AA8447" s="37">
        <v>8427</v>
      </c>
      <c r="AB8447" s="37">
        <v>1.8786791136234342</v>
      </c>
      <c r="AC8447" s="37">
        <v>2.9992870378897623</v>
      </c>
      <c r="AD8447" s="37">
        <v>3.4331296031574503</v>
      </c>
    </row>
    <row r="8448" spans="27:30" x14ac:dyDescent="0.3">
      <c r="AA8448" s="37">
        <v>8428</v>
      </c>
      <c r="AB8448" s="37">
        <v>1.9261712420919204</v>
      </c>
      <c r="AC8448" s="37">
        <v>2.9876616736263637</v>
      </c>
      <c r="AD8448" s="37">
        <v>3.3241736035210088</v>
      </c>
    </row>
    <row r="8449" spans="27:30" x14ac:dyDescent="0.3">
      <c r="AA8449" s="37">
        <v>8429</v>
      </c>
      <c r="AB8449" s="37">
        <v>1.8120006901861201</v>
      </c>
      <c r="AC8449" s="37">
        <v>2.9198125814084248</v>
      </c>
      <c r="AD8449" s="37">
        <v>3.3822496033758913</v>
      </c>
    </row>
    <row r="8450" spans="27:30" x14ac:dyDescent="0.3">
      <c r="AA8450" s="37">
        <v>8430</v>
      </c>
      <c r="AB8450" s="37">
        <v>1.7976923706680559</v>
      </c>
      <c r="AC8450" s="37">
        <v>2.8545302510858588</v>
      </c>
      <c r="AD8450" s="37">
        <v>3.3751761774021736</v>
      </c>
    </row>
    <row r="8451" spans="27:30" x14ac:dyDescent="0.3">
      <c r="AA8451" s="37">
        <v>8431</v>
      </c>
      <c r="AB8451" s="37">
        <v>1.7530081532741313</v>
      </c>
      <c r="AC8451" s="37">
        <v>2.91852343861932</v>
      </c>
      <c r="AD8451" s="37">
        <v>3.3386440545457674</v>
      </c>
    </row>
    <row r="8452" spans="27:30" x14ac:dyDescent="0.3">
      <c r="AA8452" s="37">
        <v>8432</v>
      </c>
      <c r="AB8452" s="37">
        <v>1.8117030675787726</v>
      </c>
      <c r="AC8452" s="37">
        <v>2.8785275515324091</v>
      </c>
      <c r="AD8452" s="37">
        <v>3.4919862022661969</v>
      </c>
    </row>
    <row r="8453" spans="27:30" x14ac:dyDescent="0.3">
      <c r="AA8453" s="37">
        <v>8433</v>
      </c>
      <c r="AB8453" s="37">
        <v>1.8064574589161833</v>
      </c>
      <c r="AC8453" s="37">
        <v>2.9389030999336994</v>
      </c>
      <c r="AD8453" s="37">
        <v>3.5546568522720428</v>
      </c>
    </row>
    <row r="8454" spans="27:30" x14ac:dyDescent="0.3">
      <c r="AA8454" s="37">
        <v>8434</v>
      </c>
      <c r="AB8454" s="37">
        <v>1.6926669776894507</v>
      </c>
      <c r="AC8454" s="37">
        <v>2.7591493202231434</v>
      </c>
      <c r="AD8454" s="37">
        <v>3.3812180607126217</v>
      </c>
    </row>
    <row r="8455" spans="27:30" x14ac:dyDescent="0.3">
      <c r="AA8455" s="37">
        <v>8435</v>
      </c>
      <c r="AB8455" s="37">
        <v>1.7907624998561069</v>
      </c>
      <c r="AC8455" s="37">
        <v>3.100016680640671</v>
      </c>
      <c r="AD8455" s="37">
        <v>3.2995656473726287</v>
      </c>
    </row>
    <row r="8456" spans="27:30" x14ac:dyDescent="0.3">
      <c r="AA8456" s="37">
        <v>8436</v>
      </c>
      <c r="AB8456" s="37">
        <v>1.7277227593063471</v>
      </c>
      <c r="AC8456" s="37">
        <v>2.7405220680408653</v>
      </c>
      <c r="AD8456" s="37">
        <v>3.424261001157844</v>
      </c>
    </row>
    <row r="8457" spans="27:30" x14ac:dyDescent="0.3">
      <c r="AA8457" s="37">
        <v>8437</v>
      </c>
      <c r="AB8457" s="37">
        <v>1.7500183888864642</v>
      </c>
      <c r="AC8457" s="37">
        <v>2.9704721950684831</v>
      </c>
      <c r="AD8457" s="37">
        <v>3.2138685501224176</v>
      </c>
    </row>
    <row r="8458" spans="27:30" x14ac:dyDescent="0.3">
      <c r="AA8458" s="37">
        <v>8438</v>
      </c>
      <c r="AB8458" s="37">
        <v>1.7808141530995965</v>
      </c>
      <c r="AC8458" s="37">
        <v>2.7585577539187267</v>
      </c>
      <c r="AD8458" s="37">
        <v>3.3042894223273511</v>
      </c>
    </row>
    <row r="8459" spans="27:30" x14ac:dyDescent="0.3">
      <c r="AA8459" s="37">
        <v>8439</v>
      </c>
      <c r="AB8459" s="37">
        <v>1.7062815233575772</v>
      </c>
      <c r="AC8459" s="37">
        <v>2.7746486394651608</v>
      </c>
      <c r="AD8459" s="37">
        <v>3.2722346915765774</v>
      </c>
    </row>
    <row r="8460" spans="27:30" x14ac:dyDescent="0.3">
      <c r="AA8460" s="37">
        <v>8440</v>
      </c>
      <c r="AB8460" s="37">
        <v>1.7500576449220344</v>
      </c>
      <c r="AC8460" s="37">
        <v>2.935917699677522</v>
      </c>
      <c r="AD8460" s="37">
        <v>3.1446556391611646</v>
      </c>
    </row>
    <row r="8461" spans="27:30" x14ac:dyDescent="0.3">
      <c r="AA8461" s="37">
        <v>8441</v>
      </c>
      <c r="AB8461" s="37">
        <v>1.837820975685849</v>
      </c>
      <c r="AC8461" s="37">
        <v>2.9429610594089519</v>
      </c>
      <c r="AD8461" s="37">
        <v>3.1694884315549556</v>
      </c>
    </row>
    <row r="8462" spans="27:30" x14ac:dyDescent="0.3">
      <c r="AA8462" s="37">
        <v>8442</v>
      </c>
      <c r="AB8462" s="37">
        <v>1.8425107964083645</v>
      </c>
      <c r="AC8462" s="37">
        <v>2.8468300462674105</v>
      </c>
      <c r="AD8462" s="37">
        <v>3.4282477867316561</v>
      </c>
    </row>
    <row r="8463" spans="27:30" x14ac:dyDescent="0.3">
      <c r="AA8463" s="37">
        <v>8443</v>
      </c>
      <c r="AB8463" s="37">
        <v>1.85548913138045</v>
      </c>
      <c r="AC8463" s="37">
        <v>2.7337371628971705</v>
      </c>
      <c r="AD8463" s="37">
        <v>3.2283932169627958</v>
      </c>
    </row>
    <row r="8464" spans="27:30" x14ac:dyDescent="0.3">
      <c r="AA8464" s="37">
        <v>8444</v>
      </c>
      <c r="AB8464" s="37">
        <v>1.7691321571943956</v>
      </c>
      <c r="AC8464" s="37">
        <v>2.8906485134022968</v>
      </c>
      <c r="AD8464" s="37">
        <v>3.4801122058667651</v>
      </c>
    </row>
    <row r="8465" spans="27:30" x14ac:dyDescent="0.3">
      <c r="AA8465" s="37">
        <v>8445</v>
      </c>
      <c r="AB8465" s="37">
        <v>1.6537918815095984</v>
      </c>
      <c r="AC8465" s="37">
        <v>2.9993431063939151</v>
      </c>
      <c r="AD8465" s="37">
        <v>3.3738527081481453</v>
      </c>
    </row>
    <row r="8466" spans="27:30" x14ac:dyDescent="0.3">
      <c r="AA8466" s="37">
        <v>8446</v>
      </c>
      <c r="AB8466" s="37">
        <v>1.7789922966207132</v>
      </c>
      <c r="AC8466" s="37">
        <v>2.7616097386616509</v>
      </c>
      <c r="AD8466" s="37">
        <v>3.3934693187855065</v>
      </c>
    </row>
    <row r="8467" spans="27:30" x14ac:dyDescent="0.3">
      <c r="AA8467" s="37">
        <v>8447</v>
      </c>
      <c r="AB8467" s="37">
        <v>1.7820410186596138</v>
      </c>
      <c r="AC8467" s="37">
        <v>2.7738379833877498</v>
      </c>
      <c r="AD8467" s="37">
        <v>3.5548991302742809</v>
      </c>
    </row>
    <row r="8468" spans="27:30" x14ac:dyDescent="0.3">
      <c r="AA8468" s="37">
        <v>8448</v>
      </c>
      <c r="AB8468" s="37">
        <v>1.8984963618256214</v>
      </c>
      <c r="AC8468" s="37">
        <v>2.661292301610207</v>
      </c>
      <c r="AD8468" s="37">
        <v>3.2551332186340045</v>
      </c>
    </row>
    <row r="8469" spans="27:30" x14ac:dyDescent="0.3">
      <c r="AA8469" s="37">
        <v>8449</v>
      </c>
      <c r="AB8469" s="37">
        <v>1.7982885325935782</v>
      </c>
      <c r="AC8469" s="37">
        <v>2.8182550888343298</v>
      </c>
      <c r="AD8469" s="37">
        <v>3.4700273302973552</v>
      </c>
    </row>
    <row r="8470" spans="27:30" x14ac:dyDescent="0.3">
      <c r="AA8470" s="37">
        <v>8450</v>
      </c>
      <c r="AB8470" s="37">
        <v>1.9095787656102186</v>
      </c>
      <c r="AC8470" s="37">
        <v>2.8130858447647271</v>
      </c>
      <c r="AD8470" s="37">
        <v>3.2504447194821449</v>
      </c>
    </row>
    <row r="8471" spans="27:30" x14ac:dyDescent="0.3">
      <c r="AA8471" s="37">
        <v>8451</v>
      </c>
      <c r="AB8471" s="37">
        <v>1.7714190461923187</v>
      </c>
      <c r="AC8471" s="37">
        <v>2.7870602662023765</v>
      </c>
      <c r="AD8471" s="37">
        <v>3.1897021543517079</v>
      </c>
    </row>
    <row r="8472" spans="27:30" x14ac:dyDescent="0.3">
      <c r="AA8472" s="37">
        <v>8452</v>
      </c>
      <c r="AB8472" s="37">
        <v>1.7194564269757129</v>
      </c>
      <c r="AC8472" s="37">
        <v>2.9268297588844381</v>
      </c>
      <c r="AD8472" s="37">
        <v>3.2767803157182782</v>
      </c>
    </row>
    <row r="8473" spans="27:30" x14ac:dyDescent="0.3">
      <c r="AA8473" s="37">
        <v>8453</v>
      </c>
      <c r="AB8473" s="37">
        <v>1.7727792929994899</v>
      </c>
      <c r="AC8473" s="37">
        <v>2.7057026572207286</v>
      </c>
      <c r="AD8473" s="37">
        <v>3.3906930290072004</v>
      </c>
    </row>
    <row r="8474" spans="27:30" x14ac:dyDescent="0.3">
      <c r="AA8474" s="37">
        <v>8454</v>
      </c>
      <c r="AB8474" s="37">
        <v>1.8215189898157709</v>
      </c>
      <c r="AC8474" s="37">
        <v>2.7992403269770563</v>
      </c>
      <c r="AD8474" s="37">
        <v>3.4481699433252073</v>
      </c>
    </row>
    <row r="8475" spans="27:30" x14ac:dyDescent="0.3">
      <c r="AA8475" s="37">
        <v>8455</v>
      </c>
      <c r="AB8475" s="37">
        <v>1.8860656800502256</v>
      </c>
      <c r="AC8475" s="37">
        <v>2.8460693299543918</v>
      </c>
      <c r="AD8475" s="37">
        <v>3.3044556997593277</v>
      </c>
    </row>
    <row r="8476" spans="27:30" x14ac:dyDescent="0.3">
      <c r="AA8476" s="37">
        <v>8456</v>
      </c>
      <c r="AB8476" s="37">
        <v>1.8564821428549276</v>
      </c>
      <c r="AC8476" s="37">
        <v>2.9077516887574686</v>
      </c>
      <c r="AD8476" s="37">
        <v>3.2432690324180427</v>
      </c>
    </row>
    <row r="8477" spans="27:30" x14ac:dyDescent="0.3">
      <c r="AA8477" s="37">
        <v>8457</v>
      </c>
      <c r="AB8477" s="37">
        <v>1.7888549426128426</v>
      </c>
      <c r="AC8477" s="37">
        <v>2.7279428270230821</v>
      </c>
      <c r="AD8477" s="37">
        <v>3.3825875436441857</v>
      </c>
    </row>
    <row r="8478" spans="27:30" x14ac:dyDescent="0.3">
      <c r="AA8478" s="37">
        <v>8458</v>
      </c>
      <c r="AB8478" s="37">
        <v>1.8136994040448762</v>
      </c>
      <c r="AC8478" s="37">
        <v>2.9855097522961249</v>
      </c>
      <c r="AD8478" s="37">
        <v>3.1445372651529833</v>
      </c>
    </row>
    <row r="8479" spans="27:30" x14ac:dyDescent="0.3">
      <c r="AA8479" s="37">
        <v>8459</v>
      </c>
      <c r="AB8479" s="37">
        <v>1.8289180026184104</v>
      </c>
      <c r="AC8479" s="37">
        <v>2.9785531268515268</v>
      </c>
      <c r="AD8479" s="37">
        <v>3.4361351574116776</v>
      </c>
    </row>
    <row r="8480" spans="27:30" x14ac:dyDescent="0.3">
      <c r="AA8480" s="37">
        <v>8460</v>
      </c>
      <c r="AB8480" s="37">
        <v>1.642033386897392</v>
      </c>
      <c r="AC8480" s="37">
        <v>2.7470633576865264</v>
      </c>
      <c r="AD8480" s="37">
        <v>3.2444388247502998</v>
      </c>
    </row>
    <row r="8481" spans="27:30" x14ac:dyDescent="0.3">
      <c r="AA8481" s="37">
        <v>8461</v>
      </c>
      <c r="AB8481" s="37">
        <v>1.8067694607737079</v>
      </c>
      <c r="AC8481" s="37">
        <v>2.918931927881109</v>
      </c>
      <c r="AD8481" s="37">
        <v>3.4789943476401333</v>
      </c>
    </row>
    <row r="8482" spans="27:30" x14ac:dyDescent="0.3">
      <c r="AA8482" s="37">
        <v>8462</v>
      </c>
      <c r="AB8482" s="37">
        <v>1.7905295654564273</v>
      </c>
      <c r="AC8482" s="37">
        <v>2.9808791960389622</v>
      </c>
      <c r="AD8482" s="37">
        <v>3.3175215095912636</v>
      </c>
    </row>
    <row r="8483" spans="27:30" x14ac:dyDescent="0.3">
      <c r="AA8483" s="37">
        <v>8463</v>
      </c>
      <c r="AB8483" s="37">
        <v>1.8579185910177074</v>
      </c>
      <c r="AC8483" s="37">
        <v>2.8520166160069902</v>
      </c>
      <c r="AD8483" s="37">
        <v>3.3696719734712466</v>
      </c>
    </row>
    <row r="8484" spans="27:30" x14ac:dyDescent="0.3">
      <c r="AA8484" s="37">
        <v>8464</v>
      </c>
      <c r="AB8484" s="37">
        <v>1.6931089671640869</v>
      </c>
      <c r="AC8484" s="37">
        <v>2.7391643601227509</v>
      </c>
      <c r="AD8484" s="37">
        <v>3.2596016665265144</v>
      </c>
    </row>
    <row r="8485" spans="27:30" x14ac:dyDescent="0.3">
      <c r="AA8485" s="37">
        <v>8465</v>
      </c>
      <c r="AB8485" s="37">
        <v>1.7479795558049864</v>
      </c>
      <c r="AC8485" s="37">
        <v>2.9027053240041192</v>
      </c>
      <c r="AD8485" s="37">
        <v>3.3635535076615621</v>
      </c>
    </row>
    <row r="8486" spans="27:30" x14ac:dyDescent="0.3">
      <c r="AA8486" s="37">
        <v>8466</v>
      </c>
      <c r="AB8486" s="37">
        <v>1.7727117342317391</v>
      </c>
      <c r="AC8486" s="37">
        <v>2.7816139504264061</v>
      </c>
      <c r="AD8486" s="37">
        <v>3.2429070737601959</v>
      </c>
    </row>
    <row r="8487" spans="27:30" x14ac:dyDescent="0.3">
      <c r="AA8487" s="37">
        <v>8467</v>
      </c>
      <c r="AB8487" s="37">
        <v>1.835075043802245</v>
      </c>
      <c r="AC8487" s="37">
        <v>2.8864090567959222</v>
      </c>
      <c r="AD8487" s="37">
        <v>3.4987307193910659</v>
      </c>
    </row>
    <row r="8488" spans="27:30" x14ac:dyDescent="0.3">
      <c r="AA8488" s="37">
        <v>8468</v>
      </c>
      <c r="AB8488" s="37">
        <v>1.8277906623538129</v>
      </c>
      <c r="AC8488" s="37">
        <v>2.7027329885492013</v>
      </c>
      <c r="AD8488" s="37">
        <v>3.4099113630902602</v>
      </c>
    </row>
    <row r="8489" spans="27:30" x14ac:dyDescent="0.3">
      <c r="AA8489" s="37">
        <v>8469</v>
      </c>
      <c r="AB8489" s="37">
        <v>1.9146823735674141</v>
      </c>
      <c r="AC8489" s="37">
        <v>2.8147284468468396</v>
      </c>
      <c r="AD8489" s="37">
        <v>3.2257755910607422</v>
      </c>
    </row>
    <row r="8490" spans="27:30" x14ac:dyDescent="0.3">
      <c r="AA8490" s="37">
        <v>8470</v>
      </c>
      <c r="AB8490" s="37">
        <v>1.8312660800420957</v>
      </c>
      <c r="AC8490" s="37">
        <v>3.0113285334640087</v>
      </c>
      <c r="AD8490" s="37">
        <v>3.4981503706106305</v>
      </c>
    </row>
    <row r="8491" spans="27:30" x14ac:dyDescent="0.3">
      <c r="AA8491" s="37">
        <v>8471</v>
      </c>
      <c r="AB8491" s="37">
        <v>2.087439839182212</v>
      </c>
      <c r="AC8491" s="37">
        <v>2.878993452911919</v>
      </c>
      <c r="AD8491" s="37">
        <v>3.4016590937046782</v>
      </c>
    </row>
    <row r="8492" spans="27:30" x14ac:dyDescent="0.3">
      <c r="AA8492" s="37">
        <v>8472</v>
      </c>
      <c r="AB8492" s="37">
        <v>1.7382799935602147</v>
      </c>
      <c r="AC8492" s="37">
        <v>2.7929948297304077</v>
      </c>
      <c r="AD8492" s="37">
        <v>3.2456822442288433</v>
      </c>
    </row>
    <row r="8493" spans="27:30" x14ac:dyDescent="0.3">
      <c r="AA8493" s="37">
        <v>8473</v>
      </c>
      <c r="AB8493" s="37">
        <v>1.7317996073031601</v>
      </c>
      <c r="AC8493" s="37">
        <v>2.8076428131695041</v>
      </c>
      <c r="AD8493" s="37">
        <v>3.4942480417122765</v>
      </c>
    </row>
    <row r="8494" spans="27:30" x14ac:dyDescent="0.3">
      <c r="AA8494" s="37">
        <v>8474</v>
      </c>
      <c r="AB8494" s="37">
        <v>1.8033008071340828</v>
      </c>
      <c r="AC8494" s="37">
        <v>2.9572897621291911</v>
      </c>
      <c r="AD8494" s="37">
        <v>3.3476677937453609</v>
      </c>
    </row>
    <row r="8495" spans="27:30" x14ac:dyDescent="0.3">
      <c r="AA8495" s="37">
        <v>8475</v>
      </c>
      <c r="AB8495" s="37">
        <v>1.6917472648448031</v>
      </c>
      <c r="AC8495" s="37">
        <v>2.8443834204492373</v>
      </c>
      <c r="AD8495" s="37">
        <v>3.4276036663844365</v>
      </c>
    </row>
    <row r="8496" spans="27:30" x14ac:dyDescent="0.3">
      <c r="AA8496" s="37">
        <v>8476</v>
      </c>
      <c r="AB8496" s="37">
        <v>1.7027303411771133</v>
      </c>
      <c r="AC8496" s="37">
        <v>2.9318192932307632</v>
      </c>
      <c r="AD8496" s="37">
        <v>3.3600294207261916</v>
      </c>
    </row>
    <row r="8497" spans="27:30" x14ac:dyDescent="0.3">
      <c r="AA8497" s="37">
        <v>8477</v>
      </c>
      <c r="AB8497" s="37">
        <v>1.875656026290093</v>
      </c>
      <c r="AC8497" s="37">
        <v>2.8045129838592291</v>
      </c>
      <c r="AD8497" s="37">
        <v>3.3319639008830251</v>
      </c>
    </row>
    <row r="8498" spans="27:30" x14ac:dyDescent="0.3">
      <c r="AA8498" s="37">
        <v>8478</v>
      </c>
      <c r="AB8498" s="37">
        <v>1.9155631691441206</v>
      </c>
      <c r="AC8498" s="37">
        <v>2.8424815750875054</v>
      </c>
      <c r="AD8498" s="37">
        <v>3.3436127959319011</v>
      </c>
    </row>
    <row r="8499" spans="27:30" x14ac:dyDescent="0.3">
      <c r="AA8499" s="37">
        <v>8479</v>
      </c>
      <c r="AB8499" s="37">
        <v>1.7237476431050314</v>
      </c>
      <c r="AC8499" s="37">
        <v>2.8981112372397102</v>
      </c>
      <c r="AD8499" s="37">
        <v>3.4934342335407664</v>
      </c>
    </row>
    <row r="8500" spans="27:30" x14ac:dyDescent="0.3">
      <c r="AA8500" s="37">
        <v>8480</v>
      </c>
      <c r="AB8500" s="37">
        <v>1.84097742951067</v>
      </c>
      <c r="AC8500" s="37">
        <v>2.7272498546971997</v>
      </c>
      <c r="AD8500" s="37">
        <v>3.4271068171588515</v>
      </c>
    </row>
    <row r="8501" spans="27:30" x14ac:dyDescent="0.3">
      <c r="AA8501" s="37">
        <v>8481</v>
      </c>
      <c r="AB8501" s="37">
        <v>1.8135223575855839</v>
      </c>
      <c r="AC8501" s="37">
        <v>2.8436939114623212</v>
      </c>
      <c r="AD8501" s="37">
        <v>3.4031149236411116</v>
      </c>
    </row>
    <row r="8502" spans="27:30" x14ac:dyDescent="0.3">
      <c r="AA8502" s="37">
        <v>8482</v>
      </c>
      <c r="AB8502" s="37">
        <v>1.7848534418906552</v>
      </c>
      <c r="AC8502" s="37">
        <v>2.6573469843509812</v>
      </c>
      <c r="AD8502" s="37">
        <v>3.4229074596534379</v>
      </c>
    </row>
    <row r="8503" spans="27:30" x14ac:dyDescent="0.3">
      <c r="AA8503" s="37">
        <v>8483</v>
      </c>
      <c r="AB8503" s="37">
        <v>1.6220842977241481</v>
      </c>
      <c r="AC8503" s="37">
        <v>2.7806235986031487</v>
      </c>
      <c r="AD8503" s="37">
        <v>3.2395495318505483</v>
      </c>
    </row>
    <row r="8504" spans="27:30" x14ac:dyDescent="0.3">
      <c r="AA8504" s="37">
        <v>8484</v>
      </c>
      <c r="AB8504" s="37">
        <v>1.7388597684299736</v>
      </c>
      <c r="AC8504" s="37">
        <v>2.9241852567737086</v>
      </c>
      <c r="AD8504" s="37">
        <v>3.2087398809784418</v>
      </c>
    </row>
    <row r="8505" spans="27:30" x14ac:dyDescent="0.3">
      <c r="AA8505" s="37">
        <v>8485</v>
      </c>
      <c r="AB8505" s="37">
        <v>1.7366150714649313</v>
      </c>
      <c r="AC8505" s="37">
        <v>2.6845480833151583</v>
      </c>
      <c r="AD8505" s="37">
        <v>3.3179146117487468</v>
      </c>
    </row>
    <row r="8506" spans="27:30" x14ac:dyDescent="0.3">
      <c r="AA8506" s="37">
        <v>8486</v>
      </c>
      <c r="AB8506" s="37">
        <v>1.8403091273269303</v>
      </c>
      <c r="AC8506" s="37">
        <v>2.8468649786329463</v>
      </c>
      <c r="AD8506" s="37">
        <v>3.2808859698610591</v>
      </c>
    </row>
    <row r="8507" spans="27:30" x14ac:dyDescent="0.3">
      <c r="AA8507" s="37">
        <v>8487</v>
      </c>
      <c r="AB8507" s="37">
        <v>1.748452763142905</v>
      </c>
      <c r="AC8507" s="37">
        <v>2.9003368498366044</v>
      </c>
      <c r="AD8507" s="37">
        <v>3.1157697246521434</v>
      </c>
    </row>
    <row r="8508" spans="27:30" x14ac:dyDescent="0.3">
      <c r="AA8508" s="37">
        <v>8488</v>
      </c>
      <c r="AB8508" s="37">
        <v>1.7996251752899559</v>
      </c>
      <c r="AC8508" s="37">
        <v>2.9294464408612235</v>
      </c>
      <c r="AD8508" s="37">
        <v>3.3494594452029891</v>
      </c>
    </row>
    <row r="8509" spans="27:30" x14ac:dyDescent="0.3">
      <c r="AA8509" s="37">
        <v>8489</v>
      </c>
      <c r="AB8509" s="37">
        <v>1.7580192159101597</v>
      </c>
      <c r="AC8509" s="37">
        <v>2.9625503463851017</v>
      </c>
      <c r="AD8509" s="37">
        <v>3.1502120676897154</v>
      </c>
    </row>
    <row r="8510" spans="27:30" x14ac:dyDescent="0.3">
      <c r="AA8510" s="37">
        <v>8490</v>
      </c>
      <c r="AB8510" s="37">
        <v>1.8108198290034241</v>
      </c>
      <c r="AC8510" s="37">
        <v>2.773904462226656</v>
      </c>
      <c r="AD8510" s="37">
        <v>3.0730606656167496</v>
      </c>
    </row>
    <row r="8511" spans="27:30" x14ac:dyDescent="0.3">
      <c r="AA8511" s="37">
        <v>8491</v>
      </c>
      <c r="AB8511" s="37">
        <v>1.8318923627942454</v>
      </c>
      <c r="AC8511" s="37">
        <v>2.8648019575207542</v>
      </c>
      <c r="AD8511" s="37">
        <v>3.3936369334366874</v>
      </c>
    </row>
    <row r="8512" spans="27:30" x14ac:dyDescent="0.3">
      <c r="AA8512" s="37">
        <v>8492</v>
      </c>
      <c r="AB8512" s="37">
        <v>1.828593603322477</v>
      </c>
      <c r="AC8512" s="37">
        <v>2.897595201499565</v>
      </c>
      <c r="AD8512" s="37">
        <v>3.3877736450938483</v>
      </c>
    </row>
    <row r="8513" spans="27:30" x14ac:dyDescent="0.3">
      <c r="AA8513" s="37">
        <v>8493</v>
      </c>
      <c r="AB8513" s="37">
        <v>1.7833893794163762</v>
      </c>
      <c r="AC8513" s="37">
        <v>2.9523385796314559</v>
      </c>
      <c r="AD8513" s="37">
        <v>3.4713689389511986</v>
      </c>
    </row>
    <row r="8514" spans="27:30" x14ac:dyDescent="0.3">
      <c r="AA8514" s="37">
        <v>8494</v>
      </c>
      <c r="AB8514" s="37">
        <v>1.7618585836617371</v>
      </c>
      <c r="AC8514" s="37">
        <v>2.7280480429375626</v>
      </c>
      <c r="AD8514" s="37">
        <v>3.185496268875657</v>
      </c>
    </row>
    <row r="8515" spans="27:30" x14ac:dyDescent="0.3">
      <c r="AA8515" s="37">
        <v>8495</v>
      </c>
      <c r="AB8515" s="37">
        <v>1.6898875359869918</v>
      </c>
      <c r="AC8515" s="37">
        <v>2.9473086535201931</v>
      </c>
      <c r="AD8515" s="37">
        <v>3.406716070232136</v>
      </c>
    </row>
    <row r="8516" spans="27:30" x14ac:dyDescent="0.3">
      <c r="AA8516" s="37">
        <v>8496</v>
      </c>
      <c r="AB8516" s="37">
        <v>1.7627665462252373</v>
      </c>
      <c r="AC8516" s="37">
        <v>2.9539110439891472</v>
      </c>
      <c r="AD8516" s="37">
        <v>3.3715229288168893</v>
      </c>
    </row>
    <row r="8517" spans="27:30" x14ac:dyDescent="0.3">
      <c r="AA8517" s="37">
        <v>8497</v>
      </c>
      <c r="AB8517" s="37">
        <v>1.7462637216153176</v>
      </c>
      <c r="AC8517" s="37">
        <v>3.1158184793154016</v>
      </c>
      <c r="AD8517" s="37">
        <v>3.2189412287864356</v>
      </c>
    </row>
    <row r="8518" spans="27:30" x14ac:dyDescent="0.3">
      <c r="AA8518" s="37">
        <v>8498</v>
      </c>
      <c r="AB8518" s="37">
        <v>2.0401850628191762</v>
      </c>
      <c r="AC8518" s="37">
        <v>2.8270527444267777</v>
      </c>
      <c r="AD8518" s="37">
        <v>3.4184793058090222</v>
      </c>
    </row>
    <row r="8519" spans="27:30" x14ac:dyDescent="0.3">
      <c r="AA8519" s="37">
        <v>8499</v>
      </c>
      <c r="AB8519" s="37">
        <v>1.859534536418233</v>
      </c>
      <c r="AC8519" s="37">
        <v>2.7517476902790925</v>
      </c>
      <c r="AD8519" s="37">
        <v>3.139228333991805</v>
      </c>
    </row>
    <row r="8520" spans="27:30" x14ac:dyDescent="0.3">
      <c r="AA8520" s="37">
        <v>8500</v>
      </c>
      <c r="AB8520" s="37">
        <v>1.9156951039801964</v>
      </c>
      <c r="AC8520" s="37">
        <v>2.9158107702342511</v>
      </c>
      <c r="AD8520" s="37">
        <v>3.1177717316550915</v>
      </c>
    </row>
    <row r="8521" spans="27:30" x14ac:dyDescent="0.3">
      <c r="AA8521" s="37">
        <v>8501</v>
      </c>
      <c r="AB8521" s="37">
        <v>1.8139106991571736</v>
      </c>
      <c r="AC8521" s="37">
        <v>3.0295863275396893</v>
      </c>
      <c r="AD8521" s="37">
        <v>3.6137077326237921</v>
      </c>
    </row>
    <row r="8522" spans="27:30" x14ac:dyDescent="0.3">
      <c r="AA8522" s="37">
        <v>8502</v>
      </c>
      <c r="AB8522" s="37">
        <v>1.6719966737799437</v>
      </c>
      <c r="AC8522" s="37">
        <v>2.6809126496303644</v>
      </c>
      <c r="AD8522" s="37">
        <v>3.3388857231791524</v>
      </c>
    </row>
    <row r="8523" spans="27:30" x14ac:dyDescent="0.3">
      <c r="AA8523" s="37">
        <v>8503</v>
      </c>
      <c r="AB8523" s="37">
        <v>1.7617178985851609</v>
      </c>
      <c r="AC8523" s="37">
        <v>2.8952759214521273</v>
      </c>
      <c r="AD8523" s="37">
        <v>3.3790677394089541</v>
      </c>
    </row>
    <row r="8524" spans="27:30" x14ac:dyDescent="0.3">
      <c r="AA8524" s="37">
        <v>8504</v>
      </c>
      <c r="AB8524" s="37">
        <v>1.8047338275498694</v>
      </c>
      <c r="AC8524" s="37">
        <v>2.9220948083872624</v>
      </c>
      <c r="AD8524" s="37">
        <v>3.2128495814448574</v>
      </c>
    </row>
    <row r="8525" spans="27:30" x14ac:dyDescent="0.3">
      <c r="AA8525" s="37">
        <v>8505</v>
      </c>
      <c r="AB8525" s="37">
        <v>1.7501980284628893</v>
      </c>
      <c r="AC8525" s="37">
        <v>2.80249540808158</v>
      </c>
      <c r="AD8525" s="37">
        <v>3.4908640201687988</v>
      </c>
    </row>
    <row r="8526" spans="27:30" x14ac:dyDescent="0.3">
      <c r="AA8526" s="37">
        <v>8506</v>
      </c>
      <c r="AB8526" s="37">
        <v>1.8645336363128933</v>
      </c>
      <c r="AC8526" s="37">
        <v>2.9043718033787709</v>
      </c>
      <c r="AD8526" s="37">
        <v>3.3407662114123693</v>
      </c>
    </row>
    <row r="8527" spans="27:30" x14ac:dyDescent="0.3">
      <c r="AA8527" s="37">
        <v>8507</v>
      </c>
      <c r="AB8527" s="37">
        <v>1.7493612317223868</v>
      </c>
      <c r="AC8527" s="37">
        <v>2.8605738260727391</v>
      </c>
      <c r="AD8527" s="37">
        <v>3.2160231123789673</v>
      </c>
    </row>
    <row r="8528" spans="27:30" x14ac:dyDescent="0.3">
      <c r="AA8528" s="37">
        <v>8508</v>
      </c>
      <c r="AB8528" s="37">
        <v>1.8085269168870972</v>
      </c>
      <c r="AC8528" s="37">
        <v>2.9268354661170006</v>
      </c>
      <c r="AD8528" s="37">
        <v>3.5742531121270811</v>
      </c>
    </row>
    <row r="8529" spans="27:30" x14ac:dyDescent="0.3">
      <c r="AA8529" s="37">
        <v>8509</v>
      </c>
      <c r="AB8529" s="37">
        <v>1.7720192584998304</v>
      </c>
      <c r="AC8529" s="37">
        <v>2.8091270436855522</v>
      </c>
      <c r="AD8529" s="37">
        <v>3.4903800682409103</v>
      </c>
    </row>
    <row r="8530" spans="27:30" x14ac:dyDescent="0.3">
      <c r="AA8530" s="37">
        <v>8510</v>
      </c>
      <c r="AB8530" s="37">
        <v>1.8497535098646445</v>
      </c>
      <c r="AC8530" s="37">
        <v>2.5797051994327016</v>
      </c>
      <c r="AD8530" s="37">
        <v>3.4035449411412539</v>
      </c>
    </row>
    <row r="8531" spans="27:30" x14ac:dyDescent="0.3">
      <c r="AA8531" s="37">
        <v>8511</v>
      </c>
      <c r="AB8531" s="37">
        <v>1.7563142548465334</v>
      </c>
      <c r="AC8531" s="37">
        <v>2.7386196010144821</v>
      </c>
      <c r="AD8531" s="37">
        <v>3.3428328194964179</v>
      </c>
    </row>
    <row r="8532" spans="27:30" x14ac:dyDescent="0.3">
      <c r="AA8532" s="37">
        <v>8512</v>
      </c>
      <c r="AB8532" s="37">
        <v>1.7669699459308661</v>
      </c>
      <c r="AC8532" s="37">
        <v>2.9012661340109216</v>
      </c>
      <c r="AD8532" s="37">
        <v>3.5988317939161401</v>
      </c>
    </row>
    <row r="8533" spans="27:30" x14ac:dyDescent="0.3">
      <c r="AA8533" s="37">
        <v>8513</v>
      </c>
      <c r="AB8533" s="37">
        <v>1.7432437769248437</v>
      </c>
      <c r="AC8533" s="37">
        <v>2.6972504523156418</v>
      </c>
      <c r="AD8533" s="37">
        <v>3.4163950770996849</v>
      </c>
    </row>
    <row r="8534" spans="27:30" x14ac:dyDescent="0.3">
      <c r="AA8534" s="37">
        <v>8514</v>
      </c>
      <c r="AB8534" s="37">
        <v>1.794147291163277</v>
      </c>
      <c r="AC8534" s="37">
        <v>2.937091371750018</v>
      </c>
      <c r="AD8534" s="37">
        <v>3.2732755350492648</v>
      </c>
    </row>
    <row r="8535" spans="27:30" x14ac:dyDescent="0.3">
      <c r="AA8535" s="37">
        <v>8515</v>
      </c>
      <c r="AB8535" s="37">
        <v>1.6358404622415059</v>
      </c>
      <c r="AC8535" s="37">
        <v>2.8682277204703568</v>
      </c>
      <c r="AD8535" s="37">
        <v>3.4764565769798219</v>
      </c>
    </row>
    <row r="8536" spans="27:30" x14ac:dyDescent="0.3">
      <c r="AA8536" s="37">
        <v>8516</v>
      </c>
      <c r="AB8536" s="37">
        <v>1.8028285970108464</v>
      </c>
      <c r="AC8536" s="37">
        <v>2.9194220749203721</v>
      </c>
      <c r="AD8536" s="37">
        <v>3.2193407673200802</v>
      </c>
    </row>
    <row r="8537" spans="27:30" x14ac:dyDescent="0.3">
      <c r="AA8537" s="37">
        <v>8517</v>
      </c>
      <c r="AB8537" s="37">
        <v>1.7408330938938388</v>
      </c>
      <c r="AC8537" s="37">
        <v>2.7943005242650991</v>
      </c>
      <c r="AD8537" s="37">
        <v>3.2783139961384236</v>
      </c>
    </row>
    <row r="8538" spans="27:30" x14ac:dyDescent="0.3">
      <c r="AA8538" s="37">
        <v>8518</v>
      </c>
      <c r="AB8538" s="37">
        <v>1.7728140785293385</v>
      </c>
      <c r="AC8538" s="37">
        <v>2.7686409505122662</v>
      </c>
      <c r="AD8538" s="37">
        <v>3.6245769009704527</v>
      </c>
    </row>
    <row r="8539" spans="27:30" x14ac:dyDescent="0.3">
      <c r="AA8539" s="37">
        <v>8519</v>
      </c>
      <c r="AB8539" s="37">
        <v>1.7270391184929592</v>
      </c>
      <c r="AC8539" s="37">
        <v>2.7951787250207643</v>
      </c>
      <c r="AD8539" s="37">
        <v>3.4376661261057193</v>
      </c>
    </row>
    <row r="8540" spans="27:30" x14ac:dyDescent="0.3">
      <c r="AA8540" s="37">
        <v>8520</v>
      </c>
      <c r="AB8540" s="37">
        <v>1.7938935642098781</v>
      </c>
      <c r="AC8540" s="37">
        <v>2.9062910128706672</v>
      </c>
      <c r="AD8540" s="37">
        <v>3.4711725910467655</v>
      </c>
    </row>
    <row r="8541" spans="27:30" x14ac:dyDescent="0.3">
      <c r="AA8541" s="37">
        <v>8521</v>
      </c>
      <c r="AB8541" s="37">
        <v>1.887982907448289</v>
      </c>
      <c r="AC8541" s="37">
        <v>3.0345595927409277</v>
      </c>
      <c r="AD8541" s="37">
        <v>3.2168384997984911</v>
      </c>
    </row>
    <row r="8542" spans="27:30" x14ac:dyDescent="0.3">
      <c r="AA8542" s="37">
        <v>8522</v>
      </c>
      <c r="AB8542" s="37">
        <v>1.7221251955532144</v>
      </c>
      <c r="AC8542" s="37">
        <v>2.7229278766031912</v>
      </c>
      <c r="AD8542" s="37">
        <v>3.3531646957275809</v>
      </c>
    </row>
    <row r="8543" spans="27:30" x14ac:dyDescent="0.3">
      <c r="AA8543" s="37">
        <v>8523</v>
      </c>
      <c r="AB8543" s="37">
        <v>1.8310381711442201</v>
      </c>
      <c r="AC8543" s="37">
        <v>3.0183388083929641</v>
      </c>
      <c r="AD8543" s="37">
        <v>3.182187427703878</v>
      </c>
    </row>
    <row r="8544" spans="27:30" x14ac:dyDescent="0.3">
      <c r="AA8544" s="37">
        <v>8524</v>
      </c>
      <c r="AB8544" s="37">
        <v>1.7479128542122164</v>
      </c>
      <c r="AC8544" s="37">
        <v>2.8266431967569972</v>
      </c>
      <c r="AD8544" s="37">
        <v>3.5497731484703232</v>
      </c>
    </row>
    <row r="8545" spans="27:30" x14ac:dyDescent="0.3">
      <c r="AA8545" s="37">
        <v>8525</v>
      </c>
      <c r="AB8545" s="37">
        <v>1.7263048080715027</v>
      </c>
      <c r="AC8545" s="37">
        <v>2.9298167174360694</v>
      </c>
      <c r="AD8545" s="37">
        <v>3.4226438055502477</v>
      </c>
    </row>
    <row r="8546" spans="27:30" x14ac:dyDescent="0.3">
      <c r="AA8546" s="37">
        <v>8526</v>
      </c>
      <c r="AB8546" s="37">
        <v>1.8370299397224366</v>
      </c>
      <c r="AC8546" s="37">
        <v>2.7355308876247899</v>
      </c>
      <c r="AD8546" s="37">
        <v>3.4956937874271685</v>
      </c>
    </row>
    <row r="8547" spans="27:30" x14ac:dyDescent="0.3">
      <c r="AA8547" s="37">
        <v>8527</v>
      </c>
      <c r="AB8547" s="37">
        <v>1.822154340288582</v>
      </c>
      <c r="AC8547" s="37">
        <v>2.8802349213577307</v>
      </c>
      <c r="AD8547" s="37">
        <v>3.3696176486174072</v>
      </c>
    </row>
    <row r="8548" spans="27:30" x14ac:dyDescent="0.3">
      <c r="AA8548" s="37">
        <v>8528</v>
      </c>
      <c r="AB8548" s="37">
        <v>1.7439292121686472</v>
      </c>
      <c r="AC8548" s="37">
        <v>3.0448412657620958</v>
      </c>
      <c r="AD8548" s="37">
        <v>3.2245353748255736</v>
      </c>
    </row>
    <row r="8549" spans="27:30" x14ac:dyDescent="0.3">
      <c r="AA8549" s="37">
        <v>8529</v>
      </c>
      <c r="AB8549" s="37">
        <v>1.8450083994974453</v>
      </c>
      <c r="AC8549" s="37">
        <v>2.8921598941551956</v>
      </c>
      <c r="AD8549" s="37">
        <v>3.4531757562094612</v>
      </c>
    </row>
    <row r="8550" spans="27:30" x14ac:dyDescent="0.3">
      <c r="AA8550" s="37">
        <v>8530</v>
      </c>
      <c r="AB8550" s="37">
        <v>1.8794455759671314</v>
      </c>
      <c r="AC8550" s="37">
        <v>2.8735446824995448</v>
      </c>
      <c r="AD8550" s="37">
        <v>3.1316349665753505</v>
      </c>
    </row>
    <row r="8551" spans="27:30" x14ac:dyDescent="0.3">
      <c r="AA8551" s="37">
        <v>8531</v>
      </c>
      <c r="AB8551" s="37">
        <v>1.8568526448842089</v>
      </c>
      <c r="AC8551" s="37">
        <v>2.8481774439788885</v>
      </c>
      <c r="AD8551" s="37">
        <v>3.4134105705328182</v>
      </c>
    </row>
    <row r="8552" spans="27:30" x14ac:dyDescent="0.3">
      <c r="AA8552" s="37">
        <v>8532</v>
      </c>
      <c r="AB8552" s="37">
        <v>1.7766789408030821</v>
      </c>
      <c r="AC8552" s="37">
        <v>2.9036515621388173</v>
      </c>
      <c r="AD8552" s="37">
        <v>3.6256599814349233</v>
      </c>
    </row>
    <row r="8553" spans="27:30" x14ac:dyDescent="0.3">
      <c r="AA8553" s="37">
        <v>8533</v>
      </c>
      <c r="AB8553" s="37">
        <v>1.7329347052598609</v>
      </c>
      <c r="AC8553" s="37">
        <v>2.7842758564522594</v>
      </c>
      <c r="AD8553" s="37">
        <v>3.3250006246611967</v>
      </c>
    </row>
    <row r="8554" spans="27:30" x14ac:dyDescent="0.3">
      <c r="AA8554" s="37">
        <v>8534</v>
      </c>
      <c r="AB8554" s="37">
        <v>1.7291521981717592</v>
      </c>
      <c r="AC8554" s="37">
        <v>2.7366642062543076</v>
      </c>
      <c r="AD8554" s="37">
        <v>3.319802588392871</v>
      </c>
    </row>
    <row r="8555" spans="27:30" x14ac:dyDescent="0.3">
      <c r="AA8555" s="37">
        <v>8535</v>
      </c>
      <c r="AB8555" s="37">
        <v>1.8289437042138346</v>
      </c>
      <c r="AC8555" s="37">
        <v>2.9103918514066258</v>
      </c>
      <c r="AD8555" s="37">
        <v>3.392290677928909</v>
      </c>
    </row>
    <row r="8556" spans="27:30" x14ac:dyDescent="0.3">
      <c r="AA8556" s="37">
        <v>8536</v>
      </c>
      <c r="AB8556" s="37">
        <v>1.7734575282957636</v>
      </c>
      <c r="AC8556" s="37">
        <v>3.0356786751275329</v>
      </c>
      <c r="AD8556" s="37">
        <v>3.2303260594345096</v>
      </c>
    </row>
    <row r="8557" spans="27:30" x14ac:dyDescent="0.3">
      <c r="AA8557" s="37">
        <v>8537</v>
      </c>
      <c r="AB8557" s="37">
        <v>1.8239713429709643</v>
      </c>
      <c r="AC8557" s="37">
        <v>2.9347529690100496</v>
      </c>
      <c r="AD8557" s="37">
        <v>3.467841182080849</v>
      </c>
    </row>
    <row r="8558" spans="27:30" x14ac:dyDescent="0.3">
      <c r="AA8558" s="37">
        <v>8538</v>
      </c>
      <c r="AB8558" s="37">
        <v>1.8489203482280272</v>
      </c>
      <c r="AC8558" s="37">
        <v>3.0051344020343875</v>
      </c>
      <c r="AD8558" s="37">
        <v>3.5046345837529129</v>
      </c>
    </row>
    <row r="8559" spans="27:30" x14ac:dyDescent="0.3">
      <c r="AA8559" s="37">
        <v>8539</v>
      </c>
      <c r="AB8559" s="37">
        <v>1.8364939977932444</v>
      </c>
      <c r="AC8559" s="37">
        <v>2.88739081937381</v>
      </c>
      <c r="AD8559" s="37">
        <v>3.2533489571515295</v>
      </c>
    </row>
    <row r="8560" spans="27:30" x14ac:dyDescent="0.3">
      <c r="AA8560" s="37">
        <v>8540</v>
      </c>
      <c r="AB8560" s="37">
        <v>1.7211516443284269</v>
      </c>
      <c r="AC8560" s="37">
        <v>2.8975179185254416</v>
      </c>
      <c r="AD8560" s="37">
        <v>3.2386952146785579</v>
      </c>
    </row>
    <row r="8561" spans="27:30" x14ac:dyDescent="0.3">
      <c r="AA8561" s="37">
        <v>8541</v>
      </c>
      <c r="AB8561" s="37">
        <v>1.7252323905113638</v>
      </c>
      <c r="AC8561" s="37">
        <v>2.7601563587966953</v>
      </c>
      <c r="AD8561" s="37">
        <v>3.3512381149053452</v>
      </c>
    </row>
    <row r="8562" spans="27:30" x14ac:dyDescent="0.3">
      <c r="AA8562" s="37">
        <v>8542</v>
      </c>
      <c r="AB8562" s="37">
        <v>1.7184396188572579</v>
      </c>
      <c r="AC8562" s="37">
        <v>2.7362666492854517</v>
      </c>
      <c r="AD8562" s="37">
        <v>3.3504943527942377</v>
      </c>
    </row>
    <row r="8563" spans="27:30" x14ac:dyDescent="0.3">
      <c r="AA8563" s="37">
        <v>8543</v>
      </c>
      <c r="AB8563" s="37">
        <v>1.8810738641023113</v>
      </c>
      <c r="AC8563" s="37">
        <v>2.904597880006544</v>
      </c>
      <c r="AD8563" s="37">
        <v>3.4324454279555447</v>
      </c>
    </row>
    <row r="8564" spans="27:30" x14ac:dyDescent="0.3">
      <c r="AA8564" s="37">
        <v>8544</v>
      </c>
      <c r="AB8564" s="37">
        <v>1.7765347887188814</v>
      </c>
      <c r="AC8564" s="37">
        <v>2.8100716433807298</v>
      </c>
      <c r="AD8564" s="37">
        <v>3.2358939428054971</v>
      </c>
    </row>
    <row r="8565" spans="27:30" x14ac:dyDescent="0.3">
      <c r="AA8565" s="37">
        <v>8545</v>
      </c>
      <c r="AB8565" s="37">
        <v>1.8928227342047645</v>
      </c>
      <c r="AC8565" s="37">
        <v>2.8005811166000107</v>
      </c>
      <c r="AD8565" s="37">
        <v>3.2728230633988344</v>
      </c>
    </row>
    <row r="8566" spans="27:30" x14ac:dyDescent="0.3">
      <c r="AA8566" s="37">
        <v>8546</v>
      </c>
      <c r="AB8566" s="37">
        <v>1.8107867799730142</v>
      </c>
      <c r="AC8566" s="37">
        <v>3.0395057401762058</v>
      </c>
      <c r="AD8566" s="37">
        <v>3.3603815783957183</v>
      </c>
    </row>
    <row r="8567" spans="27:30" x14ac:dyDescent="0.3">
      <c r="AA8567" s="37">
        <v>8547</v>
      </c>
      <c r="AB8567" s="37">
        <v>1.8055228277350195</v>
      </c>
      <c r="AC8567" s="37">
        <v>2.6978653536205894</v>
      </c>
      <c r="AD8567" s="37">
        <v>3.4252434903716988</v>
      </c>
    </row>
    <row r="8568" spans="27:30" x14ac:dyDescent="0.3">
      <c r="AA8568" s="37">
        <v>8548</v>
      </c>
      <c r="AB8568" s="37">
        <v>1.7533414556148279</v>
      </c>
      <c r="AC8568" s="37">
        <v>2.9628421454060043</v>
      </c>
      <c r="AD8568" s="37">
        <v>3.2290167977775548</v>
      </c>
    </row>
    <row r="8569" spans="27:30" x14ac:dyDescent="0.3">
      <c r="AA8569" s="37">
        <v>8549</v>
      </c>
      <c r="AB8569" s="37">
        <v>1.8475007657666009</v>
      </c>
      <c r="AC8569" s="37">
        <v>2.8290210919161591</v>
      </c>
      <c r="AD8569" s="37">
        <v>3.4273488149478575</v>
      </c>
    </row>
    <row r="8570" spans="27:30" x14ac:dyDescent="0.3">
      <c r="AA8570" s="37">
        <v>8550</v>
      </c>
      <c r="AB8570" s="37">
        <v>1.8870463250981619</v>
      </c>
      <c r="AC8570" s="37">
        <v>2.8278131786662524</v>
      </c>
      <c r="AD8570" s="37">
        <v>3.4363782619436107</v>
      </c>
    </row>
    <row r="8571" spans="27:30" x14ac:dyDescent="0.3">
      <c r="AA8571" s="37">
        <v>8551</v>
      </c>
      <c r="AB8571" s="37">
        <v>1.7991460086017714</v>
      </c>
      <c r="AC8571" s="37">
        <v>2.8601605732447792</v>
      </c>
      <c r="AD8571" s="37">
        <v>3.315997817176513</v>
      </c>
    </row>
    <row r="8572" spans="27:30" x14ac:dyDescent="0.3">
      <c r="AA8572" s="37">
        <v>8552</v>
      </c>
      <c r="AB8572" s="37">
        <v>1.8198426427091881</v>
      </c>
      <c r="AC8572" s="37">
        <v>2.9251394735807326</v>
      </c>
      <c r="AD8572" s="37">
        <v>3.2860976741645627</v>
      </c>
    </row>
    <row r="8573" spans="27:30" x14ac:dyDescent="0.3">
      <c r="AA8573" s="37">
        <v>8553</v>
      </c>
      <c r="AB8573" s="37">
        <v>1.786053092449974</v>
      </c>
      <c r="AC8573" s="37">
        <v>2.9616813347380964</v>
      </c>
      <c r="AD8573" s="37">
        <v>3.3990115454353251</v>
      </c>
    </row>
    <row r="8574" spans="27:30" x14ac:dyDescent="0.3">
      <c r="AA8574" s="37">
        <v>8554</v>
      </c>
      <c r="AB8574" s="37">
        <v>1.7316290360066953</v>
      </c>
      <c r="AC8574" s="37">
        <v>3.1518671245004861</v>
      </c>
      <c r="AD8574" s="37">
        <v>3.2915283332188592</v>
      </c>
    </row>
    <row r="8575" spans="27:30" x14ac:dyDescent="0.3">
      <c r="AA8575" s="37">
        <v>8555</v>
      </c>
      <c r="AB8575" s="37">
        <v>1.6855296661186272</v>
      </c>
      <c r="AC8575" s="37">
        <v>2.9214244318340437</v>
      </c>
      <c r="AD8575" s="37">
        <v>3.2767169217850443</v>
      </c>
    </row>
    <row r="8576" spans="27:30" x14ac:dyDescent="0.3">
      <c r="AA8576" s="37">
        <v>8556</v>
      </c>
      <c r="AB8576" s="37">
        <v>1.7968654255560812</v>
      </c>
      <c r="AC8576" s="37">
        <v>2.8860237707001186</v>
      </c>
      <c r="AD8576" s="37">
        <v>3.4304462655134684</v>
      </c>
    </row>
    <row r="8577" spans="27:30" x14ac:dyDescent="0.3">
      <c r="AA8577" s="37">
        <v>8557</v>
      </c>
      <c r="AB8577" s="37">
        <v>1.6425353117590733</v>
      </c>
      <c r="AC8577" s="37">
        <v>2.8700047137476532</v>
      </c>
      <c r="AD8577" s="37">
        <v>3.3120384356476453</v>
      </c>
    </row>
    <row r="8578" spans="27:30" x14ac:dyDescent="0.3">
      <c r="AA8578" s="37">
        <v>8558</v>
      </c>
      <c r="AB8578" s="37">
        <v>1.8864662743323894</v>
      </c>
      <c r="AC8578" s="37">
        <v>2.5507688861781159</v>
      </c>
      <c r="AD8578" s="37">
        <v>3.2232122498288063</v>
      </c>
    </row>
    <row r="8579" spans="27:30" x14ac:dyDescent="0.3">
      <c r="AA8579" s="37">
        <v>8559</v>
      </c>
      <c r="AB8579" s="37">
        <v>1.7628815627066345</v>
      </c>
      <c r="AC8579" s="37">
        <v>2.825468141584015</v>
      </c>
      <c r="AD8579" s="37">
        <v>3.3364661297212739</v>
      </c>
    </row>
    <row r="8580" spans="27:30" x14ac:dyDescent="0.3">
      <c r="AA8580" s="37">
        <v>8560</v>
      </c>
      <c r="AB8580" s="37">
        <v>1.8405565648009006</v>
      </c>
      <c r="AC8580" s="37">
        <v>2.9381385614785778</v>
      </c>
      <c r="AD8580" s="37">
        <v>3.3764714164052192</v>
      </c>
    </row>
    <row r="8581" spans="27:30" x14ac:dyDescent="0.3">
      <c r="AA8581" s="37">
        <v>8561</v>
      </c>
      <c r="AB8581" s="37">
        <v>1.7598713288320085</v>
      </c>
      <c r="AC8581" s="37">
        <v>3.0792430276930816</v>
      </c>
      <c r="AD8581" s="37">
        <v>3.2407375888356889</v>
      </c>
    </row>
    <row r="8582" spans="27:30" x14ac:dyDescent="0.3">
      <c r="AA8582" s="37">
        <v>8562</v>
      </c>
      <c r="AB8582" s="37">
        <v>1.7944404417183182</v>
      </c>
      <c r="AC8582" s="37">
        <v>2.9638672576864811</v>
      </c>
      <c r="AD8582" s="37">
        <v>3.1392192255163014</v>
      </c>
    </row>
    <row r="8583" spans="27:30" x14ac:dyDescent="0.3">
      <c r="AA8583" s="37">
        <v>8563</v>
      </c>
      <c r="AB8583" s="37">
        <v>1.7425097213044127</v>
      </c>
      <c r="AC8583" s="37">
        <v>2.887927734208942</v>
      </c>
      <c r="AD8583" s="37">
        <v>3.2883625633445095</v>
      </c>
    </row>
    <row r="8584" spans="27:30" x14ac:dyDescent="0.3">
      <c r="AA8584" s="37">
        <v>8564</v>
      </c>
      <c r="AB8584" s="37">
        <v>1.7059172480199445</v>
      </c>
      <c r="AC8584" s="37">
        <v>2.8672939645160094</v>
      </c>
      <c r="AD8584" s="37">
        <v>3.30616839694969</v>
      </c>
    </row>
    <row r="8585" spans="27:30" x14ac:dyDescent="0.3">
      <c r="AA8585" s="37">
        <v>8565</v>
      </c>
      <c r="AB8585" s="37">
        <v>1.8894164798452091</v>
      </c>
      <c r="AC8585" s="37">
        <v>2.7205729448524933</v>
      </c>
      <c r="AD8585" s="37">
        <v>3.1570027438968267</v>
      </c>
    </row>
    <row r="8586" spans="27:30" x14ac:dyDescent="0.3">
      <c r="AA8586" s="37">
        <v>8566</v>
      </c>
      <c r="AB8586" s="37">
        <v>1.6360295129559281</v>
      </c>
      <c r="AC8586" s="37">
        <v>2.9039242041192459</v>
      </c>
      <c r="AD8586" s="37">
        <v>3.2159837669673781</v>
      </c>
    </row>
    <row r="8587" spans="27:30" x14ac:dyDescent="0.3">
      <c r="AA8587" s="37">
        <v>8567</v>
      </c>
      <c r="AB8587" s="37">
        <v>1.8405605713213999</v>
      </c>
      <c r="AC8587" s="37">
        <v>2.9412154043138234</v>
      </c>
      <c r="AD8587" s="37">
        <v>3.276949833507333</v>
      </c>
    </row>
    <row r="8588" spans="27:30" x14ac:dyDescent="0.3">
      <c r="AA8588" s="37">
        <v>8568</v>
      </c>
      <c r="AB8588" s="37">
        <v>1.797285123745149</v>
      </c>
      <c r="AC8588" s="37">
        <v>2.6927196265328091</v>
      </c>
      <c r="AD8588" s="37">
        <v>3.3341697566299837</v>
      </c>
    </row>
    <row r="8589" spans="27:30" x14ac:dyDescent="0.3">
      <c r="AA8589" s="37">
        <v>8569</v>
      </c>
      <c r="AB8589" s="37">
        <v>1.8409151855393515</v>
      </c>
      <c r="AC8589" s="37">
        <v>2.9866759214023832</v>
      </c>
      <c r="AD8589" s="37">
        <v>3.2461192244056236</v>
      </c>
    </row>
    <row r="8590" spans="27:30" x14ac:dyDescent="0.3">
      <c r="AA8590" s="37">
        <v>8570</v>
      </c>
      <c r="AB8590" s="37">
        <v>1.9112918753812074</v>
      </c>
      <c r="AC8590" s="37">
        <v>2.8585490081652165</v>
      </c>
      <c r="AD8590" s="37">
        <v>3.1980806949836595</v>
      </c>
    </row>
    <row r="8591" spans="27:30" x14ac:dyDescent="0.3">
      <c r="AA8591" s="37">
        <v>8571</v>
      </c>
      <c r="AB8591" s="37">
        <v>1.9608569538151917</v>
      </c>
      <c r="AC8591" s="37">
        <v>2.7092136284845507</v>
      </c>
      <c r="AD8591" s="37">
        <v>3.3996179679989793</v>
      </c>
    </row>
    <row r="8592" spans="27:30" x14ac:dyDescent="0.3">
      <c r="AA8592" s="37">
        <v>8572</v>
      </c>
      <c r="AB8592" s="37">
        <v>1.7140523179958953</v>
      </c>
      <c r="AC8592" s="37">
        <v>2.7027827042815544</v>
      </c>
      <c r="AD8592" s="37">
        <v>3.3874479105383872</v>
      </c>
    </row>
    <row r="8593" spans="27:30" x14ac:dyDescent="0.3">
      <c r="AA8593" s="37">
        <v>8573</v>
      </c>
      <c r="AB8593" s="37">
        <v>1.8527759686233214</v>
      </c>
      <c r="AC8593" s="37">
        <v>2.7337974206075062</v>
      </c>
      <c r="AD8593" s="37">
        <v>3.6122279613230495</v>
      </c>
    </row>
    <row r="8594" spans="27:30" x14ac:dyDescent="0.3">
      <c r="AA8594" s="37">
        <v>8574</v>
      </c>
      <c r="AB8594" s="37">
        <v>1.8822884543909255</v>
      </c>
      <c r="AC8594" s="37">
        <v>2.7954503933750043</v>
      </c>
      <c r="AD8594" s="37">
        <v>3.3355603420861923</v>
      </c>
    </row>
    <row r="8595" spans="27:30" x14ac:dyDescent="0.3">
      <c r="AA8595" s="37">
        <v>8575</v>
      </c>
      <c r="AB8595" s="37">
        <v>1.8508121762505172</v>
      </c>
      <c r="AC8595" s="37">
        <v>2.8720025345911666</v>
      </c>
      <c r="AD8595" s="37">
        <v>3.4941643810082388</v>
      </c>
    </row>
    <row r="8596" spans="27:30" x14ac:dyDescent="0.3">
      <c r="AA8596" s="37">
        <v>8576</v>
      </c>
      <c r="AB8596" s="37">
        <v>1.7539065983788691</v>
      </c>
      <c r="AC8596" s="37">
        <v>2.9706724545750927</v>
      </c>
      <c r="AD8596" s="37">
        <v>3.2780963338709204</v>
      </c>
    </row>
    <row r="8597" spans="27:30" x14ac:dyDescent="0.3">
      <c r="AA8597" s="37">
        <v>8577</v>
      </c>
      <c r="AB8597" s="37">
        <v>1.8644894280644533</v>
      </c>
      <c r="AC8597" s="37">
        <v>2.878411026201138</v>
      </c>
      <c r="AD8597" s="37">
        <v>3.6242086823073589</v>
      </c>
    </row>
    <row r="8598" spans="27:30" x14ac:dyDescent="0.3">
      <c r="AA8598" s="37">
        <v>8578</v>
      </c>
      <c r="AB8598" s="37">
        <v>1.8347786987567345</v>
      </c>
      <c r="AC8598" s="37">
        <v>2.9673394055844424</v>
      </c>
      <c r="AD8598" s="37">
        <v>3.3053251492400095</v>
      </c>
    </row>
    <row r="8599" spans="27:30" x14ac:dyDescent="0.3">
      <c r="AA8599" s="37">
        <v>8579</v>
      </c>
      <c r="AB8599" s="37">
        <v>1.7892978844503566</v>
      </c>
      <c r="AC8599" s="37">
        <v>2.7675984261545512</v>
      </c>
      <c r="AD8599" s="37">
        <v>3.5740035608710801</v>
      </c>
    </row>
    <row r="8600" spans="27:30" x14ac:dyDescent="0.3">
      <c r="AA8600" s="37">
        <v>8580</v>
      </c>
      <c r="AB8600" s="37">
        <v>1.7546637198481074</v>
      </c>
      <c r="AC8600" s="37">
        <v>2.8697190113012767</v>
      </c>
      <c r="AD8600" s="37">
        <v>3.4619079454327459</v>
      </c>
    </row>
    <row r="8601" spans="27:30" x14ac:dyDescent="0.3">
      <c r="AA8601" s="37">
        <v>8581</v>
      </c>
      <c r="AB8601" s="37">
        <v>1.7442829591739499</v>
      </c>
      <c r="AC8601" s="37">
        <v>2.734105542487367</v>
      </c>
      <c r="AD8601" s="37">
        <v>3.2569264109811895</v>
      </c>
    </row>
    <row r="8602" spans="27:30" x14ac:dyDescent="0.3">
      <c r="AA8602" s="37">
        <v>8582</v>
      </c>
      <c r="AB8602" s="37">
        <v>1.7912147250016668</v>
      </c>
      <c r="AC8602" s="37">
        <v>2.9703910498727377</v>
      </c>
      <c r="AD8602" s="37">
        <v>3.315967000600017</v>
      </c>
    </row>
    <row r="8603" spans="27:30" x14ac:dyDescent="0.3">
      <c r="AA8603" s="37">
        <v>8583</v>
      </c>
      <c r="AB8603" s="37">
        <v>1.9362111112167979</v>
      </c>
      <c r="AC8603" s="37">
        <v>3.0338109290313366</v>
      </c>
      <c r="AD8603" s="37">
        <v>3.482506639717359</v>
      </c>
    </row>
    <row r="8604" spans="27:30" x14ac:dyDescent="0.3">
      <c r="AA8604" s="37">
        <v>8584</v>
      </c>
      <c r="AB8604" s="37">
        <v>1.6512754037704234</v>
      </c>
      <c r="AC8604" s="37">
        <v>2.801322953960026</v>
      </c>
      <c r="AD8604" s="37">
        <v>3.4855486374748748</v>
      </c>
    </row>
    <row r="8605" spans="27:30" x14ac:dyDescent="0.3">
      <c r="AA8605" s="37">
        <v>8585</v>
      </c>
      <c r="AB8605" s="37">
        <v>1.8105035933947535</v>
      </c>
      <c r="AC8605" s="37">
        <v>2.7284435222865682</v>
      </c>
      <c r="AD8605" s="37">
        <v>3.1867651863445823</v>
      </c>
    </row>
    <row r="8606" spans="27:30" x14ac:dyDescent="0.3">
      <c r="AA8606" s="37">
        <v>8586</v>
      </c>
      <c r="AB8606" s="37">
        <v>1.7924175332508154</v>
      </c>
      <c r="AC8606" s="37">
        <v>2.7994352094018669</v>
      </c>
      <c r="AD8606" s="37">
        <v>3.1566470901103449</v>
      </c>
    </row>
    <row r="8607" spans="27:30" x14ac:dyDescent="0.3">
      <c r="AA8607" s="37">
        <v>8587</v>
      </c>
      <c r="AB8607" s="37">
        <v>1.784678884051113</v>
      </c>
      <c r="AC8607" s="37">
        <v>2.8219474017111223</v>
      </c>
      <c r="AD8607" s="37">
        <v>3.4215062644838663</v>
      </c>
    </row>
    <row r="8608" spans="27:30" x14ac:dyDescent="0.3">
      <c r="AA8608" s="37">
        <v>8588</v>
      </c>
      <c r="AB8608" s="37">
        <v>1.9002764460859811</v>
      </c>
      <c r="AC8608" s="37">
        <v>2.9506641931559296</v>
      </c>
      <c r="AD8608" s="37">
        <v>3.5467046720233948</v>
      </c>
    </row>
    <row r="8609" spans="27:30" x14ac:dyDescent="0.3">
      <c r="AA8609" s="37">
        <v>8589</v>
      </c>
      <c r="AB8609" s="37">
        <v>1.8545640740479761</v>
      </c>
      <c r="AC8609" s="37">
        <v>2.7202896239180063</v>
      </c>
      <c r="AD8609" s="37">
        <v>3.3781549882579367</v>
      </c>
    </row>
    <row r="8610" spans="27:30" x14ac:dyDescent="0.3">
      <c r="AA8610" s="37">
        <v>8590</v>
      </c>
      <c r="AB8610" s="37">
        <v>1.7601628839659624</v>
      </c>
      <c r="AC8610" s="37">
        <v>2.8215157905067949</v>
      </c>
      <c r="AD8610" s="37">
        <v>3.4090945502538275</v>
      </c>
    </row>
    <row r="8611" spans="27:30" x14ac:dyDescent="0.3">
      <c r="AA8611" s="37">
        <v>8591</v>
      </c>
      <c r="AB8611" s="37">
        <v>1.8156231422806732</v>
      </c>
      <c r="AC8611" s="37">
        <v>2.9309492111136564</v>
      </c>
      <c r="AD8611" s="37">
        <v>3.1639295442104802</v>
      </c>
    </row>
    <row r="8612" spans="27:30" x14ac:dyDescent="0.3">
      <c r="AA8612" s="37">
        <v>8592</v>
      </c>
      <c r="AB8612" s="37">
        <v>1.714268383818744</v>
      </c>
      <c r="AC8612" s="37">
        <v>2.7809287805982459</v>
      </c>
      <c r="AD8612" s="37">
        <v>3.3619002778219444</v>
      </c>
    </row>
    <row r="8613" spans="27:30" x14ac:dyDescent="0.3">
      <c r="AA8613" s="37">
        <v>8593</v>
      </c>
      <c r="AB8613" s="37">
        <v>1.799494898141651</v>
      </c>
      <c r="AC8613" s="37">
        <v>2.9013616195014453</v>
      </c>
      <c r="AD8613" s="37">
        <v>3.4047089029169491</v>
      </c>
    </row>
    <row r="8614" spans="27:30" x14ac:dyDescent="0.3">
      <c r="AA8614" s="37">
        <v>8594</v>
      </c>
      <c r="AB8614" s="37">
        <v>1.7178157153583771</v>
      </c>
      <c r="AC8614" s="37">
        <v>2.8192537778884321</v>
      </c>
      <c r="AD8614" s="37">
        <v>3.632882093100859</v>
      </c>
    </row>
    <row r="8615" spans="27:30" x14ac:dyDescent="0.3">
      <c r="AA8615" s="37">
        <v>8595</v>
      </c>
      <c r="AB8615" s="37">
        <v>1.791932663770839</v>
      </c>
      <c r="AC8615" s="37">
        <v>3.0646834400542113</v>
      </c>
      <c r="AD8615" s="37">
        <v>3.3661916959709779</v>
      </c>
    </row>
    <row r="8616" spans="27:30" x14ac:dyDescent="0.3">
      <c r="AA8616" s="37">
        <v>8596</v>
      </c>
      <c r="AB8616" s="37">
        <v>1.7625314778986538</v>
      </c>
      <c r="AC8616" s="37">
        <v>2.8808314265320072</v>
      </c>
      <c r="AD8616" s="37">
        <v>3.5407179820218304</v>
      </c>
    </row>
    <row r="8617" spans="27:30" x14ac:dyDescent="0.3">
      <c r="AA8617" s="37">
        <v>8597</v>
      </c>
      <c r="AB8617" s="37">
        <v>1.7754389425685659</v>
      </c>
      <c r="AC8617" s="37">
        <v>2.7730018446436202</v>
      </c>
      <c r="AD8617" s="37">
        <v>3.3120064097164605</v>
      </c>
    </row>
    <row r="8618" spans="27:30" x14ac:dyDescent="0.3">
      <c r="AA8618" s="37">
        <v>8598</v>
      </c>
      <c r="AB8618" s="37">
        <v>1.7709110028113868</v>
      </c>
      <c r="AC8618" s="37">
        <v>2.7381748825152603</v>
      </c>
      <c r="AD8618" s="37">
        <v>3.3676668703681085</v>
      </c>
    </row>
    <row r="8619" spans="27:30" x14ac:dyDescent="0.3">
      <c r="AA8619" s="37">
        <v>8599</v>
      </c>
      <c r="AB8619" s="37">
        <v>1.733215477932601</v>
      </c>
      <c r="AC8619" s="37">
        <v>2.8952177276261923</v>
      </c>
      <c r="AD8619" s="37">
        <v>3.1156402530844733</v>
      </c>
    </row>
    <row r="8620" spans="27:30" x14ac:dyDescent="0.3">
      <c r="AA8620" s="37">
        <v>8600</v>
      </c>
      <c r="AB8620" s="37">
        <v>1.6767510101090166</v>
      </c>
      <c r="AC8620" s="37">
        <v>2.7923507124938549</v>
      </c>
      <c r="AD8620" s="37">
        <v>3.2310030022446008</v>
      </c>
    </row>
    <row r="8621" spans="27:30" x14ac:dyDescent="0.3">
      <c r="AA8621" s="37">
        <v>8601</v>
      </c>
      <c r="AB8621" s="37">
        <v>1.6952315335255239</v>
      </c>
      <c r="AC8621" s="37">
        <v>2.9484053162085244</v>
      </c>
      <c r="AD8621" s="37">
        <v>3.4483444093228286</v>
      </c>
    </row>
    <row r="8622" spans="27:30" x14ac:dyDescent="0.3">
      <c r="AA8622" s="37">
        <v>8602</v>
      </c>
      <c r="AB8622" s="37">
        <v>1.8355231144170878</v>
      </c>
      <c r="AC8622" s="37">
        <v>2.8810860385078167</v>
      </c>
      <c r="AD8622" s="37">
        <v>3.4372167550597243</v>
      </c>
    </row>
    <row r="8623" spans="27:30" x14ac:dyDescent="0.3">
      <c r="AA8623" s="37">
        <v>8603</v>
      </c>
      <c r="AB8623" s="37">
        <v>1.8457283677372684</v>
      </c>
      <c r="AC8623" s="37">
        <v>2.9849889153316482</v>
      </c>
      <c r="AD8623" s="37">
        <v>3.3954071117878568</v>
      </c>
    </row>
    <row r="8624" spans="27:30" x14ac:dyDescent="0.3">
      <c r="AA8624" s="37">
        <v>8604</v>
      </c>
      <c r="AB8624" s="37">
        <v>1.8212033310077178</v>
      </c>
      <c r="AC8624" s="37">
        <v>2.8946067369438833</v>
      </c>
      <c r="AD8624" s="37">
        <v>3.2614776583754375</v>
      </c>
    </row>
    <row r="8625" spans="27:30" x14ac:dyDescent="0.3">
      <c r="AA8625" s="37">
        <v>8605</v>
      </c>
      <c r="AB8625" s="37">
        <v>1.7100066269909098</v>
      </c>
      <c r="AC8625" s="37">
        <v>2.8447643311926427</v>
      </c>
      <c r="AD8625" s="37">
        <v>3.3274956384442929</v>
      </c>
    </row>
    <row r="8626" spans="27:30" x14ac:dyDescent="0.3">
      <c r="AA8626" s="37">
        <v>8606</v>
      </c>
      <c r="AB8626" s="37">
        <v>1.7501432015374372</v>
      </c>
      <c r="AC8626" s="37">
        <v>2.8640338882369276</v>
      </c>
      <c r="AD8626" s="37">
        <v>3.3807489202343834</v>
      </c>
    </row>
    <row r="8627" spans="27:30" x14ac:dyDescent="0.3">
      <c r="AA8627" s="37">
        <v>8607</v>
      </c>
      <c r="AB8627" s="37">
        <v>1.7580272758542257</v>
      </c>
      <c r="AC8627" s="37">
        <v>2.9375802799935111</v>
      </c>
      <c r="AD8627" s="37">
        <v>3.6693257926590559</v>
      </c>
    </row>
    <row r="8628" spans="27:30" x14ac:dyDescent="0.3">
      <c r="AA8628" s="37">
        <v>8608</v>
      </c>
      <c r="AB8628" s="37">
        <v>1.7974409694996103</v>
      </c>
      <c r="AC8628" s="37">
        <v>2.8322940307857229</v>
      </c>
      <c r="AD8628" s="37">
        <v>3.3734803948247274</v>
      </c>
    </row>
    <row r="8629" spans="27:30" x14ac:dyDescent="0.3">
      <c r="AA8629" s="37">
        <v>8609</v>
      </c>
      <c r="AB8629" s="37">
        <v>1.8119687303691405</v>
      </c>
      <c r="AC8629" s="37">
        <v>2.9924653146578533</v>
      </c>
      <c r="AD8629" s="37">
        <v>3.1577241778760561</v>
      </c>
    </row>
    <row r="8630" spans="27:30" x14ac:dyDescent="0.3">
      <c r="AA8630" s="37">
        <v>8610</v>
      </c>
      <c r="AB8630" s="37">
        <v>1.8051351968387137</v>
      </c>
      <c r="AC8630" s="37">
        <v>2.7513325748630399</v>
      </c>
      <c r="AD8630" s="37">
        <v>3.475437093261549</v>
      </c>
    </row>
    <row r="8631" spans="27:30" x14ac:dyDescent="0.3">
      <c r="AA8631" s="37">
        <v>8611</v>
      </c>
      <c r="AB8631" s="37">
        <v>1.8525823661862808</v>
      </c>
      <c r="AC8631" s="37">
        <v>2.888811456646097</v>
      </c>
      <c r="AD8631" s="37">
        <v>3.3729563833583547</v>
      </c>
    </row>
    <row r="8632" spans="27:30" x14ac:dyDescent="0.3">
      <c r="AA8632" s="37">
        <v>8612</v>
      </c>
      <c r="AB8632" s="37">
        <v>1.8160940752525125</v>
      </c>
      <c r="AC8632" s="37">
        <v>2.8622113515144103</v>
      </c>
      <c r="AD8632" s="37">
        <v>3.5768660246409811</v>
      </c>
    </row>
    <row r="8633" spans="27:30" x14ac:dyDescent="0.3">
      <c r="AA8633" s="37">
        <v>8613</v>
      </c>
      <c r="AB8633" s="37">
        <v>1.7663710632262193</v>
      </c>
      <c r="AC8633" s="37">
        <v>2.7453321087163012</v>
      </c>
      <c r="AD8633" s="37">
        <v>3.175090476357354</v>
      </c>
    </row>
    <row r="8634" spans="27:30" x14ac:dyDescent="0.3">
      <c r="AA8634" s="37">
        <v>8614</v>
      </c>
      <c r="AB8634" s="37">
        <v>1.8203938893854745</v>
      </c>
      <c r="AC8634" s="37">
        <v>2.7049907330640215</v>
      </c>
      <c r="AD8634" s="37">
        <v>3.2948186279739473</v>
      </c>
    </row>
    <row r="8635" spans="27:30" x14ac:dyDescent="0.3">
      <c r="AA8635" s="37">
        <v>8615</v>
      </c>
      <c r="AB8635" s="37">
        <v>1.7119209378695714</v>
      </c>
      <c r="AC8635" s="37">
        <v>2.8697551318448173</v>
      </c>
      <c r="AD8635" s="37">
        <v>3.4593232049129532</v>
      </c>
    </row>
    <row r="8636" spans="27:30" x14ac:dyDescent="0.3">
      <c r="AA8636" s="37">
        <v>8616</v>
      </c>
      <c r="AB8636" s="37">
        <v>1.7016234478954739</v>
      </c>
      <c r="AC8636" s="37">
        <v>2.7196425622541067</v>
      </c>
      <c r="AD8636" s="37">
        <v>3.4387025159889499</v>
      </c>
    </row>
    <row r="8637" spans="27:30" x14ac:dyDescent="0.3">
      <c r="AA8637" s="37">
        <v>8617</v>
      </c>
      <c r="AB8637" s="37">
        <v>1.8070276139865264</v>
      </c>
      <c r="AC8637" s="37">
        <v>2.8625083527549422</v>
      </c>
      <c r="AD8637" s="37">
        <v>3.5484432937478481</v>
      </c>
    </row>
    <row r="8638" spans="27:30" x14ac:dyDescent="0.3">
      <c r="AA8638" s="37">
        <v>8618</v>
      </c>
      <c r="AB8638" s="37">
        <v>1.6912965271918563</v>
      </c>
      <c r="AC8638" s="37">
        <v>2.8458736120251942</v>
      </c>
      <c r="AD8638" s="37">
        <v>3.4277025820647089</v>
      </c>
    </row>
    <row r="8639" spans="27:30" x14ac:dyDescent="0.3">
      <c r="AA8639" s="37">
        <v>8619</v>
      </c>
      <c r="AB8639" s="37">
        <v>1.8864537669292414</v>
      </c>
      <c r="AC8639" s="37">
        <v>2.8688338865808816</v>
      </c>
      <c r="AD8639" s="37">
        <v>3.3811832153124697</v>
      </c>
    </row>
    <row r="8640" spans="27:30" x14ac:dyDescent="0.3">
      <c r="AA8640" s="37">
        <v>8620</v>
      </c>
      <c r="AB8640" s="37">
        <v>1.7564665382830031</v>
      </c>
      <c r="AC8640" s="37">
        <v>2.561460349459634</v>
      </c>
      <c r="AD8640" s="37">
        <v>3.518872095805361</v>
      </c>
    </row>
    <row r="8641" spans="27:30" x14ac:dyDescent="0.3">
      <c r="AA8641" s="37">
        <v>8621</v>
      </c>
      <c r="AB8641" s="37">
        <v>1.8410741794966001</v>
      </c>
      <c r="AC8641" s="37">
        <v>2.6879798007438991</v>
      </c>
      <c r="AD8641" s="37">
        <v>3.295793027854256</v>
      </c>
    </row>
    <row r="8642" spans="27:30" x14ac:dyDescent="0.3">
      <c r="AA8642" s="37">
        <v>8622</v>
      </c>
      <c r="AB8642" s="37">
        <v>1.8073779261770337</v>
      </c>
      <c r="AC8642" s="37">
        <v>2.9779733452215051</v>
      </c>
      <c r="AD8642" s="37">
        <v>3.4060283546872863</v>
      </c>
    </row>
    <row r="8643" spans="27:30" x14ac:dyDescent="0.3">
      <c r="AA8643" s="37">
        <v>8623</v>
      </c>
      <c r="AB8643" s="37">
        <v>1.8153438717704169</v>
      </c>
      <c r="AC8643" s="37">
        <v>2.8487864335973532</v>
      </c>
      <c r="AD8643" s="37">
        <v>3.2905570748544983</v>
      </c>
    </row>
    <row r="8644" spans="27:30" x14ac:dyDescent="0.3">
      <c r="AA8644" s="37">
        <v>8624</v>
      </c>
      <c r="AB8644" s="37">
        <v>1.7414622225540288</v>
      </c>
      <c r="AC8644" s="37">
        <v>2.8398129804292678</v>
      </c>
      <c r="AD8644" s="37">
        <v>3.4529284122356687</v>
      </c>
    </row>
    <row r="8645" spans="27:30" x14ac:dyDescent="0.3">
      <c r="AA8645" s="37">
        <v>8625</v>
      </c>
      <c r="AB8645" s="37">
        <v>1.8647890737665345</v>
      </c>
      <c r="AC8645" s="37">
        <v>3.0568814827386102</v>
      </c>
      <c r="AD8645" s="37">
        <v>3.3979977999468467</v>
      </c>
    </row>
    <row r="8646" spans="27:30" x14ac:dyDescent="0.3">
      <c r="AA8646" s="37">
        <v>8626</v>
      </c>
      <c r="AB8646" s="37">
        <v>1.7786757403040248</v>
      </c>
      <c r="AC8646" s="37">
        <v>2.7921572671103019</v>
      </c>
      <c r="AD8646" s="37">
        <v>3.1061411369898853</v>
      </c>
    </row>
    <row r="8647" spans="27:30" x14ac:dyDescent="0.3">
      <c r="AA8647" s="37">
        <v>8627</v>
      </c>
      <c r="AB8647" s="37">
        <v>1.81389467664299</v>
      </c>
      <c r="AC8647" s="37">
        <v>2.8032828343718372</v>
      </c>
      <c r="AD8647" s="37">
        <v>3.2031967187740666</v>
      </c>
    </row>
    <row r="8648" spans="27:30" x14ac:dyDescent="0.3">
      <c r="AA8648" s="37">
        <v>8628</v>
      </c>
      <c r="AB8648" s="37">
        <v>1.7722212776709749</v>
      </c>
      <c r="AC8648" s="37">
        <v>2.7974163947533262</v>
      </c>
      <c r="AD8648" s="37">
        <v>3.2408472990827444</v>
      </c>
    </row>
    <row r="8649" spans="27:30" x14ac:dyDescent="0.3">
      <c r="AA8649" s="37">
        <v>8629</v>
      </c>
      <c r="AB8649" s="37">
        <v>1.7903074786580213</v>
      </c>
      <c r="AC8649" s="37">
        <v>2.7678804906178427</v>
      </c>
      <c r="AD8649" s="37">
        <v>3.4503752433809343</v>
      </c>
    </row>
    <row r="8650" spans="27:30" x14ac:dyDescent="0.3">
      <c r="AA8650" s="37">
        <v>8630</v>
      </c>
      <c r="AB8650" s="37">
        <v>1.7169379480782327</v>
      </c>
      <c r="AC8650" s="37">
        <v>2.7107287451273163</v>
      </c>
      <c r="AD8650" s="37">
        <v>3.4845040240623271</v>
      </c>
    </row>
    <row r="8651" spans="27:30" x14ac:dyDescent="0.3">
      <c r="AA8651" s="37">
        <v>8631</v>
      </c>
      <c r="AB8651" s="37">
        <v>1.8346317329531561</v>
      </c>
      <c r="AC8651" s="37">
        <v>3.0127130690205575</v>
      </c>
      <c r="AD8651" s="37">
        <v>3.3412608715564085</v>
      </c>
    </row>
    <row r="8652" spans="27:30" x14ac:dyDescent="0.3">
      <c r="AA8652" s="37">
        <v>8632</v>
      </c>
      <c r="AB8652" s="37">
        <v>1.8291890140958016</v>
      </c>
      <c r="AC8652" s="37">
        <v>2.8616561677059731</v>
      </c>
      <c r="AD8652" s="37">
        <v>3.3626119977188669</v>
      </c>
    </row>
    <row r="8653" spans="27:30" x14ac:dyDescent="0.3">
      <c r="AA8653" s="37">
        <v>8633</v>
      </c>
      <c r="AB8653" s="37">
        <v>1.7591089871498156</v>
      </c>
      <c r="AC8653" s="37">
        <v>2.784193125711083</v>
      </c>
      <c r="AD8653" s="37">
        <v>3.3155568841831933</v>
      </c>
    </row>
    <row r="8654" spans="27:30" x14ac:dyDescent="0.3">
      <c r="AA8654" s="37">
        <v>8634</v>
      </c>
      <c r="AB8654" s="37">
        <v>1.7651014681659551</v>
      </c>
      <c r="AC8654" s="37">
        <v>2.8278521657335518</v>
      </c>
      <c r="AD8654" s="37">
        <v>3.4057477405022354</v>
      </c>
    </row>
    <row r="8655" spans="27:30" x14ac:dyDescent="0.3">
      <c r="AA8655" s="37">
        <v>8635</v>
      </c>
      <c r="AB8655" s="37">
        <v>1.8027943756509739</v>
      </c>
      <c r="AC8655" s="37">
        <v>2.7432132322870784</v>
      </c>
      <c r="AD8655" s="37">
        <v>3.4699794047988681</v>
      </c>
    </row>
    <row r="8656" spans="27:30" x14ac:dyDescent="0.3">
      <c r="AA8656" s="37">
        <v>8636</v>
      </c>
      <c r="AB8656" s="37">
        <v>1.7757197287452533</v>
      </c>
      <c r="AC8656" s="37">
        <v>2.7160515647660244</v>
      </c>
      <c r="AD8656" s="37">
        <v>3.3244750791729532</v>
      </c>
    </row>
    <row r="8657" spans="27:30" x14ac:dyDescent="0.3">
      <c r="AA8657" s="37">
        <v>8637</v>
      </c>
      <c r="AB8657" s="37">
        <v>1.8201812653305047</v>
      </c>
      <c r="AC8657" s="37">
        <v>2.9581257049142082</v>
      </c>
      <c r="AD8657" s="37">
        <v>3.2782102333675587</v>
      </c>
    </row>
    <row r="8658" spans="27:30" x14ac:dyDescent="0.3">
      <c r="AA8658" s="37">
        <v>8638</v>
      </c>
      <c r="AB8658" s="37">
        <v>1.6712145206659677</v>
      </c>
      <c r="AC8658" s="37">
        <v>2.6921049669522898</v>
      </c>
      <c r="AD8658" s="37">
        <v>3.169609525786488</v>
      </c>
    </row>
    <row r="8659" spans="27:30" x14ac:dyDescent="0.3">
      <c r="AA8659" s="37">
        <v>8639</v>
      </c>
      <c r="AB8659" s="37">
        <v>1.7656286837605202</v>
      </c>
      <c r="AC8659" s="37">
        <v>2.9032137089505765</v>
      </c>
      <c r="AD8659" s="37">
        <v>3.3522032144682021</v>
      </c>
    </row>
    <row r="8660" spans="27:30" x14ac:dyDescent="0.3">
      <c r="AA8660" s="37">
        <v>8640</v>
      </c>
      <c r="AB8660" s="37">
        <v>1.7725396043650063</v>
      </c>
      <c r="AC8660" s="37">
        <v>2.6965846943041072</v>
      </c>
      <c r="AD8660" s="37">
        <v>3.3373817141050046</v>
      </c>
    </row>
    <row r="8661" spans="27:30" x14ac:dyDescent="0.3">
      <c r="AA8661" s="37">
        <v>8641</v>
      </c>
      <c r="AB8661" s="37">
        <v>1.8542661591060068</v>
      </c>
      <c r="AC8661" s="37">
        <v>2.7694473741011905</v>
      </c>
      <c r="AD8661" s="37">
        <v>3.2626736113016288</v>
      </c>
    </row>
    <row r="8662" spans="27:30" x14ac:dyDescent="0.3">
      <c r="AA8662" s="37">
        <v>8642</v>
      </c>
      <c r="AB8662" s="37">
        <v>1.7686919816546247</v>
      </c>
      <c r="AC8662" s="37">
        <v>2.8152756857184462</v>
      </c>
      <c r="AD8662" s="37">
        <v>3.3999670575057732</v>
      </c>
    </row>
    <row r="8663" spans="27:30" x14ac:dyDescent="0.3">
      <c r="AA8663" s="37">
        <v>8643</v>
      </c>
      <c r="AB8663" s="37">
        <v>1.7053162965411681</v>
      </c>
      <c r="AC8663" s="37">
        <v>3.0276796923848242</v>
      </c>
      <c r="AD8663" s="37">
        <v>3.1835689183431279</v>
      </c>
    </row>
    <row r="8664" spans="27:30" x14ac:dyDescent="0.3">
      <c r="AA8664" s="37">
        <v>8644</v>
      </c>
      <c r="AB8664" s="37">
        <v>1.7171669676810402</v>
      </c>
      <c r="AC8664" s="37">
        <v>2.9122010221421037</v>
      </c>
      <c r="AD8664" s="37">
        <v>3.2528641760286479</v>
      </c>
    </row>
    <row r="8665" spans="27:30" x14ac:dyDescent="0.3">
      <c r="AA8665" s="37">
        <v>8645</v>
      </c>
      <c r="AB8665" s="37">
        <v>1.8056819704833174</v>
      </c>
      <c r="AC8665" s="37">
        <v>2.8478760243401111</v>
      </c>
      <c r="AD8665" s="37">
        <v>3.2629276066472772</v>
      </c>
    </row>
    <row r="8666" spans="27:30" x14ac:dyDescent="0.3">
      <c r="AA8666" s="37">
        <v>8646</v>
      </c>
      <c r="AB8666" s="37">
        <v>1.7834004505295125</v>
      </c>
      <c r="AC8666" s="37">
        <v>2.8815900739079532</v>
      </c>
      <c r="AD8666" s="37">
        <v>3.2866328092837049</v>
      </c>
    </row>
    <row r="8667" spans="27:30" x14ac:dyDescent="0.3">
      <c r="AA8667" s="37">
        <v>8647</v>
      </c>
      <c r="AB8667" s="37">
        <v>1.8380333107192632</v>
      </c>
      <c r="AC8667" s="37">
        <v>2.9452406445245201</v>
      </c>
      <c r="AD8667" s="37">
        <v>3.3432414301696358</v>
      </c>
    </row>
    <row r="8668" spans="27:30" x14ac:dyDescent="0.3">
      <c r="AA8668" s="37">
        <v>8648</v>
      </c>
      <c r="AB8668" s="37">
        <v>1.7929181008425259</v>
      </c>
      <c r="AC8668" s="37">
        <v>2.6874685332095702</v>
      </c>
      <c r="AD8668" s="37">
        <v>3.4070141687552615</v>
      </c>
    </row>
    <row r="8669" spans="27:30" x14ac:dyDescent="0.3">
      <c r="AA8669" s="37">
        <v>8649</v>
      </c>
      <c r="AB8669" s="37">
        <v>1.738322896858179</v>
      </c>
      <c r="AC8669" s="37">
        <v>2.8482721385839063</v>
      </c>
      <c r="AD8669" s="37">
        <v>3.4236044682677877</v>
      </c>
    </row>
    <row r="8670" spans="27:30" x14ac:dyDescent="0.3">
      <c r="AA8670" s="37">
        <v>8650</v>
      </c>
      <c r="AB8670" s="37">
        <v>1.7125581805969059</v>
      </c>
      <c r="AC8670" s="37">
        <v>2.9707156995361608</v>
      </c>
      <c r="AD8670" s="37">
        <v>3.2016385674434518</v>
      </c>
    </row>
    <row r="8671" spans="27:30" x14ac:dyDescent="0.3">
      <c r="AA8671" s="37">
        <v>8651</v>
      </c>
      <c r="AB8671" s="37">
        <v>1.8914586344325088</v>
      </c>
      <c r="AC8671" s="37">
        <v>2.7758838584877434</v>
      </c>
      <c r="AD8671" s="37">
        <v>3.2382734574892797</v>
      </c>
    </row>
    <row r="8672" spans="27:30" x14ac:dyDescent="0.3">
      <c r="AA8672" s="37">
        <v>8652</v>
      </c>
      <c r="AB8672" s="37">
        <v>1.7607916925637619</v>
      </c>
      <c r="AC8672" s="37">
        <v>2.8071796840371999</v>
      </c>
      <c r="AD8672" s="37">
        <v>3.4583924196971161</v>
      </c>
    </row>
    <row r="8673" spans="27:30" x14ac:dyDescent="0.3">
      <c r="AA8673" s="37">
        <v>8653</v>
      </c>
      <c r="AB8673" s="37">
        <v>1.7025370896408805</v>
      </c>
      <c r="AC8673" s="37">
        <v>2.669529715332728</v>
      </c>
      <c r="AD8673" s="37">
        <v>3.3155581755654131</v>
      </c>
    </row>
    <row r="8674" spans="27:30" x14ac:dyDescent="0.3">
      <c r="AA8674" s="37">
        <v>8654</v>
      </c>
      <c r="AB8674" s="37">
        <v>1.7594189131163354</v>
      </c>
      <c r="AC8674" s="37">
        <v>2.709213137488788</v>
      </c>
      <c r="AD8674" s="37">
        <v>3.4482295004009034</v>
      </c>
    </row>
    <row r="8675" spans="27:30" x14ac:dyDescent="0.3">
      <c r="AA8675" s="37">
        <v>8655</v>
      </c>
      <c r="AB8675" s="37">
        <v>1.8307979354060371</v>
      </c>
      <c r="AC8675" s="37">
        <v>3.1467010585192141</v>
      </c>
      <c r="AD8675" s="37">
        <v>3.484266583941046</v>
      </c>
    </row>
    <row r="8676" spans="27:30" x14ac:dyDescent="0.3">
      <c r="AA8676" s="37">
        <v>8656</v>
      </c>
      <c r="AB8676" s="37">
        <v>1.8373201806772075</v>
      </c>
      <c r="AC8676" s="37">
        <v>2.9642639944547935</v>
      </c>
      <c r="AD8676" s="37">
        <v>3.442126046038358</v>
      </c>
    </row>
    <row r="8677" spans="27:30" x14ac:dyDescent="0.3">
      <c r="AA8677" s="37">
        <v>8657</v>
      </c>
      <c r="AB8677" s="37">
        <v>1.6784069637907268</v>
      </c>
      <c r="AC8677" s="37">
        <v>2.8800126197712861</v>
      </c>
      <c r="AD8677" s="37">
        <v>3.4365837376690331</v>
      </c>
    </row>
    <row r="8678" spans="27:30" x14ac:dyDescent="0.3">
      <c r="AA8678" s="37">
        <v>8658</v>
      </c>
      <c r="AB8678" s="37">
        <v>1.8514145140871512</v>
      </c>
      <c r="AC8678" s="37">
        <v>2.8921774900356678</v>
      </c>
      <c r="AD8678" s="37">
        <v>3.5368139020342322</v>
      </c>
    </row>
    <row r="8679" spans="27:30" x14ac:dyDescent="0.3">
      <c r="AA8679" s="37">
        <v>8659</v>
      </c>
      <c r="AB8679" s="37">
        <v>1.6345619360648476</v>
      </c>
      <c r="AC8679" s="37">
        <v>2.7905439815315543</v>
      </c>
      <c r="AD8679" s="37">
        <v>3.5055330068904071</v>
      </c>
    </row>
    <row r="8680" spans="27:30" x14ac:dyDescent="0.3">
      <c r="AA8680" s="37">
        <v>8660</v>
      </c>
      <c r="AB8680" s="37">
        <v>1.7792715038525737</v>
      </c>
      <c r="AC8680" s="37">
        <v>2.8480710505838385</v>
      </c>
      <c r="AD8680" s="37">
        <v>3.3475428748270715</v>
      </c>
    </row>
    <row r="8681" spans="27:30" x14ac:dyDescent="0.3">
      <c r="AA8681" s="37">
        <v>8661</v>
      </c>
      <c r="AB8681" s="37">
        <v>1.821113373318195</v>
      </c>
      <c r="AC8681" s="37">
        <v>2.9136318872707121</v>
      </c>
      <c r="AD8681" s="37">
        <v>3.3237768765083513</v>
      </c>
    </row>
    <row r="8682" spans="27:30" x14ac:dyDescent="0.3">
      <c r="AA8682" s="37">
        <v>8662</v>
      </c>
      <c r="AB8682" s="37">
        <v>1.8047113274099433</v>
      </c>
      <c r="AC8682" s="37">
        <v>2.9638124138687814</v>
      </c>
      <c r="AD8682" s="37">
        <v>3.6093447364583664</v>
      </c>
    </row>
    <row r="8683" spans="27:30" x14ac:dyDescent="0.3">
      <c r="AA8683" s="37">
        <v>8663</v>
      </c>
      <c r="AB8683" s="37">
        <v>1.8806513510837475</v>
      </c>
      <c r="AC8683" s="37">
        <v>2.7747690315837676</v>
      </c>
      <c r="AD8683" s="37">
        <v>3.2438568341411158</v>
      </c>
    </row>
    <row r="8684" spans="27:30" x14ac:dyDescent="0.3">
      <c r="AA8684" s="37">
        <v>8664</v>
      </c>
      <c r="AB8684" s="37">
        <v>1.7502711785900185</v>
      </c>
      <c r="AC8684" s="37">
        <v>3.0174936832869399</v>
      </c>
      <c r="AD8684" s="37">
        <v>3.3852578431292337</v>
      </c>
    </row>
    <row r="8685" spans="27:30" x14ac:dyDescent="0.3">
      <c r="AA8685" s="37">
        <v>8665</v>
      </c>
      <c r="AB8685" s="37">
        <v>1.7420498200156529</v>
      </c>
      <c r="AC8685" s="37">
        <v>2.8569419336321742</v>
      </c>
      <c r="AD8685" s="37">
        <v>3.5764761409081438</v>
      </c>
    </row>
    <row r="8686" spans="27:30" x14ac:dyDescent="0.3">
      <c r="AA8686" s="37">
        <v>8666</v>
      </c>
      <c r="AB8686" s="37">
        <v>1.757408695691101</v>
      </c>
      <c r="AC8686" s="37">
        <v>2.7660057401563183</v>
      </c>
      <c r="AD8686" s="37">
        <v>3.4288431810657087</v>
      </c>
    </row>
    <row r="8687" spans="27:30" x14ac:dyDescent="0.3">
      <c r="AA8687" s="37">
        <v>8667</v>
      </c>
      <c r="AB8687" s="37">
        <v>1.7321708089329972</v>
      </c>
      <c r="AC8687" s="37">
        <v>2.8491054685919837</v>
      </c>
      <c r="AD8687" s="37">
        <v>3.5113265674491201</v>
      </c>
    </row>
    <row r="8688" spans="27:30" x14ac:dyDescent="0.3">
      <c r="AA8688" s="37">
        <v>8668</v>
      </c>
      <c r="AB8688" s="37">
        <v>1.8013626439023454</v>
      </c>
      <c r="AC8688" s="37">
        <v>2.9794931156040398</v>
      </c>
      <c r="AD8688" s="37">
        <v>3.1758082349191143</v>
      </c>
    </row>
    <row r="8689" spans="27:30" x14ac:dyDescent="0.3">
      <c r="AA8689" s="37">
        <v>8669</v>
      </c>
      <c r="AB8689" s="37">
        <v>1.7076075178949131</v>
      </c>
      <c r="AC8689" s="37">
        <v>2.7712049449224661</v>
      </c>
      <c r="AD8689" s="37">
        <v>3.2400410484247009</v>
      </c>
    </row>
    <row r="8690" spans="27:30" x14ac:dyDescent="0.3">
      <c r="AA8690" s="37">
        <v>8670</v>
      </c>
      <c r="AB8690" s="37">
        <v>1.8731480238949803</v>
      </c>
      <c r="AC8690" s="37">
        <v>2.8240147190420468</v>
      </c>
      <c r="AD8690" s="37">
        <v>3.482733036070961</v>
      </c>
    </row>
    <row r="8691" spans="27:30" x14ac:dyDescent="0.3">
      <c r="AA8691" s="37">
        <v>8671</v>
      </c>
      <c r="AB8691" s="37">
        <v>1.7777230863553966</v>
      </c>
      <c r="AC8691" s="37">
        <v>2.6426766794249934</v>
      </c>
      <c r="AD8691" s="37">
        <v>3.2557644493695674</v>
      </c>
    </row>
    <row r="8692" spans="27:30" x14ac:dyDescent="0.3">
      <c r="AA8692" s="37">
        <v>8672</v>
      </c>
      <c r="AB8692" s="37">
        <v>1.8301057572815165</v>
      </c>
      <c r="AC8692" s="37">
        <v>2.7021947208699455</v>
      </c>
      <c r="AD8692" s="37">
        <v>3.4200107923181533</v>
      </c>
    </row>
    <row r="8693" spans="27:30" x14ac:dyDescent="0.3">
      <c r="AA8693" s="37">
        <v>8673</v>
      </c>
      <c r="AB8693" s="37">
        <v>1.7599860801060001</v>
      </c>
      <c r="AC8693" s="37">
        <v>2.7411931020750142</v>
      </c>
      <c r="AD8693" s="37">
        <v>3.2977177659798702</v>
      </c>
    </row>
    <row r="8694" spans="27:30" x14ac:dyDescent="0.3">
      <c r="AA8694" s="37">
        <v>8674</v>
      </c>
      <c r="AB8694" s="37">
        <v>1.8026796115805535</v>
      </c>
      <c r="AC8694" s="37">
        <v>2.7240969762827816</v>
      </c>
      <c r="AD8694" s="37">
        <v>3.4117592263906582</v>
      </c>
    </row>
    <row r="8695" spans="27:30" x14ac:dyDescent="0.3">
      <c r="AA8695" s="37">
        <v>8675</v>
      </c>
      <c r="AB8695" s="37">
        <v>1.7970649391536682</v>
      </c>
      <c r="AC8695" s="37">
        <v>2.7782569641292052</v>
      </c>
      <c r="AD8695" s="37">
        <v>3.2808768389780565</v>
      </c>
    </row>
    <row r="8696" spans="27:30" x14ac:dyDescent="0.3">
      <c r="AA8696" s="37">
        <v>8676</v>
      </c>
      <c r="AB8696" s="37">
        <v>1.7103631413467453</v>
      </c>
      <c r="AC8696" s="37">
        <v>2.660767901266857</v>
      </c>
      <c r="AD8696" s="37">
        <v>3.4780584103842971</v>
      </c>
    </row>
    <row r="8697" spans="27:30" x14ac:dyDescent="0.3">
      <c r="AA8697" s="37">
        <v>8677</v>
      </c>
      <c r="AB8697" s="37">
        <v>1.8122519616476094</v>
      </c>
      <c r="AC8697" s="37">
        <v>2.804830352863787</v>
      </c>
      <c r="AD8697" s="37">
        <v>3.329208502129489</v>
      </c>
    </row>
    <row r="8698" spans="27:30" x14ac:dyDescent="0.3">
      <c r="AA8698" s="37">
        <v>8678</v>
      </c>
      <c r="AB8698" s="37">
        <v>1.9041047090454872</v>
      </c>
      <c r="AC8698" s="37">
        <v>2.7964795037427459</v>
      </c>
      <c r="AD8698" s="37">
        <v>3.3944113135244782</v>
      </c>
    </row>
    <row r="8699" spans="27:30" x14ac:dyDescent="0.3">
      <c r="AA8699" s="37">
        <v>8679</v>
      </c>
      <c r="AB8699" s="37">
        <v>1.7694577369017415</v>
      </c>
      <c r="AC8699" s="37">
        <v>2.5636324422495207</v>
      </c>
      <c r="AD8699" s="37">
        <v>3.2164671415692765</v>
      </c>
    </row>
    <row r="8700" spans="27:30" x14ac:dyDescent="0.3">
      <c r="AA8700" s="37">
        <v>8680</v>
      </c>
      <c r="AB8700" s="37">
        <v>1.8834471253250868</v>
      </c>
      <c r="AC8700" s="37">
        <v>2.738067849496074</v>
      </c>
      <c r="AD8700" s="37">
        <v>3.4220383478169238</v>
      </c>
    </row>
    <row r="8701" spans="27:30" x14ac:dyDescent="0.3">
      <c r="AA8701" s="37">
        <v>8681</v>
      </c>
      <c r="AB8701" s="37">
        <v>1.8680375083032046</v>
      </c>
      <c r="AC8701" s="37">
        <v>2.8211488356059173</v>
      </c>
      <c r="AD8701" s="37">
        <v>3.4333506466530102</v>
      </c>
    </row>
    <row r="8702" spans="27:30" x14ac:dyDescent="0.3">
      <c r="AA8702" s="37">
        <v>8682</v>
      </c>
      <c r="AB8702" s="37">
        <v>1.8823302861964961</v>
      </c>
      <c r="AC8702" s="37">
        <v>3.0435000301364639</v>
      </c>
      <c r="AD8702" s="37">
        <v>3.4062284441535327</v>
      </c>
    </row>
    <row r="8703" spans="27:30" x14ac:dyDescent="0.3">
      <c r="AA8703" s="37">
        <v>8683</v>
      </c>
      <c r="AB8703" s="37">
        <v>1.6819891936004085</v>
      </c>
      <c r="AC8703" s="37">
        <v>2.5665956185464989</v>
      </c>
      <c r="AD8703" s="37">
        <v>3.3626366982165057</v>
      </c>
    </row>
    <row r="8704" spans="27:30" x14ac:dyDescent="0.3">
      <c r="AA8704" s="37">
        <v>8684</v>
      </c>
      <c r="AB8704" s="37">
        <v>1.8085595986895828</v>
      </c>
      <c r="AC8704" s="37">
        <v>2.7396724458202528</v>
      </c>
      <c r="AD8704" s="37">
        <v>3.2430412277543121</v>
      </c>
    </row>
    <row r="8705" spans="27:30" x14ac:dyDescent="0.3">
      <c r="AA8705" s="37">
        <v>8685</v>
      </c>
      <c r="AB8705" s="37">
        <v>1.7783266444946897</v>
      </c>
      <c r="AC8705" s="37">
        <v>2.6726130715576728</v>
      </c>
      <c r="AD8705" s="37">
        <v>3.0703174391678023</v>
      </c>
    </row>
    <row r="8706" spans="27:30" x14ac:dyDescent="0.3">
      <c r="AA8706" s="37">
        <v>8686</v>
      </c>
      <c r="AB8706" s="37">
        <v>1.8249768046341623</v>
      </c>
      <c r="AC8706" s="37">
        <v>2.6344314282633743</v>
      </c>
      <c r="AD8706" s="37">
        <v>3.2446331422133889</v>
      </c>
    </row>
    <row r="8707" spans="27:30" x14ac:dyDescent="0.3">
      <c r="AA8707" s="37">
        <v>8687</v>
      </c>
      <c r="AB8707" s="37">
        <v>1.7557739560751386</v>
      </c>
      <c r="AC8707" s="37">
        <v>2.9613212288000308</v>
      </c>
      <c r="AD8707" s="37">
        <v>3.3650760636568715</v>
      </c>
    </row>
    <row r="8708" spans="27:30" x14ac:dyDescent="0.3">
      <c r="AA8708" s="37">
        <v>8688</v>
      </c>
      <c r="AB8708" s="37">
        <v>1.8263207347702268</v>
      </c>
      <c r="AC8708" s="37">
        <v>2.7217070895610074</v>
      </c>
      <c r="AD8708" s="37">
        <v>3.5780320473311105</v>
      </c>
    </row>
    <row r="8709" spans="27:30" x14ac:dyDescent="0.3">
      <c r="AA8709" s="37">
        <v>8689</v>
      </c>
      <c r="AB8709" s="37">
        <v>1.7044629026065541</v>
      </c>
      <c r="AC8709" s="37">
        <v>2.7951517351896022</v>
      </c>
      <c r="AD8709" s="37">
        <v>3.5119872870204647</v>
      </c>
    </row>
    <row r="8710" spans="27:30" x14ac:dyDescent="0.3">
      <c r="AA8710" s="37">
        <v>8690</v>
      </c>
      <c r="AB8710" s="37">
        <v>1.8122124739273315</v>
      </c>
      <c r="AC8710" s="37">
        <v>2.8121121815331169</v>
      </c>
      <c r="AD8710" s="37">
        <v>3.3434760328991393</v>
      </c>
    </row>
    <row r="8711" spans="27:30" x14ac:dyDescent="0.3">
      <c r="AA8711" s="37">
        <v>8691</v>
      </c>
      <c r="AB8711" s="37">
        <v>1.7919645671311071</v>
      </c>
      <c r="AC8711" s="37">
        <v>2.7620582397413083</v>
      </c>
      <c r="AD8711" s="37">
        <v>3.3590290142643799</v>
      </c>
    </row>
    <row r="8712" spans="27:30" x14ac:dyDescent="0.3">
      <c r="AA8712" s="37">
        <v>8692</v>
      </c>
      <c r="AB8712" s="37">
        <v>1.8866346017253097</v>
      </c>
      <c r="AC8712" s="37">
        <v>2.8985154935928956</v>
      </c>
      <c r="AD8712" s="37">
        <v>3.2729635112907456</v>
      </c>
    </row>
    <row r="8713" spans="27:30" x14ac:dyDescent="0.3">
      <c r="AA8713" s="37">
        <v>8693</v>
      </c>
      <c r="AB8713" s="37">
        <v>1.7713869100044368</v>
      </c>
      <c r="AC8713" s="37">
        <v>2.8809515939012997</v>
      </c>
      <c r="AD8713" s="37">
        <v>3.2437782635041068</v>
      </c>
    </row>
    <row r="8714" spans="27:30" x14ac:dyDescent="0.3">
      <c r="AA8714" s="37">
        <v>8694</v>
      </c>
      <c r="AB8714" s="37">
        <v>1.8018691633839334</v>
      </c>
      <c r="AC8714" s="37">
        <v>2.9097923978442388</v>
      </c>
      <c r="AD8714" s="37">
        <v>3.4460094812880544</v>
      </c>
    </row>
    <row r="8715" spans="27:30" x14ac:dyDescent="0.3">
      <c r="AA8715" s="37">
        <v>8695</v>
      </c>
      <c r="AB8715" s="37">
        <v>1.7335182031717138</v>
      </c>
      <c r="AC8715" s="37">
        <v>2.9453140505241433</v>
      </c>
      <c r="AD8715" s="37">
        <v>3.4339655039680688</v>
      </c>
    </row>
    <row r="8716" spans="27:30" x14ac:dyDescent="0.3">
      <c r="AA8716" s="37">
        <v>8696</v>
      </c>
      <c r="AB8716" s="37">
        <v>1.8096800442659435</v>
      </c>
      <c r="AC8716" s="37">
        <v>2.829464742533919</v>
      </c>
      <c r="AD8716" s="37">
        <v>3.3990500489834305</v>
      </c>
    </row>
    <row r="8717" spans="27:30" x14ac:dyDescent="0.3">
      <c r="AA8717" s="37">
        <v>8697</v>
      </c>
      <c r="AB8717" s="37">
        <v>1.8707388078668032</v>
      </c>
      <c r="AC8717" s="37">
        <v>3.0009256004131002</v>
      </c>
      <c r="AD8717" s="37">
        <v>3.3873675095264191</v>
      </c>
    </row>
    <row r="8718" spans="27:30" x14ac:dyDescent="0.3">
      <c r="AA8718" s="37">
        <v>8698</v>
      </c>
      <c r="AB8718" s="37">
        <v>1.783543465987143</v>
      </c>
      <c r="AC8718" s="37">
        <v>2.5519645783561611</v>
      </c>
      <c r="AD8718" s="37">
        <v>3.7300214075119924</v>
      </c>
    </row>
    <row r="8719" spans="27:30" x14ac:dyDescent="0.3">
      <c r="AA8719" s="37">
        <v>8699</v>
      </c>
      <c r="AB8719" s="37">
        <v>1.9503474908545684</v>
      </c>
      <c r="AC8719" s="37">
        <v>2.7095635513370109</v>
      </c>
      <c r="AD8719" s="37">
        <v>3.4463918054375879</v>
      </c>
    </row>
    <row r="8720" spans="27:30" x14ac:dyDescent="0.3">
      <c r="AA8720" s="37">
        <v>8700</v>
      </c>
      <c r="AB8720" s="37">
        <v>1.9880446448067139</v>
      </c>
      <c r="AC8720" s="37">
        <v>2.866951971310169</v>
      </c>
      <c r="AD8720" s="37">
        <v>3.1437205499095842</v>
      </c>
    </row>
    <row r="8721" spans="27:30" x14ac:dyDescent="0.3">
      <c r="AA8721" s="37">
        <v>8701</v>
      </c>
      <c r="AB8721" s="37">
        <v>1.8128885645229071</v>
      </c>
      <c r="AC8721" s="37">
        <v>2.8620910356760469</v>
      </c>
      <c r="AD8721" s="37">
        <v>3.1593913661720077</v>
      </c>
    </row>
    <row r="8722" spans="27:30" x14ac:dyDescent="0.3">
      <c r="AA8722" s="37">
        <v>8702</v>
      </c>
      <c r="AB8722" s="37">
        <v>1.7802726732577157</v>
      </c>
      <c r="AC8722" s="37">
        <v>2.8767142692510261</v>
      </c>
      <c r="AD8722" s="37">
        <v>3.4530169360658935</v>
      </c>
    </row>
    <row r="8723" spans="27:30" x14ac:dyDescent="0.3">
      <c r="AA8723" s="37">
        <v>8703</v>
      </c>
      <c r="AB8723" s="37">
        <v>1.74711444323203</v>
      </c>
      <c r="AC8723" s="37">
        <v>2.8792476135269891</v>
      </c>
      <c r="AD8723" s="37">
        <v>3.1227950094356891</v>
      </c>
    </row>
    <row r="8724" spans="27:30" x14ac:dyDescent="0.3">
      <c r="AA8724" s="37">
        <v>8704</v>
      </c>
      <c r="AB8724" s="37">
        <v>1.7985538396527556</v>
      </c>
      <c r="AC8724" s="37">
        <v>2.9712078043940444</v>
      </c>
      <c r="AD8724" s="37">
        <v>3.2020325255664464</v>
      </c>
    </row>
    <row r="8725" spans="27:30" x14ac:dyDescent="0.3">
      <c r="AA8725" s="37">
        <v>8705</v>
      </c>
      <c r="AB8725" s="37">
        <v>1.9112703074736312</v>
      </c>
      <c r="AC8725" s="37">
        <v>2.743099186622882</v>
      </c>
      <c r="AD8725" s="37">
        <v>3.4997427200778111</v>
      </c>
    </row>
    <row r="8726" spans="27:30" x14ac:dyDescent="0.3">
      <c r="AA8726" s="37">
        <v>8706</v>
      </c>
      <c r="AB8726" s="37">
        <v>1.8576938082204739</v>
      </c>
      <c r="AC8726" s="37">
        <v>2.8598583328244627</v>
      </c>
      <c r="AD8726" s="37">
        <v>3.3348568168507287</v>
      </c>
    </row>
    <row r="8727" spans="27:30" x14ac:dyDescent="0.3">
      <c r="AA8727" s="37">
        <v>8707</v>
      </c>
      <c r="AB8727" s="37">
        <v>1.846374371191208</v>
      </c>
      <c r="AC8727" s="37">
        <v>2.9572690158754771</v>
      </c>
      <c r="AD8727" s="37">
        <v>3.2932054642133219</v>
      </c>
    </row>
    <row r="8728" spans="27:30" x14ac:dyDescent="0.3">
      <c r="AA8728" s="37">
        <v>8708</v>
      </c>
      <c r="AB8728" s="37">
        <v>1.9007432691721013</v>
      </c>
      <c r="AC8728" s="37">
        <v>2.908337863191881</v>
      </c>
      <c r="AD8728" s="37">
        <v>3.4209900250707781</v>
      </c>
    </row>
    <row r="8729" spans="27:30" x14ac:dyDescent="0.3">
      <c r="AA8729" s="37">
        <v>8709</v>
      </c>
      <c r="AB8729" s="37">
        <v>1.7532493001910776</v>
      </c>
      <c r="AC8729" s="37">
        <v>2.7769056448989282</v>
      </c>
      <c r="AD8729" s="37">
        <v>3.3174439156170386</v>
      </c>
    </row>
    <row r="8730" spans="27:30" x14ac:dyDescent="0.3">
      <c r="AA8730" s="37">
        <v>8710</v>
      </c>
      <c r="AB8730" s="37">
        <v>1.7879894007744177</v>
      </c>
      <c r="AC8730" s="37">
        <v>2.7912908606573823</v>
      </c>
      <c r="AD8730" s="37">
        <v>3.2664244173613364</v>
      </c>
    </row>
    <row r="8731" spans="27:30" x14ac:dyDescent="0.3">
      <c r="AA8731" s="37">
        <v>8711</v>
      </c>
      <c r="AB8731" s="37">
        <v>1.8077815660797658</v>
      </c>
      <c r="AC8731" s="37">
        <v>2.8235069139913347</v>
      </c>
      <c r="AD8731" s="37">
        <v>3.293849059485022</v>
      </c>
    </row>
    <row r="8732" spans="27:30" x14ac:dyDescent="0.3">
      <c r="AA8732" s="37">
        <v>8712</v>
      </c>
      <c r="AB8732" s="37">
        <v>1.800356856872529</v>
      </c>
      <c r="AC8732" s="37">
        <v>2.7954342590517696</v>
      </c>
      <c r="AD8732" s="37">
        <v>3.365307219123574</v>
      </c>
    </row>
    <row r="8733" spans="27:30" x14ac:dyDescent="0.3">
      <c r="AA8733" s="37">
        <v>8713</v>
      </c>
      <c r="AB8733" s="37">
        <v>1.710890444288909</v>
      </c>
      <c r="AC8733" s="37">
        <v>2.8794513812254476</v>
      </c>
      <c r="AD8733" s="37">
        <v>3.439710148520045</v>
      </c>
    </row>
    <row r="8734" spans="27:30" x14ac:dyDescent="0.3">
      <c r="AA8734" s="37">
        <v>8714</v>
      </c>
      <c r="AB8734" s="37">
        <v>1.7143399100630088</v>
      </c>
      <c r="AC8734" s="37">
        <v>2.6998406124419865</v>
      </c>
      <c r="AD8734" s="37">
        <v>3.3668315889811025</v>
      </c>
    </row>
    <row r="8735" spans="27:30" x14ac:dyDescent="0.3">
      <c r="AA8735" s="37">
        <v>8715</v>
      </c>
      <c r="AB8735" s="37">
        <v>1.8533612757019937</v>
      </c>
      <c r="AC8735" s="37">
        <v>2.7054183972654964</v>
      </c>
      <c r="AD8735" s="37">
        <v>3.6009385350572689</v>
      </c>
    </row>
    <row r="8736" spans="27:30" x14ac:dyDescent="0.3">
      <c r="AA8736" s="37">
        <v>8716</v>
      </c>
      <c r="AB8736" s="37">
        <v>1.7234652327758333</v>
      </c>
      <c r="AC8736" s="37">
        <v>2.7597197796902191</v>
      </c>
      <c r="AD8736" s="37">
        <v>3.4980285177967745</v>
      </c>
    </row>
    <row r="8737" spans="27:30" x14ac:dyDescent="0.3">
      <c r="AA8737" s="37">
        <v>8717</v>
      </c>
      <c r="AB8737" s="37">
        <v>1.8096662921870097</v>
      </c>
      <c r="AC8737" s="37">
        <v>2.8499883468769105</v>
      </c>
      <c r="AD8737" s="37">
        <v>3.2928569972935526</v>
      </c>
    </row>
    <row r="8738" spans="27:30" x14ac:dyDescent="0.3">
      <c r="AA8738" s="37">
        <v>8718</v>
      </c>
      <c r="AB8738" s="37">
        <v>1.7995821677275863</v>
      </c>
      <c r="AC8738" s="37">
        <v>2.94001582636304</v>
      </c>
      <c r="AD8738" s="37">
        <v>3.2542196994665167</v>
      </c>
    </row>
    <row r="8739" spans="27:30" x14ac:dyDescent="0.3">
      <c r="AA8739" s="37">
        <v>8719</v>
      </c>
      <c r="AB8739" s="37">
        <v>1.7340095968821903</v>
      </c>
      <c r="AC8739" s="37">
        <v>2.8096535129020053</v>
      </c>
      <c r="AD8739" s="37">
        <v>3.5390308854572554</v>
      </c>
    </row>
    <row r="8740" spans="27:30" x14ac:dyDescent="0.3">
      <c r="AA8740" s="37">
        <v>8720</v>
      </c>
      <c r="AB8740" s="37">
        <v>1.8285164395434406</v>
      </c>
      <c r="AC8740" s="37">
        <v>2.756181641205488</v>
      </c>
      <c r="AD8740" s="37">
        <v>3.4190626478214248</v>
      </c>
    </row>
    <row r="8741" spans="27:30" x14ac:dyDescent="0.3">
      <c r="AA8741" s="37">
        <v>8721</v>
      </c>
      <c r="AB8741" s="37">
        <v>1.7946875576696641</v>
      </c>
      <c r="AC8741" s="37">
        <v>2.9723892484271266</v>
      </c>
      <c r="AD8741" s="37">
        <v>3.3575469406126532</v>
      </c>
    </row>
    <row r="8742" spans="27:30" x14ac:dyDescent="0.3">
      <c r="AA8742" s="37">
        <v>8722</v>
      </c>
      <c r="AB8742" s="37">
        <v>1.6064621623826207</v>
      </c>
      <c r="AC8742" s="37">
        <v>2.8431431871001482</v>
      </c>
      <c r="AD8742" s="37">
        <v>3.3341267825342551</v>
      </c>
    </row>
    <row r="8743" spans="27:30" x14ac:dyDescent="0.3">
      <c r="AA8743" s="37">
        <v>8723</v>
      </c>
      <c r="AB8743" s="37">
        <v>1.8639097995647977</v>
      </c>
      <c r="AC8743" s="37">
        <v>2.8618909648753683</v>
      </c>
      <c r="AD8743" s="37">
        <v>3.2560754033844481</v>
      </c>
    </row>
    <row r="8744" spans="27:30" x14ac:dyDescent="0.3">
      <c r="AA8744" s="37">
        <v>8724</v>
      </c>
      <c r="AB8744" s="37">
        <v>1.8685353336820483</v>
      </c>
      <c r="AC8744" s="37">
        <v>2.771596059581658</v>
      </c>
      <c r="AD8744" s="37">
        <v>3.1132565247551356</v>
      </c>
    </row>
    <row r="8745" spans="27:30" x14ac:dyDescent="0.3">
      <c r="AA8745" s="37">
        <v>8725</v>
      </c>
      <c r="AB8745" s="37">
        <v>1.8101689051808432</v>
      </c>
      <c r="AC8745" s="37">
        <v>2.9181708867420317</v>
      </c>
      <c r="AD8745" s="37">
        <v>3.4364085397905915</v>
      </c>
    </row>
    <row r="8746" spans="27:30" x14ac:dyDescent="0.3">
      <c r="AA8746" s="37">
        <v>8726</v>
      </c>
      <c r="AB8746" s="37">
        <v>1.8037578137254298</v>
      </c>
      <c r="AC8746" s="37">
        <v>2.7554501273002878</v>
      </c>
      <c r="AD8746" s="37">
        <v>3.3560568955069172</v>
      </c>
    </row>
    <row r="8747" spans="27:30" x14ac:dyDescent="0.3">
      <c r="AA8747" s="37">
        <v>8727</v>
      </c>
      <c r="AB8747" s="37">
        <v>1.7967269307866052</v>
      </c>
      <c r="AC8747" s="37">
        <v>2.8859229002518516</v>
      </c>
      <c r="AD8747" s="37">
        <v>3.520442700136047</v>
      </c>
    </row>
    <row r="8748" spans="27:30" x14ac:dyDescent="0.3">
      <c r="AA8748" s="37">
        <v>8728</v>
      </c>
      <c r="AB8748" s="37">
        <v>1.751452320092818</v>
      </c>
      <c r="AC8748" s="37">
        <v>2.7947216113201487</v>
      </c>
      <c r="AD8748" s="37">
        <v>3.5576239201084583</v>
      </c>
    </row>
    <row r="8749" spans="27:30" x14ac:dyDescent="0.3">
      <c r="AA8749" s="37">
        <v>8729</v>
      </c>
      <c r="AB8749" s="37">
        <v>1.7357752395540911</v>
      </c>
      <c r="AC8749" s="37">
        <v>2.841136256043677</v>
      </c>
      <c r="AD8749" s="37">
        <v>3.1782026170726452</v>
      </c>
    </row>
    <row r="8750" spans="27:30" x14ac:dyDescent="0.3">
      <c r="AA8750" s="37">
        <v>8730</v>
      </c>
      <c r="AB8750" s="37">
        <v>1.7484352683518025</v>
      </c>
      <c r="AC8750" s="37">
        <v>2.9440109215651531</v>
      </c>
      <c r="AD8750" s="37">
        <v>3.2293980386502414</v>
      </c>
    </row>
    <row r="8751" spans="27:30" x14ac:dyDescent="0.3">
      <c r="AA8751" s="37">
        <v>8731</v>
      </c>
      <c r="AB8751" s="37">
        <v>1.8318035060562414</v>
      </c>
      <c r="AC8751" s="37">
        <v>2.9431335257262927</v>
      </c>
      <c r="AD8751" s="37">
        <v>3.1645927477103579</v>
      </c>
    </row>
    <row r="8752" spans="27:30" x14ac:dyDescent="0.3">
      <c r="AA8752" s="37">
        <v>8732</v>
      </c>
      <c r="AB8752" s="37">
        <v>1.7637909850878088</v>
      </c>
      <c r="AC8752" s="37">
        <v>2.766340144193951</v>
      </c>
      <c r="AD8752" s="37">
        <v>3.4975188397023103</v>
      </c>
    </row>
    <row r="8753" spans="27:30" x14ac:dyDescent="0.3">
      <c r="AA8753" s="37">
        <v>8733</v>
      </c>
      <c r="AB8753" s="37">
        <v>1.8669943425086006</v>
      </c>
      <c r="AC8753" s="37">
        <v>2.765666402368304</v>
      </c>
      <c r="AD8753" s="37">
        <v>3.2978362406385067</v>
      </c>
    </row>
    <row r="8754" spans="27:30" x14ac:dyDescent="0.3">
      <c r="AA8754" s="37">
        <v>8734</v>
      </c>
      <c r="AB8754" s="37">
        <v>1.6880209252945788</v>
      </c>
      <c r="AC8754" s="37">
        <v>2.8885140548274819</v>
      </c>
      <c r="AD8754" s="37">
        <v>3.1985445433466442</v>
      </c>
    </row>
    <row r="8755" spans="27:30" x14ac:dyDescent="0.3">
      <c r="AA8755" s="37">
        <v>8735</v>
      </c>
      <c r="AB8755" s="37">
        <v>1.7964343923278383</v>
      </c>
      <c r="AC8755" s="37">
        <v>2.8456297171410525</v>
      </c>
      <c r="AD8755" s="37">
        <v>3.3126688091073917</v>
      </c>
    </row>
    <row r="8756" spans="27:30" x14ac:dyDescent="0.3">
      <c r="AA8756" s="37">
        <v>8736</v>
      </c>
      <c r="AB8756" s="37">
        <v>1.7784303398140655</v>
      </c>
      <c r="AC8756" s="37">
        <v>2.8065417094868144</v>
      </c>
      <c r="AD8756" s="37">
        <v>3.5212790385688342</v>
      </c>
    </row>
    <row r="8757" spans="27:30" x14ac:dyDescent="0.3">
      <c r="AA8757" s="37">
        <v>8737</v>
      </c>
      <c r="AB8757" s="37">
        <v>1.7147072333199218</v>
      </c>
      <c r="AC8757" s="37">
        <v>2.79926843979199</v>
      </c>
      <c r="AD8757" s="37">
        <v>3.099897826475281</v>
      </c>
    </row>
    <row r="8758" spans="27:30" x14ac:dyDescent="0.3">
      <c r="AA8758" s="37">
        <v>8738</v>
      </c>
      <c r="AB8758" s="37">
        <v>1.7910824820451514</v>
      </c>
      <c r="AC8758" s="37">
        <v>2.9163774084969374</v>
      </c>
      <c r="AD8758" s="37">
        <v>3.3467559862261846</v>
      </c>
    </row>
    <row r="8759" spans="27:30" x14ac:dyDescent="0.3">
      <c r="AA8759" s="37">
        <v>8739</v>
      </c>
      <c r="AB8759" s="37">
        <v>1.8350246388758107</v>
      </c>
      <c r="AC8759" s="37">
        <v>2.7036075008028617</v>
      </c>
      <c r="AD8759" s="37">
        <v>3.2188181484346177</v>
      </c>
    </row>
    <row r="8760" spans="27:30" x14ac:dyDescent="0.3">
      <c r="AA8760" s="37">
        <v>8740</v>
      </c>
      <c r="AB8760" s="37">
        <v>1.8996011398995618</v>
      </c>
      <c r="AC8760" s="37">
        <v>2.7653972503674864</v>
      </c>
      <c r="AD8760" s="37">
        <v>3.6210584291164287</v>
      </c>
    </row>
    <row r="8761" spans="27:30" x14ac:dyDescent="0.3">
      <c r="AA8761" s="37">
        <v>8741</v>
      </c>
      <c r="AB8761" s="37">
        <v>1.6741810108875221</v>
      </c>
      <c r="AC8761" s="37">
        <v>2.820530053041614</v>
      </c>
      <c r="AD8761" s="37">
        <v>3.1381781646493314</v>
      </c>
    </row>
    <row r="8762" spans="27:30" x14ac:dyDescent="0.3">
      <c r="AA8762" s="37">
        <v>8742</v>
      </c>
      <c r="AB8762" s="37">
        <v>1.8791163348692106</v>
      </c>
      <c r="AC8762" s="37">
        <v>2.8770284446828556</v>
      </c>
      <c r="AD8762" s="37">
        <v>3.5255356130887603</v>
      </c>
    </row>
    <row r="8763" spans="27:30" x14ac:dyDescent="0.3">
      <c r="AA8763" s="37">
        <v>8743</v>
      </c>
      <c r="AB8763" s="37">
        <v>1.8271329413921744</v>
      </c>
      <c r="AC8763" s="37">
        <v>2.9620294716594167</v>
      </c>
      <c r="AD8763" s="37">
        <v>3.3077090254887804</v>
      </c>
    </row>
    <row r="8764" spans="27:30" x14ac:dyDescent="0.3">
      <c r="AA8764" s="37">
        <v>8744</v>
      </c>
      <c r="AB8764" s="37">
        <v>1.8391994319042282</v>
      </c>
      <c r="AC8764" s="37">
        <v>2.7426792625829233</v>
      </c>
      <c r="AD8764" s="37">
        <v>3.3899402083869457</v>
      </c>
    </row>
    <row r="8765" spans="27:30" x14ac:dyDescent="0.3">
      <c r="AA8765" s="37">
        <v>8745</v>
      </c>
      <c r="AB8765" s="37">
        <v>1.7715022917737333</v>
      </c>
      <c r="AC8765" s="37">
        <v>2.8636808369756586</v>
      </c>
      <c r="AD8765" s="37">
        <v>3.176215850286884</v>
      </c>
    </row>
    <row r="8766" spans="27:30" x14ac:dyDescent="0.3">
      <c r="AA8766" s="37">
        <v>8746</v>
      </c>
      <c r="AB8766" s="37">
        <v>1.7551384834991064</v>
      </c>
      <c r="AC8766" s="37">
        <v>2.8645678002215327</v>
      </c>
      <c r="AD8766" s="37">
        <v>3.3558354679403619</v>
      </c>
    </row>
    <row r="8767" spans="27:30" x14ac:dyDescent="0.3">
      <c r="AA8767" s="37">
        <v>8747</v>
      </c>
      <c r="AB8767" s="37">
        <v>1.8607163393277564</v>
      </c>
      <c r="AC8767" s="37">
        <v>2.9298179197703895</v>
      </c>
      <c r="AD8767" s="37">
        <v>3.3856292107100132</v>
      </c>
    </row>
    <row r="8768" spans="27:30" x14ac:dyDescent="0.3">
      <c r="AA8768" s="37">
        <v>8748</v>
      </c>
      <c r="AB8768" s="37">
        <v>1.908581939687146</v>
      </c>
      <c r="AC8768" s="37">
        <v>2.7580941263622663</v>
      </c>
      <c r="AD8768" s="37">
        <v>3.036603877231161</v>
      </c>
    </row>
    <row r="8769" spans="27:30" x14ac:dyDescent="0.3">
      <c r="AA8769" s="37">
        <v>8749</v>
      </c>
      <c r="AB8769" s="37">
        <v>1.7985695312858374</v>
      </c>
      <c r="AC8769" s="37">
        <v>2.6554558956801868</v>
      </c>
      <c r="AD8769" s="37">
        <v>3.2055940099468088</v>
      </c>
    </row>
    <row r="8770" spans="27:30" x14ac:dyDescent="0.3">
      <c r="AA8770" s="37">
        <v>8750</v>
      </c>
      <c r="AB8770" s="37">
        <v>1.7539208422871631</v>
      </c>
      <c r="AC8770" s="37">
        <v>2.8898843495118158</v>
      </c>
      <c r="AD8770" s="37">
        <v>3.3698444906658653</v>
      </c>
    </row>
    <row r="8771" spans="27:30" x14ac:dyDescent="0.3">
      <c r="AA8771" s="37">
        <v>8751</v>
      </c>
      <c r="AB8771" s="37">
        <v>1.7650138959428365</v>
      </c>
      <c r="AC8771" s="37">
        <v>2.7772935435327675</v>
      </c>
      <c r="AD8771" s="37">
        <v>3.3692697776576344</v>
      </c>
    </row>
    <row r="8772" spans="27:30" x14ac:dyDescent="0.3">
      <c r="AA8772" s="37">
        <v>8752</v>
      </c>
      <c r="AB8772" s="37">
        <v>1.8201352766796481</v>
      </c>
      <c r="AC8772" s="37">
        <v>2.8652158277384299</v>
      </c>
      <c r="AD8772" s="37">
        <v>3.37242177573569</v>
      </c>
    </row>
    <row r="8773" spans="27:30" x14ac:dyDescent="0.3">
      <c r="AA8773" s="37">
        <v>8753</v>
      </c>
      <c r="AB8773" s="37">
        <v>1.8005284968378119</v>
      </c>
      <c r="AC8773" s="37">
        <v>2.8552552464638112</v>
      </c>
      <c r="AD8773" s="37">
        <v>3.3018556969425603</v>
      </c>
    </row>
    <row r="8774" spans="27:30" x14ac:dyDescent="0.3">
      <c r="AA8774" s="37">
        <v>8754</v>
      </c>
      <c r="AB8774" s="37">
        <v>1.7772811964094981</v>
      </c>
      <c r="AC8774" s="37">
        <v>2.6342891024127737</v>
      </c>
      <c r="AD8774" s="37">
        <v>3.4538835296964741</v>
      </c>
    </row>
    <row r="8775" spans="27:30" x14ac:dyDescent="0.3">
      <c r="AA8775" s="37">
        <v>8755</v>
      </c>
      <c r="AB8775" s="37">
        <v>1.6946674575018268</v>
      </c>
      <c r="AC8775" s="37">
        <v>2.7482923105565034</v>
      </c>
      <c r="AD8775" s="37">
        <v>3.344305725173895</v>
      </c>
    </row>
    <row r="8776" spans="27:30" x14ac:dyDescent="0.3">
      <c r="AA8776" s="37">
        <v>8756</v>
      </c>
      <c r="AB8776" s="37">
        <v>1.7135623376794302</v>
      </c>
      <c r="AC8776" s="37">
        <v>2.7904726955232375</v>
      </c>
      <c r="AD8776" s="37">
        <v>3.2849354396485588</v>
      </c>
    </row>
    <row r="8777" spans="27:30" x14ac:dyDescent="0.3">
      <c r="AA8777" s="37">
        <v>8757</v>
      </c>
      <c r="AB8777" s="37">
        <v>1.6738673410808016</v>
      </c>
      <c r="AC8777" s="37">
        <v>2.6879613529638275</v>
      </c>
      <c r="AD8777" s="37">
        <v>3.3108817857245194</v>
      </c>
    </row>
    <row r="8778" spans="27:30" x14ac:dyDescent="0.3">
      <c r="AA8778" s="37">
        <v>8758</v>
      </c>
      <c r="AB8778" s="37">
        <v>1.8376021047828841</v>
      </c>
      <c r="AC8778" s="37">
        <v>2.7767079803104888</v>
      </c>
      <c r="AD8778" s="37">
        <v>3.4845369256379541</v>
      </c>
    </row>
    <row r="8779" spans="27:30" x14ac:dyDescent="0.3">
      <c r="AA8779" s="37">
        <v>8759</v>
      </c>
      <c r="AB8779" s="37">
        <v>1.797804179687533</v>
      </c>
      <c r="AC8779" s="37">
        <v>2.8234016701859797</v>
      </c>
      <c r="AD8779" s="37">
        <v>3.3031695531702687</v>
      </c>
    </row>
    <row r="8780" spans="27:30" x14ac:dyDescent="0.3">
      <c r="AA8780" s="37">
        <v>8760</v>
      </c>
      <c r="AB8780" s="37">
        <v>1.7359499463512831</v>
      </c>
      <c r="AC8780" s="37">
        <v>3.0020840827131776</v>
      </c>
      <c r="AD8780" s="37">
        <v>3.430780623852292</v>
      </c>
    </row>
    <row r="8781" spans="27:30" x14ac:dyDescent="0.3">
      <c r="AA8781" s="37">
        <v>8761</v>
      </c>
      <c r="AB8781" s="37">
        <v>1.7483072054761895</v>
      </c>
      <c r="AC8781" s="37">
        <v>2.8395217379515483</v>
      </c>
      <c r="AD8781" s="37">
        <v>3.1038696908954906</v>
      </c>
    </row>
    <row r="8782" spans="27:30" x14ac:dyDescent="0.3">
      <c r="AA8782" s="37">
        <v>8762</v>
      </c>
      <c r="AB8782" s="37">
        <v>1.8321060099327688</v>
      </c>
      <c r="AC8782" s="37">
        <v>2.9260478333044828</v>
      </c>
      <c r="AD8782" s="37">
        <v>3.4108335287134688</v>
      </c>
    </row>
    <row r="8783" spans="27:30" x14ac:dyDescent="0.3">
      <c r="AA8783" s="37">
        <v>8763</v>
      </c>
      <c r="AB8783" s="37">
        <v>1.7113271860221764</v>
      </c>
      <c r="AC8783" s="37">
        <v>2.9395663900454601</v>
      </c>
      <c r="AD8783" s="37">
        <v>3.2247737177992444</v>
      </c>
    </row>
    <row r="8784" spans="27:30" x14ac:dyDescent="0.3">
      <c r="AA8784" s="37">
        <v>8764</v>
      </c>
      <c r="AB8784" s="37">
        <v>1.759375508271428</v>
      </c>
      <c r="AC8784" s="37">
        <v>2.8259165780136541</v>
      </c>
      <c r="AD8784" s="37">
        <v>3.2856814977479938</v>
      </c>
    </row>
    <row r="8785" spans="27:30" x14ac:dyDescent="0.3">
      <c r="AA8785" s="37">
        <v>8765</v>
      </c>
      <c r="AB8785" s="37">
        <v>1.7786405516890074</v>
      </c>
      <c r="AC8785" s="37">
        <v>3.0352948467841201</v>
      </c>
      <c r="AD8785" s="37">
        <v>3.3781072462610475</v>
      </c>
    </row>
    <row r="8786" spans="27:30" x14ac:dyDescent="0.3">
      <c r="AA8786" s="37">
        <v>8766</v>
      </c>
      <c r="AB8786" s="37">
        <v>1.7546464854813475</v>
      </c>
      <c r="AC8786" s="37">
        <v>2.9786916700907313</v>
      </c>
      <c r="AD8786" s="37">
        <v>3.3557164101067487</v>
      </c>
    </row>
    <row r="8787" spans="27:30" x14ac:dyDescent="0.3">
      <c r="AA8787" s="37">
        <v>8767</v>
      </c>
      <c r="AB8787" s="37">
        <v>1.8674975205740023</v>
      </c>
      <c r="AC8787" s="37">
        <v>2.9266875265919774</v>
      </c>
      <c r="AD8787" s="37">
        <v>3.3348353055822697</v>
      </c>
    </row>
    <row r="8788" spans="27:30" x14ac:dyDescent="0.3">
      <c r="AA8788" s="37">
        <v>8768</v>
      </c>
      <c r="AB8788" s="37">
        <v>1.8210229923847612</v>
      </c>
      <c r="AC8788" s="37">
        <v>2.7797111092212243</v>
      </c>
      <c r="AD8788" s="37">
        <v>3.2757079665530342</v>
      </c>
    </row>
    <row r="8789" spans="27:30" x14ac:dyDescent="0.3">
      <c r="AA8789" s="37">
        <v>8769</v>
      </c>
      <c r="AB8789" s="37">
        <v>1.725418696091082</v>
      </c>
      <c r="AC8789" s="37">
        <v>2.8249349218189153</v>
      </c>
      <c r="AD8789" s="37">
        <v>3.2126625399752542</v>
      </c>
    </row>
    <row r="8790" spans="27:30" x14ac:dyDescent="0.3">
      <c r="AA8790" s="37">
        <v>8770</v>
      </c>
      <c r="AB8790" s="37">
        <v>1.8690517656150241</v>
      </c>
      <c r="AC8790" s="37">
        <v>2.8224120682893941</v>
      </c>
      <c r="AD8790" s="37">
        <v>3.5562481558523769</v>
      </c>
    </row>
    <row r="8791" spans="27:30" x14ac:dyDescent="0.3">
      <c r="AA8791" s="37">
        <v>8771</v>
      </c>
      <c r="AB8791" s="37">
        <v>1.7897932686905507</v>
      </c>
      <c r="AC8791" s="37">
        <v>2.6459617875463142</v>
      </c>
      <c r="AD8791" s="37">
        <v>3.2668146315999929</v>
      </c>
    </row>
    <row r="8792" spans="27:30" x14ac:dyDescent="0.3">
      <c r="AA8792" s="37">
        <v>8772</v>
      </c>
      <c r="AB8792" s="37">
        <v>1.8584454918346138</v>
      </c>
      <c r="AC8792" s="37">
        <v>2.8653969019593246</v>
      </c>
      <c r="AD8792" s="37">
        <v>3.4666087487221211</v>
      </c>
    </row>
    <row r="8793" spans="27:30" x14ac:dyDescent="0.3">
      <c r="AA8793" s="37">
        <v>8773</v>
      </c>
      <c r="AB8793" s="37">
        <v>1.7032012104226497</v>
      </c>
      <c r="AC8793" s="37">
        <v>2.9413129306263937</v>
      </c>
      <c r="AD8793" s="37">
        <v>3.3888183849137055</v>
      </c>
    </row>
    <row r="8794" spans="27:30" x14ac:dyDescent="0.3">
      <c r="AA8794" s="37">
        <v>8774</v>
      </c>
      <c r="AB8794" s="37">
        <v>1.7270468575534297</v>
      </c>
      <c r="AC8794" s="37">
        <v>2.8727831326259903</v>
      </c>
      <c r="AD8794" s="37">
        <v>3.2853792282833547</v>
      </c>
    </row>
    <row r="8795" spans="27:30" x14ac:dyDescent="0.3">
      <c r="AA8795" s="37">
        <v>8775</v>
      </c>
      <c r="AB8795" s="37">
        <v>1.7704916036627876</v>
      </c>
      <c r="AC8795" s="37">
        <v>2.6856175257461814</v>
      </c>
      <c r="AD8795" s="37">
        <v>3.4864268098354438</v>
      </c>
    </row>
    <row r="8796" spans="27:30" x14ac:dyDescent="0.3">
      <c r="AA8796" s="37">
        <v>8776</v>
      </c>
      <c r="AB8796" s="37">
        <v>1.7481635749393842</v>
      </c>
      <c r="AC8796" s="37">
        <v>2.8683684185716345</v>
      </c>
      <c r="AD8796" s="37">
        <v>3.2876813174573156</v>
      </c>
    </row>
    <row r="8797" spans="27:30" x14ac:dyDescent="0.3">
      <c r="AA8797" s="37">
        <v>8777</v>
      </c>
      <c r="AB8797" s="37">
        <v>1.7216515980614264</v>
      </c>
      <c r="AC8797" s="37">
        <v>2.8602191007813587</v>
      </c>
      <c r="AD8797" s="37">
        <v>3.3189033232583167</v>
      </c>
    </row>
    <row r="8798" spans="27:30" x14ac:dyDescent="0.3">
      <c r="AA8798" s="37">
        <v>8778</v>
      </c>
      <c r="AB8798" s="37">
        <v>1.8090869882910361</v>
      </c>
      <c r="AC8798" s="37">
        <v>2.8342926603013465</v>
      </c>
      <c r="AD8798" s="37">
        <v>3.3945994752611459</v>
      </c>
    </row>
    <row r="8799" spans="27:30" x14ac:dyDescent="0.3">
      <c r="AA8799" s="37">
        <v>8779</v>
      </c>
      <c r="AB8799" s="37">
        <v>1.6730938357531737</v>
      </c>
      <c r="AC8799" s="37">
        <v>3.0070839314754845</v>
      </c>
      <c r="AD8799" s="37">
        <v>3.315386731573823</v>
      </c>
    </row>
    <row r="8800" spans="27:30" x14ac:dyDescent="0.3">
      <c r="AA8800" s="37">
        <v>8780</v>
      </c>
      <c r="AB8800" s="37">
        <v>1.8199717065042911</v>
      </c>
      <c r="AC8800" s="37">
        <v>2.8667260874221583</v>
      </c>
      <c r="AD8800" s="37">
        <v>3.5127927371929388</v>
      </c>
    </row>
    <row r="8801" spans="27:30" x14ac:dyDescent="0.3">
      <c r="AA8801" s="37">
        <v>8781</v>
      </c>
      <c r="AB8801" s="37">
        <v>1.8359616540311317</v>
      </c>
      <c r="AC8801" s="37">
        <v>2.8884140663127109</v>
      </c>
      <c r="AD8801" s="37">
        <v>3.2369282900622691</v>
      </c>
    </row>
    <row r="8802" spans="27:30" x14ac:dyDescent="0.3">
      <c r="AA8802" s="37">
        <v>8782</v>
      </c>
      <c r="AB8802" s="37">
        <v>1.8173881956664946</v>
      </c>
      <c r="AC8802" s="37">
        <v>2.7643073439233703</v>
      </c>
      <c r="AD8802" s="37">
        <v>3.2064716415194767</v>
      </c>
    </row>
    <row r="8803" spans="27:30" x14ac:dyDescent="0.3">
      <c r="AA8803" s="37">
        <v>8783</v>
      </c>
      <c r="AB8803" s="37">
        <v>1.853680158714156</v>
      </c>
      <c r="AC8803" s="37">
        <v>2.9397813331937543</v>
      </c>
      <c r="AD8803" s="37">
        <v>3.4295007588816371</v>
      </c>
    </row>
    <row r="8804" spans="27:30" x14ac:dyDescent="0.3">
      <c r="AA8804" s="37">
        <v>8784</v>
      </c>
      <c r="AB8804" s="37">
        <v>1.7614328839663549</v>
      </c>
      <c r="AC8804" s="37">
        <v>2.7973052557909184</v>
      </c>
      <c r="AD8804" s="37">
        <v>3.6002540374993854</v>
      </c>
    </row>
    <row r="8805" spans="27:30" x14ac:dyDescent="0.3">
      <c r="AA8805" s="37">
        <v>8785</v>
      </c>
      <c r="AB8805" s="37">
        <v>1.8252592267743317</v>
      </c>
      <c r="AC8805" s="37">
        <v>2.5860810335887887</v>
      </c>
      <c r="AD8805" s="37">
        <v>3.4693319248716783</v>
      </c>
    </row>
    <row r="8806" spans="27:30" x14ac:dyDescent="0.3">
      <c r="AA8806" s="37">
        <v>8786</v>
      </c>
      <c r="AB8806" s="37">
        <v>1.7279130275089327</v>
      </c>
      <c r="AC8806" s="37">
        <v>2.9990431661523131</v>
      </c>
      <c r="AD8806" s="37">
        <v>3.3317079722005549</v>
      </c>
    </row>
    <row r="8807" spans="27:30" x14ac:dyDescent="0.3">
      <c r="AA8807" s="37">
        <v>8787</v>
      </c>
      <c r="AB8807" s="37">
        <v>1.7368369354989475</v>
      </c>
      <c r="AC8807" s="37">
        <v>3.0375852885798049</v>
      </c>
      <c r="AD8807" s="37">
        <v>3.3206403200848182</v>
      </c>
    </row>
    <row r="8808" spans="27:30" x14ac:dyDescent="0.3">
      <c r="AA8808" s="37">
        <v>8788</v>
      </c>
      <c r="AB8808" s="37">
        <v>1.7678107096059141</v>
      </c>
      <c r="AC8808" s="37">
        <v>2.9044175364643903</v>
      </c>
      <c r="AD8808" s="37">
        <v>3.2892171428225803</v>
      </c>
    </row>
    <row r="8809" spans="27:30" x14ac:dyDescent="0.3">
      <c r="AA8809" s="37">
        <v>8789</v>
      </c>
      <c r="AB8809" s="37">
        <v>1.7634186460766756</v>
      </c>
      <c r="AC8809" s="37">
        <v>2.6798913878430581</v>
      </c>
      <c r="AD8809" s="37">
        <v>3.2486271338827994</v>
      </c>
    </row>
    <row r="8810" spans="27:30" x14ac:dyDescent="0.3">
      <c r="AA8810" s="37">
        <v>8790</v>
      </c>
      <c r="AB8810" s="37">
        <v>1.8169044547072408</v>
      </c>
      <c r="AC8810" s="37">
        <v>2.8825819825414962</v>
      </c>
      <c r="AD8810" s="37">
        <v>3.2165096870465186</v>
      </c>
    </row>
    <row r="8811" spans="27:30" x14ac:dyDescent="0.3">
      <c r="AA8811" s="37">
        <v>8791</v>
      </c>
      <c r="AB8811" s="37">
        <v>1.7904255082561935</v>
      </c>
      <c r="AC8811" s="37">
        <v>2.6413829387549264</v>
      </c>
      <c r="AD8811" s="37">
        <v>3.4078761765029029</v>
      </c>
    </row>
    <row r="8812" spans="27:30" x14ac:dyDescent="0.3">
      <c r="AA8812" s="37">
        <v>8792</v>
      </c>
      <c r="AB8812" s="37">
        <v>1.7652832343095426</v>
      </c>
      <c r="AC8812" s="37">
        <v>2.6791136608831239</v>
      </c>
      <c r="AD8812" s="37">
        <v>3.1559884645595044</v>
      </c>
    </row>
    <row r="8813" spans="27:30" x14ac:dyDescent="0.3">
      <c r="AA8813" s="37">
        <v>8793</v>
      </c>
      <c r="AB8813" s="37">
        <v>1.8974922805161452</v>
      </c>
      <c r="AC8813" s="37">
        <v>2.7297553979047948</v>
      </c>
      <c r="AD8813" s="37">
        <v>3.3434441388534646</v>
      </c>
    </row>
    <row r="8814" spans="27:30" x14ac:dyDescent="0.3">
      <c r="AA8814" s="37">
        <v>8794</v>
      </c>
      <c r="AB8814" s="37">
        <v>1.866278372610283</v>
      </c>
      <c r="AC8814" s="37">
        <v>2.9011301997426373</v>
      </c>
      <c r="AD8814" s="37">
        <v>3.4971955356698143</v>
      </c>
    </row>
    <row r="8815" spans="27:30" x14ac:dyDescent="0.3">
      <c r="AA8815" s="37">
        <v>8795</v>
      </c>
      <c r="AB8815" s="37">
        <v>1.7710057705649067</v>
      </c>
      <c r="AC8815" s="37">
        <v>2.9405627075166518</v>
      </c>
      <c r="AD8815" s="37">
        <v>3.3781264275488341</v>
      </c>
    </row>
    <row r="8816" spans="27:30" x14ac:dyDescent="0.3">
      <c r="AA8816" s="37">
        <v>8796</v>
      </c>
      <c r="AB8816" s="37">
        <v>1.7245073330611567</v>
      </c>
      <c r="AC8816" s="37">
        <v>2.7115807049042768</v>
      </c>
      <c r="AD8816" s="37">
        <v>3.565805955636641</v>
      </c>
    </row>
    <row r="8817" spans="27:30" x14ac:dyDescent="0.3">
      <c r="AA8817" s="37">
        <v>8797</v>
      </c>
      <c r="AB8817" s="37">
        <v>1.883073854664377</v>
      </c>
      <c r="AC8817" s="37">
        <v>2.6937659831324248</v>
      </c>
      <c r="AD8817" s="37">
        <v>3.3006102613574311</v>
      </c>
    </row>
    <row r="8818" spans="27:30" x14ac:dyDescent="0.3">
      <c r="AA8818" s="37">
        <v>8798</v>
      </c>
      <c r="AB8818" s="37">
        <v>1.7672442249682687</v>
      </c>
      <c r="AC8818" s="37">
        <v>2.7791822283165923</v>
      </c>
      <c r="AD8818" s="37">
        <v>3.2096510538544907</v>
      </c>
    </row>
    <row r="8819" spans="27:30" x14ac:dyDescent="0.3">
      <c r="AA8819" s="37">
        <v>8799</v>
      </c>
      <c r="AB8819" s="37">
        <v>1.7468756886810055</v>
      </c>
      <c r="AC8819" s="37">
        <v>2.8380922299943765</v>
      </c>
      <c r="AD8819" s="37">
        <v>3.2816231322295875</v>
      </c>
    </row>
    <row r="8820" spans="27:30" x14ac:dyDescent="0.3">
      <c r="AA8820" s="37">
        <v>8800</v>
      </c>
      <c r="AB8820" s="37">
        <v>1.8987590088091135</v>
      </c>
      <c r="AC8820" s="37">
        <v>2.8905842929686467</v>
      </c>
      <c r="AD8820" s="37">
        <v>3.3979711247822526</v>
      </c>
    </row>
    <row r="8821" spans="27:30" x14ac:dyDescent="0.3">
      <c r="AA8821" s="37">
        <v>8801</v>
      </c>
      <c r="AB8821" s="37">
        <v>1.791222775290338</v>
      </c>
      <c r="AC8821" s="37">
        <v>3.080111826370846</v>
      </c>
      <c r="AD8821" s="37">
        <v>3.6099187887387671</v>
      </c>
    </row>
    <row r="8822" spans="27:30" x14ac:dyDescent="0.3">
      <c r="AA8822" s="37">
        <v>8802</v>
      </c>
      <c r="AB8822" s="37">
        <v>1.8368077693029226</v>
      </c>
      <c r="AC8822" s="37">
        <v>2.7376856860751544</v>
      </c>
      <c r="AD8822" s="37">
        <v>3.5321925999845707</v>
      </c>
    </row>
    <row r="8823" spans="27:30" x14ac:dyDescent="0.3">
      <c r="AA8823" s="37">
        <v>8803</v>
      </c>
      <c r="AB8823" s="37">
        <v>1.790479975784234</v>
      </c>
      <c r="AC8823" s="37">
        <v>2.6428586341755316</v>
      </c>
      <c r="AD8823" s="37">
        <v>3.3208449061319723</v>
      </c>
    </row>
    <row r="8824" spans="27:30" x14ac:dyDescent="0.3">
      <c r="AA8824" s="37">
        <v>8804</v>
      </c>
      <c r="AB8824" s="37">
        <v>1.8907006570234282</v>
      </c>
      <c r="AC8824" s="37">
        <v>2.799859521770041</v>
      </c>
      <c r="AD8824" s="37">
        <v>3.3431647057801048</v>
      </c>
    </row>
    <row r="8825" spans="27:30" x14ac:dyDescent="0.3">
      <c r="AA8825" s="37">
        <v>8805</v>
      </c>
      <c r="AB8825" s="37">
        <v>1.7989569465845301</v>
      </c>
      <c r="AC8825" s="37">
        <v>2.8453937395238267</v>
      </c>
      <c r="AD8825" s="37">
        <v>3.4278402766215561</v>
      </c>
    </row>
    <row r="8826" spans="27:30" x14ac:dyDescent="0.3">
      <c r="AA8826" s="37">
        <v>8806</v>
      </c>
      <c r="AB8826" s="37">
        <v>1.849309836605437</v>
      </c>
      <c r="AC8826" s="37">
        <v>2.8234838470396899</v>
      </c>
      <c r="AD8826" s="37">
        <v>3.4094079618305928</v>
      </c>
    </row>
    <row r="8827" spans="27:30" x14ac:dyDescent="0.3">
      <c r="AA8827" s="37">
        <v>8807</v>
      </c>
      <c r="AB8827" s="37">
        <v>1.723303053338767</v>
      </c>
      <c r="AC8827" s="37">
        <v>2.7514053938169063</v>
      </c>
      <c r="AD8827" s="37">
        <v>3.3250859801988621</v>
      </c>
    </row>
    <row r="8828" spans="27:30" x14ac:dyDescent="0.3">
      <c r="AA8828" s="37">
        <v>8808</v>
      </c>
      <c r="AB8828" s="37">
        <v>1.9028462178567151</v>
      </c>
      <c r="AC8828" s="37">
        <v>2.6994183060327726</v>
      </c>
      <c r="AD8828" s="37">
        <v>3.2687658509916697</v>
      </c>
    </row>
    <row r="8829" spans="27:30" x14ac:dyDescent="0.3">
      <c r="AA8829" s="37">
        <v>8809</v>
      </c>
      <c r="AB8829" s="37">
        <v>1.8664434099686908</v>
      </c>
      <c r="AC8829" s="37">
        <v>2.9009948324611785</v>
      </c>
      <c r="AD8829" s="37">
        <v>3.5033503374142545</v>
      </c>
    </row>
    <row r="8830" spans="27:30" x14ac:dyDescent="0.3">
      <c r="AA8830" s="37">
        <v>8810</v>
      </c>
      <c r="AB8830" s="37">
        <v>1.7434751664451595</v>
      </c>
      <c r="AC8830" s="37">
        <v>2.8165431325636856</v>
      </c>
      <c r="AD8830" s="37">
        <v>3.3769194832309846</v>
      </c>
    </row>
    <row r="8831" spans="27:30" x14ac:dyDescent="0.3">
      <c r="AA8831" s="37">
        <v>8811</v>
      </c>
      <c r="AB8831" s="37">
        <v>1.7638864229793731</v>
      </c>
      <c r="AC8831" s="37">
        <v>2.8927586345269303</v>
      </c>
      <c r="AD8831" s="37">
        <v>3.4472161561834409</v>
      </c>
    </row>
    <row r="8832" spans="27:30" x14ac:dyDescent="0.3">
      <c r="AA8832" s="37">
        <v>8812</v>
      </c>
      <c r="AB8832" s="37">
        <v>1.798771395372865</v>
      </c>
      <c r="AC8832" s="37">
        <v>2.8276871103899621</v>
      </c>
      <c r="AD8832" s="37">
        <v>3.5304889396814807</v>
      </c>
    </row>
    <row r="8833" spans="27:30" x14ac:dyDescent="0.3">
      <c r="AA8833" s="37">
        <v>8813</v>
      </c>
      <c r="AB8833" s="37">
        <v>1.7937965764814741</v>
      </c>
      <c r="AC8833" s="37">
        <v>2.8952589628707681</v>
      </c>
      <c r="AD8833" s="37">
        <v>3.2736447931032799</v>
      </c>
    </row>
    <row r="8834" spans="27:30" x14ac:dyDescent="0.3">
      <c r="AA8834" s="37">
        <v>8814</v>
      </c>
      <c r="AB8834" s="37">
        <v>1.8718109872006632</v>
      </c>
      <c r="AC8834" s="37">
        <v>2.8381548108620458</v>
      </c>
      <c r="AD8834" s="37">
        <v>3.4230144781749687</v>
      </c>
    </row>
    <row r="8835" spans="27:30" x14ac:dyDescent="0.3">
      <c r="AA8835" s="37">
        <v>8815</v>
      </c>
      <c r="AB8835" s="37">
        <v>1.8887542440475902</v>
      </c>
      <c r="AC8835" s="37">
        <v>2.7625858159718666</v>
      </c>
      <c r="AD8835" s="37">
        <v>3.2748709318981746</v>
      </c>
    </row>
    <row r="8836" spans="27:30" x14ac:dyDescent="0.3">
      <c r="AA8836" s="37">
        <v>8816</v>
      </c>
      <c r="AB8836" s="37">
        <v>1.7870608972276414</v>
      </c>
      <c r="AC8836" s="37">
        <v>2.7455212897995698</v>
      </c>
      <c r="AD8836" s="37">
        <v>3.201265678416843</v>
      </c>
    </row>
    <row r="8837" spans="27:30" x14ac:dyDescent="0.3">
      <c r="AA8837" s="37">
        <v>8817</v>
      </c>
      <c r="AB8837" s="37">
        <v>1.7873176171936489</v>
      </c>
      <c r="AC8837" s="37">
        <v>2.9368395127611024</v>
      </c>
      <c r="AD8837" s="37">
        <v>3.4379473756427243</v>
      </c>
    </row>
    <row r="8838" spans="27:30" x14ac:dyDescent="0.3">
      <c r="AA8838" s="37">
        <v>8818</v>
      </c>
      <c r="AB8838" s="37">
        <v>1.8483056040709418</v>
      </c>
      <c r="AC8838" s="37">
        <v>2.952316498382197</v>
      </c>
      <c r="AD8838" s="37">
        <v>3.505071192450175</v>
      </c>
    </row>
    <row r="8839" spans="27:30" x14ac:dyDescent="0.3">
      <c r="AA8839" s="37">
        <v>8819</v>
      </c>
      <c r="AB8839" s="37">
        <v>1.8529417103987638</v>
      </c>
      <c r="AC8839" s="37">
        <v>2.6616123192615628</v>
      </c>
      <c r="AD8839" s="37">
        <v>3.4625041765599311</v>
      </c>
    </row>
    <row r="8840" spans="27:30" x14ac:dyDescent="0.3">
      <c r="AA8840" s="37">
        <v>8820</v>
      </c>
      <c r="AB8840" s="37">
        <v>1.7969751587273128</v>
      </c>
      <c r="AC8840" s="37">
        <v>2.7209633014815338</v>
      </c>
      <c r="AD8840" s="37">
        <v>3.2061324717996316</v>
      </c>
    </row>
    <row r="8841" spans="27:30" x14ac:dyDescent="0.3">
      <c r="AA8841" s="37">
        <v>8821</v>
      </c>
      <c r="AB8841" s="37">
        <v>1.8942080301307178</v>
      </c>
      <c r="AC8841" s="37">
        <v>2.7667021770564988</v>
      </c>
      <c r="AD8841" s="37">
        <v>3.4235539632977612</v>
      </c>
    </row>
    <row r="8842" spans="27:30" x14ac:dyDescent="0.3">
      <c r="AA8842" s="37">
        <v>8822</v>
      </c>
      <c r="AB8842" s="37">
        <v>1.8542733451531357</v>
      </c>
      <c r="AC8842" s="37">
        <v>2.9368329712532524</v>
      </c>
      <c r="AD8842" s="37">
        <v>3.4348378772825412</v>
      </c>
    </row>
    <row r="8843" spans="27:30" x14ac:dyDescent="0.3">
      <c r="AA8843" s="37">
        <v>8823</v>
      </c>
      <c r="AB8843" s="37">
        <v>1.7499050867657593</v>
      </c>
      <c r="AC8843" s="37">
        <v>2.9276700512697555</v>
      </c>
      <c r="AD8843" s="37">
        <v>3.199015554961341</v>
      </c>
    </row>
    <row r="8844" spans="27:30" x14ac:dyDescent="0.3">
      <c r="AA8844" s="37">
        <v>8824</v>
      </c>
      <c r="AB8844" s="37">
        <v>1.776916141942809</v>
      </c>
      <c r="AC8844" s="37">
        <v>2.8455821635206</v>
      </c>
      <c r="AD8844" s="37">
        <v>3.5187805103677374</v>
      </c>
    </row>
    <row r="8845" spans="27:30" x14ac:dyDescent="0.3">
      <c r="AA8845" s="37">
        <v>8825</v>
      </c>
      <c r="AB8845" s="37">
        <v>1.7684770225480191</v>
      </c>
      <c r="AC8845" s="37">
        <v>2.8092059931824327</v>
      </c>
      <c r="AD8845" s="37">
        <v>3.4048966365352671</v>
      </c>
    </row>
    <row r="8846" spans="27:30" x14ac:dyDescent="0.3">
      <c r="AA8846" s="37">
        <v>8826</v>
      </c>
      <c r="AB8846" s="37">
        <v>1.7286259925102907</v>
      </c>
      <c r="AC8846" s="37">
        <v>2.7752803782071704</v>
      </c>
      <c r="AD8846" s="37">
        <v>3.4004688773334562</v>
      </c>
    </row>
    <row r="8847" spans="27:30" x14ac:dyDescent="0.3">
      <c r="AA8847" s="37">
        <v>8827</v>
      </c>
      <c r="AB8847" s="37">
        <v>1.8993261390318852</v>
      </c>
      <c r="AC8847" s="37">
        <v>2.7396888438254905</v>
      </c>
      <c r="AD8847" s="37">
        <v>3.0912852871046996</v>
      </c>
    </row>
    <row r="8848" spans="27:30" x14ac:dyDescent="0.3">
      <c r="AA8848" s="37">
        <v>8828</v>
      </c>
      <c r="AB8848" s="37">
        <v>1.7610443160388576</v>
      </c>
      <c r="AC8848" s="37">
        <v>2.884712409644294</v>
      </c>
      <c r="AD8848" s="37">
        <v>3.0975515084625558</v>
      </c>
    </row>
    <row r="8849" spans="27:30" x14ac:dyDescent="0.3">
      <c r="AA8849" s="37">
        <v>8829</v>
      </c>
      <c r="AB8849" s="37">
        <v>1.8738800721133326</v>
      </c>
      <c r="AC8849" s="37">
        <v>2.8124617286859812</v>
      </c>
      <c r="AD8849" s="37">
        <v>3.3675472884134767</v>
      </c>
    </row>
    <row r="8850" spans="27:30" x14ac:dyDescent="0.3">
      <c r="AA8850" s="37">
        <v>8830</v>
      </c>
      <c r="AB8850" s="37">
        <v>1.8359985062197217</v>
      </c>
      <c r="AC8850" s="37">
        <v>2.73015184967455</v>
      </c>
      <c r="AD8850" s="37">
        <v>3.2716821397804279</v>
      </c>
    </row>
    <row r="8851" spans="27:30" x14ac:dyDescent="0.3">
      <c r="AA8851" s="37">
        <v>8831</v>
      </c>
      <c r="AB8851" s="37">
        <v>1.8071032397217475</v>
      </c>
      <c r="AC8851" s="37">
        <v>2.8577967049024657</v>
      </c>
      <c r="AD8851" s="37">
        <v>3.5108179012747214</v>
      </c>
    </row>
    <row r="8852" spans="27:30" x14ac:dyDescent="0.3">
      <c r="AA8852" s="37">
        <v>8832</v>
      </c>
      <c r="AB8852" s="37">
        <v>1.683621216967681</v>
      </c>
      <c r="AC8852" s="37">
        <v>2.8166247298484741</v>
      </c>
      <c r="AD8852" s="37">
        <v>3.5662012083107775</v>
      </c>
    </row>
    <row r="8853" spans="27:30" x14ac:dyDescent="0.3">
      <c r="AA8853" s="37">
        <v>8833</v>
      </c>
      <c r="AB8853" s="37">
        <v>1.8436887662665498</v>
      </c>
      <c r="AC8853" s="37">
        <v>2.8123970200110486</v>
      </c>
      <c r="AD8853" s="37">
        <v>3.4194247447449877</v>
      </c>
    </row>
    <row r="8854" spans="27:30" x14ac:dyDescent="0.3">
      <c r="AA8854" s="37">
        <v>8834</v>
      </c>
      <c r="AB8854" s="37">
        <v>1.7922215051717423</v>
      </c>
      <c r="AC8854" s="37">
        <v>2.6878970288734889</v>
      </c>
      <c r="AD8854" s="37">
        <v>3.2919065433908989</v>
      </c>
    </row>
    <row r="8855" spans="27:30" x14ac:dyDescent="0.3">
      <c r="AA8855" s="37">
        <v>8835</v>
      </c>
      <c r="AB8855" s="37">
        <v>1.8783844963950216</v>
      </c>
      <c r="AC8855" s="37">
        <v>2.7320460468507588</v>
      </c>
      <c r="AD8855" s="37">
        <v>3.4719707566022797</v>
      </c>
    </row>
    <row r="8856" spans="27:30" x14ac:dyDescent="0.3">
      <c r="AA8856" s="37">
        <v>8836</v>
      </c>
      <c r="AB8856" s="37">
        <v>1.7597990138036548</v>
      </c>
      <c r="AC8856" s="37">
        <v>2.9732395037672363</v>
      </c>
      <c r="AD8856" s="37">
        <v>3.3098155523364992</v>
      </c>
    </row>
    <row r="8857" spans="27:30" x14ac:dyDescent="0.3">
      <c r="AA8857" s="37">
        <v>8837</v>
      </c>
      <c r="AB8857" s="37">
        <v>1.7359446213241765</v>
      </c>
      <c r="AC8857" s="37">
        <v>2.7558970590534555</v>
      </c>
      <c r="AD8857" s="37">
        <v>3.2989935241734307</v>
      </c>
    </row>
    <row r="8858" spans="27:30" x14ac:dyDescent="0.3">
      <c r="AA8858" s="37">
        <v>8838</v>
      </c>
      <c r="AB8858" s="37">
        <v>1.7004407219041648</v>
      </c>
      <c r="AC8858" s="37">
        <v>2.8414654130592845</v>
      </c>
      <c r="AD8858" s="37">
        <v>3.3318450315710924</v>
      </c>
    </row>
    <row r="8859" spans="27:30" x14ac:dyDescent="0.3">
      <c r="AA8859" s="37">
        <v>8839</v>
      </c>
      <c r="AB8859" s="37">
        <v>1.7033523271784898</v>
      </c>
      <c r="AC8859" s="37">
        <v>3.0163003438464027</v>
      </c>
      <c r="AD8859" s="37">
        <v>3.207525523396181</v>
      </c>
    </row>
    <row r="8860" spans="27:30" x14ac:dyDescent="0.3">
      <c r="AA8860" s="37">
        <v>8840</v>
      </c>
      <c r="AB8860" s="37">
        <v>1.7238732052013626</v>
      </c>
      <c r="AC8860" s="37">
        <v>2.7947317758975112</v>
      </c>
      <c r="AD8860" s="37">
        <v>3.1555436947819158</v>
      </c>
    </row>
    <row r="8861" spans="27:30" x14ac:dyDescent="0.3">
      <c r="AA8861" s="37">
        <v>8841</v>
      </c>
      <c r="AB8861" s="37">
        <v>1.6941247665683734</v>
      </c>
      <c r="AC8861" s="37">
        <v>2.8627075217809601</v>
      </c>
      <c r="AD8861" s="37">
        <v>3.4137528534377162</v>
      </c>
    </row>
    <row r="8862" spans="27:30" x14ac:dyDescent="0.3">
      <c r="AA8862" s="37">
        <v>8842</v>
      </c>
      <c r="AB8862" s="37">
        <v>1.8333725314366331</v>
      </c>
      <c r="AC8862" s="37">
        <v>2.8937043261959339</v>
      </c>
      <c r="AD8862" s="37">
        <v>3.5081441294740854</v>
      </c>
    </row>
    <row r="8863" spans="27:30" x14ac:dyDescent="0.3">
      <c r="AA8863" s="37">
        <v>8843</v>
      </c>
      <c r="AB8863" s="37">
        <v>1.7884388199111487</v>
      </c>
      <c r="AC8863" s="37">
        <v>2.8057806304706299</v>
      </c>
      <c r="AD8863" s="37">
        <v>3.3128266299423683</v>
      </c>
    </row>
    <row r="8864" spans="27:30" x14ac:dyDescent="0.3">
      <c r="AA8864" s="37">
        <v>8844</v>
      </c>
      <c r="AB8864" s="37">
        <v>1.7872262377088837</v>
      </c>
      <c r="AC8864" s="37">
        <v>2.9475447419222971</v>
      </c>
      <c r="AD8864" s="37">
        <v>3.3296189806425143</v>
      </c>
    </row>
    <row r="8865" spans="27:30" x14ac:dyDescent="0.3">
      <c r="AA8865" s="37">
        <v>8845</v>
      </c>
      <c r="AB8865" s="37">
        <v>1.6956566176824421</v>
      </c>
      <c r="AC8865" s="37">
        <v>2.9638510148976214</v>
      </c>
      <c r="AD8865" s="37">
        <v>3.3531085578900695</v>
      </c>
    </row>
    <row r="8866" spans="27:30" x14ac:dyDescent="0.3">
      <c r="AA8866" s="37">
        <v>8846</v>
      </c>
      <c r="AB8866" s="37">
        <v>1.7794563277242181</v>
      </c>
      <c r="AC8866" s="37">
        <v>2.7478694756797135</v>
      </c>
      <c r="AD8866" s="37">
        <v>3.2582774264554693</v>
      </c>
    </row>
    <row r="8867" spans="27:30" x14ac:dyDescent="0.3">
      <c r="AA8867" s="37">
        <v>8847</v>
      </c>
      <c r="AB8867" s="37">
        <v>1.7930152269200483</v>
      </c>
      <c r="AC8867" s="37">
        <v>2.8977421738246218</v>
      </c>
      <c r="AD8867" s="37">
        <v>3.7301978193223957</v>
      </c>
    </row>
    <row r="8868" spans="27:30" x14ac:dyDescent="0.3">
      <c r="AA8868" s="37">
        <v>8848</v>
      </c>
      <c r="AB8868" s="37">
        <v>1.7508446128020265</v>
      </c>
      <c r="AC8868" s="37">
        <v>2.8609944091701944</v>
      </c>
      <c r="AD8868" s="37">
        <v>3.3353779191276058</v>
      </c>
    </row>
    <row r="8869" spans="27:30" x14ac:dyDescent="0.3">
      <c r="AA8869" s="37">
        <v>8849</v>
      </c>
      <c r="AB8869" s="37">
        <v>1.7013468780119516</v>
      </c>
      <c r="AC8869" s="37">
        <v>2.7881348779091946</v>
      </c>
      <c r="AD8869" s="37">
        <v>3.3226790378110285</v>
      </c>
    </row>
    <row r="8870" spans="27:30" x14ac:dyDescent="0.3">
      <c r="AA8870" s="37">
        <v>8850</v>
      </c>
      <c r="AB8870" s="37">
        <v>1.7867536600179601</v>
      </c>
      <c r="AC8870" s="37">
        <v>2.8428814479448516</v>
      </c>
      <c r="AD8870" s="37">
        <v>3.4006102270581331</v>
      </c>
    </row>
    <row r="8871" spans="27:30" x14ac:dyDescent="0.3">
      <c r="AA8871" s="37">
        <v>8851</v>
      </c>
      <c r="AB8871" s="37">
        <v>1.765064647032526</v>
      </c>
      <c r="AC8871" s="37">
        <v>2.8672704049162423</v>
      </c>
      <c r="AD8871" s="37">
        <v>3.2119005393260047</v>
      </c>
    </row>
    <row r="8872" spans="27:30" x14ac:dyDescent="0.3">
      <c r="AA8872" s="37">
        <v>8852</v>
      </c>
      <c r="AB8872" s="37">
        <v>1.7851377260284194</v>
      </c>
      <c r="AC8872" s="37">
        <v>2.8195903683532335</v>
      </c>
      <c r="AD8872" s="37">
        <v>3.521935220707888</v>
      </c>
    </row>
    <row r="8873" spans="27:30" x14ac:dyDescent="0.3">
      <c r="AA8873" s="37">
        <v>8853</v>
      </c>
      <c r="AB8873" s="37">
        <v>1.8002098741751245</v>
      </c>
      <c r="AC8873" s="37">
        <v>2.8894230560920278</v>
      </c>
      <c r="AD8873" s="37">
        <v>3.3318300231858515</v>
      </c>
    </row>
    <row r="8874" spans="27:30" x14ac:dyDescent="0.3">
      <c r="AA8874" s="37">
        <v>8854</v>
      </c>
      <c r="AB8874" s="37">
        <v>1.8088830466689807</v>
      </c>
      <c r="AC8874" s="37">
        <v>2.9657694001637802</v>
      </c>
      <c r="AD8874" s="37">
        <v>3.203329247312201</v>
      </c>
    </row>
    <row r="8875" spans="27:30" x14ac:dyDescent="0.3">
      <c r="AA8875" s="37">
        <v>8855</v>
      </c>
      <c r="AB8875" s="37">
        <v>1.8029139449104541</v>
      </c>
      <c r="AC8875" s="37">
        <v>2.9718798829591728</v>
      </c>
      <c r="AD8875" s="37">
        <v>2.9902638256298815</v>
      </c>
    </row>
    <row r="8876" spans="27:30" x14ac:dyDescent="0.3">
      <c r="AA8876" s="37">
        <v>8856</v>
      </c>
      <c r="AB8876" s="37">
        <v>1.7224298323957474</v>
      </c>
      <c r="AC8876" s="37">
        <v>2.7339255628138002</v>
      </c>
      <c r="AD8876" s="37">
        <v>3.3013299404254686</v>
      </c>
    </row>
    <row r="8877" spans="27:30" x14ac:dyDescent="0.3">
      <c r="AA8877" s="37">
        <v>8857</v>
      </c>
      <c r="AB8877" s="37">
        <v>1.7741068715294763</v>
      </c>
      <c r="AC8877" s="37">
        <v>2.9338824455218768</v>
      </c>
      <c r="AD8877" s="37">
        <v>3.5201317528160851</v>
      </c>
    </row>
    <row r="8878" spans="27:30" x14ac:dyDescent="0.3">
      <c r="AA8878" s="37">
        <v>8858</v>
      </c>
      <c r="AB8878" s="37">
        <v>1.7820487280533395</v>
      </c>
      <c r="AC8878" s="37">
        <v>2.8322622200668417</v>
      </c>
      <c r="AD8878" s="37">
        <v>3.177084593822074</v>
      </c>
    </row>
    <row r="8879" spans="27:30" x14ac:dyDescent="0.3">
      <c r="AA8879" s="37">
        <v>8859</v>
      </c>
      <c r="AB8879" s="37">
        <v>1.8359290655773668</v>
      </c>
      <c r="AC8879" s="37">
        <v>2.8490121906897721</v>
      </c>
      <c r="AD8879" s="37">
        <v>3.4722966096603054</v>
      </c>
    </row>
    <row r="8880" spans="27:30" x14ac:dyDescent="0.3">
      <c r="AA8880" s="37">
        <v>8860</v>
      </c>
      <c r="AB8880" s="37">
        <v>1.8572836374134571</v>
      </c>
      <c r="AC8880" s="37">
        <v>2.8120085220795716</v>
      </c>
      <c r="AD8880" s="37">
        <v>3.3764275132735722</v>
      </c>
    </row>
    <row r="8881" spans="27:30" x14ac:dyDescent="0.3">
      <c r="AA8881" s="37">
        <v>8861</v>
      </c>
      <c r="AB8881" s="37">
        <v>1.7238044686532326</v>
      </c>
      <c r="AC8881" s="37">
        <v>2.6000937350869138</v>
      </c>
      <c r="AD8881" s="37">
        <v>3.2380732963600036</v>
      </c>
    </row>
    <row r="8882" spans="27:30" x14ac:dyDescent="0.3">
      <c r="AA8882" s="37">
        <v>8862</v>
      </c>
      <c r="AB8882" s="37">
        <v>1.6561008400671278</v>
      </c>
      <c r="AC8882" s="37">
        <v>3.0077110561194442</v>
      </c>
      <c r="AD8882" s="37">
        <v>3.2597553188200199</v>
      </c>
    </row>
    <row r="8883" spans="27:30" x14ac:dyDescent="0.3">
      <c r="AA8883" s="37">
        <v>8863</v>
      </c>
      <c r="AB8883" s="37">
        <v>1.7721832824429555</v>
      </c>
      <c r="AC8883" s="37">
        <v>2.7674619522735524</v>
      </c>
      <c r="AD8883" s="37">
        <v>3.3742539560590301</v>
      </c>
    </row>
    <row r="8884" spans="27:30" x14ac:dyDescent="0.3">
      <c r="AA8884" s="37">
        <v>8864</v>
      </c>
      <c r="AB8884" s="37">
        <v>1.6114254598439421</v>
      </c>
      <c r="AC8884" s="37">
        <v>2.852285057130318</v>
      </c>
      <c r="AD8884" s="37">
        <v>3.2152392068218214</v>
      </c>
    </row>
    <row r="8885" spans="27:30" x14ac:dyDescent="0.3">
      <c r="AA8885" s="37">
        <v>8865</v>
      </c>
      <c r="AB8885" s="37">
        <v>1.6924847657801481</v>
      </c>
      <c r="AC8885" s="37">
        <v>2.8330999504019116</v>
      </c>
      <c r="AD8885" s="37">
        <v>3.3559229849020076</v>
      </c>
    </row>
    <row r="8886" spans="27:30" x14ac:dyDescent="0.3">
      <c r="AA8886" s="37">
        <v>8866</v>
      </c>
      <c r="AB8886" s="37">
        <v>1.7477617107719865</v>
      </c>
      <c r="AC8886" s="37">
        <v>2.91192765425733</v>
      </c>
      <c r="AD8886" s="37">
        <v>3.329992476409152</v>
      </c>
    </row>
    <row r="8887" spans="27:30" x14ac:dyDescent="0.3">
      <c r="AA8887" s="37">
        <v>8867</v>
      </c>
      <c r="AB8887" s="37">
        <v>1.8161019176214022</v>
      </c>
      <c r="AC8887" s="37">
        <v>2.8683298159176274</v>
      </c>
      <c r="AD8887" s="37">
        <v>3.2365519271395535</v>
      </c>
    </row>
    <row r="8888" spans="27:30" x14ac:dyDescent="0.3">
      <c r="AA8888" s="37">
        <v>8868</v>
      </c>
      <c r="AB8888" s="37">
        <v>1.803668232357001</v>
      </c>
      <c r="AC8888" s="37">
        <v>2.9235533135304816</v>
      </c>
      <c r="AD8888" s="37">
        <v>3.3855097309683448</v>
      </c>
    </row>
    <row r="8889" spans="27:30" x14ac:dyDescent="0.3">
      <c r="AA8889" s="37">
        <v>8869</v>
      </c>
      <c r="AB8889" s="37">
        <v>1.8471102946292337</v>
      </c>
      <c r="AC8889" s="37">
        <v>2.7753059456561386</v>
      </c>
      <c r="AD8889" s="37">
        <v>3.4709560339879415</v>
      </c>
    </row>
    <row r="8890" spans="27:30" x14ac:dyDescent="0.3">
      <c r="AA8890" s="37">
        <v>8870</v>
      </c>
      <c r="AB8890" s="37">
        <v>1.7675282390413796</v>
      </c>
      <c r="AC8890" s="37">
        <v>2.7987490113949534</v>
      </c>
      <c r="AD8890" s="37">
        <v>3.6933693797860605</v>
      </c>
    </row>
    <row r="8891" spans="27:30" x14ac:dyDescent="0.3">
      <c r="AA8891" s="37">
        <v>8871</v>
      </c>
      <c r="AB8891" s="37">
        <v>1.7796938502361437</v>
      </c>
      <c r="AC8891" s="37">
        <v>2.8674558083689972</v>
      </c>
      <c r="AD8891" s="37">
        <v>3.4368041342451869</v>
      </c>
    </row>
    <row r="8892" spans="27:30" x14ac:dyDescent="0.3">
      <c r="AA8892" s="37">
        <v>8872</v>
      </c>
      <c r="AB8892" s="37">
        <v>1.7887637274916737</v>
      </c>
      <c r="AC8892" s="37">
        <v>2.9467948679147016</v>
      </c>
      <c r="AD8892" s="37">
        <v>3.2137852617357168</v>
      </c>
    </row>
    <row r="8893" spans="27:30" x14ac:dyDescent="0.3">
      <c r="AA8893" s="37">
        <v>8873</v>
      </c>
      <c r="AB8893" s="37">
        <v>1.7311911819343897</v>
      </c>
      <c r="AC8893" s="37">
        <v>2.8906575470049134</v>
      </c>
      <c r="AD8893" s="37">
        <v>3.2595917450551317</v>
      </c>
    </row>
    <row r="8894" spans="27:30" x14ac:dyDescent="0.3">
      <c r="AA8894" s="37">
        <v>8874</v>
      </c>
      <c r="AB8894" s="37">
        <v>1.8066680211608523</v>
      </c>
      <c r="AC8894" s="37">
        <v>2.7894340213770699</v>
      </c>
      <c r="AD8894" s="37">
        <v>3.2477976822188728</v>
      </c>
    </row>
    <row r="8895" spans="27:30" x14ac:dyDescent="0.3">
      <c r="AA8895" s="37">
        <v>8875</v>
      </c>
      <c r="AB8895" s="37">
        <v>1.6593962549233556</v>
      </c>
      <c r="AC8895" s="37">
        <v>2.8990210488459778</v>
      </c>
      <c r="AD8895" s="37">
        <v>3.3018301485040054</v>
      </c>
    </row>
    <row r="8896" spans="27:30" x14ac:dyDescent="0.3">
      <c r="AA8896" s="37">
        <v>8876</v>
      </c>
      <c r="AB8896" s="37">
        <v>1.704435792079984</v>
      </c>
      <c r="AC8896" s="37">
        <v>2.7247626661850415</v>
      </c>
      <c r="AD8896" s="37">
        <v>3.3064896888700432</v>
      </c>
    </row>
    <row r="8897" spans="27:30" x14ac:dyDescent="0.3">
      <c r="AA8897" s="37">
        <v>8877</v>
      </c>
      <c r="AB8897" s="37">
        <v>1.7973806216944714</v>
      </c>
      <c r="AC8897" s="37">
        <v>2.7605295937167393</v>
      </c>
      <c r="AD8897" s="37">
        <v>3.2846263860792635</v>
      </c>
    </row>
    <row r="8898" spans="27:30" x14ac:dyDescent="0.3">
      <c r="AA8898" s="37">
        <v>8878</v>
      </c>
      <c r="AB8898" s="37">
        <v>1.9079073157894246</v>
      </c>
      <c r="AC8898" s="37">
        <v>2.7024569637591473</v>
      </c>
      <c r="AD8898" s="37">
        <v>3.2478157217327759</v>
      </c>
    </row>
    <row r="8899" spans="27:30" x14ac:dyDescent="0.3">
      <c r="AA8899" s="37">
        <v>8879</v>
      </c>
      <c r="AB8899" s="37">
        <v>1.7807226734874149</v>
      </c>
      <c r="AC8899" s="37">
        <v>2.9759386978681905</v>
      </c>
      <c r="AD8899" s="37">
        <v>3.3772568339444127</v>
      </c>
    </row>
    <row r="8900" spans="27:30" x14ac:dyDescent="0.3">
      <c r="AA8900" s="37">
        <v>8880</v>
      </c>
      <c r="AB8900" s="37">
        <v>1.8061497048119461</v>
      </c>
      <c r="AC8900" s="37">
        <v>2.8653326625772841</v>
      </c>
      <c r="AD8900" s="37">
        <v>3.3802433930521678</v>
      </c>
    </row>
    <row r="8901" spans="27:30" x14ac:dyDescent="0.3">
      <c r="AA8901" s="37">
        <v>8881</v>
      </c>
      <c r="AB8901" s="37">
        <v>1.7548147132739571</v>
      </c>
      <c r="AC8901" s="37">
        <v>2.8639171508334424</v>
      </c>
      <c r="AD8901" s="37">
        <v>3.2881527891827065</v>
      </c>
    </row>
    <row r="8902" spans="27:30" x14ac:dyDescent="0.3">
      <c r="AA8902" s="37">
        <v>8882</v>
      </c>
      <c r="AB8902" s="37">
        <v>1.6893613203594995</v>
      </c>
      <c r="AC8902" s="37">
        <v>3.0065945113671391</v>
      </c>
      <c r="AD8902" s="37">
        <v>3.3902894156106465</v>
      </c>
    </row>
    <row r="8903" spans="27:30" x14ac:dyDescent="0.3">
      <c r="AA8903" s="37">
        <v>8883</v>
      </c>
      <c r="AB8903" s="37">
        <v>1.7908691985844485</v>
      </c>
      <c r="AC8903" s="37">
        <v>2.6590380264251197</v>
      </c>
      <c r="AD8903" s="37">
        <v>3.3700074597943006</v>
      </c>
    </row>
    <row r="8904" spans="27:30" x14ac:dyDescent="0.3">
      <c r="AA8904" s="37">
        <v>8884</v>
      </c>
      <c r="AB8904" s="37">
        <v>1.7414740760792169</v>
      </c>
      <c r="AC8904" s="37">
        <v>2.8502874013523822</v>
      </c>
      <c r="AD8904" s="37">
        <v>3.3816674334048793</v>
      </c>
    </row>
    <row r="8905" spans="27:30" x14ac:dyDescent="0.3">
      <c r="AA8905" s="37">
        <v>8885</v>
      </c>
      <c r="AB8905" s="37">
        <v>1.7583222556497622</v>
      </c>
      <c r="AC8905" s="37">
        <v>3.0054086160327316</v>
      </c>
      <c r="AD8905" s="37">
        <v>3.4354618048505459</v>
      </c>
    </row>
    <row r="8906" spans="27:30" x14ac:dyDescent="0.3">
      <c r="AA8906" s="37">
        <v>8886</v>
      </c>
      <c r="AB8906" s="37">
        <v>1.7677570867162864</v>
      </c>
      <c r="AC8906" s="37">
        <v>2.8041911956266139</v>
      </c>
      <c r="AD8906" s="37">
        <v>3.4761144821929637</v>
      </c>
    </row>
    <row r="8907" spans="27:30" x14ac:dyDescent="0.3">
      <c r="AA8907" s="37">
        <v>8887</v>
      </c>
      <c r="AB8907" s="37">
        <v>1.7257694461039086</v>
      </c>
      <c r="AC8907" s="37">
        <v>2.7964229676069459</v>
      </c>
      <c r="AD8907" s="37">
        <v>3.5096218321345813</v>
      </c>
    </row>
    <row r="8908" spans="27:30" x14ac:dyDescent="0.3">
      <c r="AA8908" s="37">
        <v>8888</v>
      </c>
      <c r="AB8908" s="37">
        <v>1.7946492316076534</v>
      </c>
      <c r="AC8908" s="37">
        <v>3.0116406908232909</v>
      </c>
      <c r="AD8908" s="37">
        <v>3.2852633039178367</v>
      </c>
    </row>
    <row r="8909" spans="27:30" x14ac:dyDescent="0.3">
      <c r="AA8909" s="37">
        <v>8889</v>
      </c>
      <c r="AB8909" s="37">
        <v>1.908427022069908</v>
      </c>
      <c r="AC8909" s="37">
        <v>2.922453596942904</v>
      </c>
      <c r="AD8909" s="37">
        <v>3.229374586121522</v>
      </c>
    </row>
    <row r="8910" spans="27:30" x14ac:dyDescent="0.3">
      <c r="AA8910" s="37">
        <v>8890</v>
      </c>
      <c r="AB8910" s="37">
        <v>1.750620717469912</v>
      </c>
      <c r="AC8910" s="37">
        <v>2.816663264191527</v>
      </c>
      <c r="AD8910" s="37">
        <v>3.1842420877487316</v>
      </c>
    </row>
    <row r="8911" spans="27:30" x14ac:dyDescent="0.3">
      <c r="AA8911" s="37">
        <v>8891</v>
      </c>
      <c r="AB8911" s="37">
        <v>1.7975062143247968</v>
      </c>
      <c r="AC8911" s="37">
        <v>2.7899370766708032</v>
      </c>
      <c r="AD8911" s="37">
        <v>3.376778821044744</v>
      </c>
    </row>
    <row r="8912" spans="27:30" x14ac:dyDescent="0.3">
      <c r="AA8912" s="37">
        <v>8892</v>
      </c>
      <c r="AB8912" s="37">
        <v>1.6578309095634467</v>
      </c>
      <c r="AC8912" s="37">
        <v>2.6292808176921345</v>
      </c>
      <c r="AD8912" s="37">
        <v>3.491753574780093</v>
      </c>
    </row>
    <row r="8913" spans="27:30" x14ac:dyDescent="0.3">
      <c r="AA8913" s="37">
        <v>8893</v>
      </c>
      <c r="AB8913" s="37">
        <v>1.7651376534819192</v>
      </c>
      <c r="AC8913" s="37">
        <v>2.6832953037059815</v>
      </c>
      <c r="AD8913" s="37">
        <v>3.3291801061619113</v>
      </c>
    </row>
    <row r="8914" spans="27:30" x14ac:dyDescent="0.3">
      <c r="AA8914" s="37">
        <v>8894</v>
      </c>
      <c r="AB8914" s="37">
        <v>1.8811315787078302</v>
      </c>
      <c r="AC8914" s="37">
        <v>2.883008247538394</v>
      </c>
      <c r="AD8914" s="37">
        <v>3.3303766253020903</v>
      </c>
    </row>
    <row r="8915" spans="27:30" x14ac:dyDescent="0.3">
      <c r="AA8915" s="37">
        <v>8895</v>
      </c>
      <c r="AB8915" s="37">
        <v>1.796814534910403</v>
      </c>
      <c r="AC8915" s="37">
        <v>2.7673658800609942</v>
      </c>
      <c r="AD8915" s="37">
        <v>3.2632787704211261</v>
      </c>
    </row>
    <row r="8916" spans="27:30" x14ac:dyDescent="0.3">
      <c r="AA8916" s="37">
        <v>8896</v>
      </c>
      <c r="AB8916" s="37">
        <v>1.9031270628115335</v>
      </c>
      <c r="AC8916" s="37">
        <v>2.8404043201892417</v>
      </c>
      <c r="AD8916" s="37">
        <v>3.1874201200829457</v>
      </c>
    </row>
    <row r="8917" spans="27:30" x14ac:dyDescent="0.3">
      <c r="AA8917" s="37">
        <v>8897</v>
      </c>
      <c r="AB8917" s="37">
        <v>1.8378370938874957</v>
      </c>
      <c r="AC8917" s="37">
        <v>2.8549957510220016</v>
      </c>
      <c r="AD8917" s="37">
        <v>3.4111817209333766</v>
      </c>
    </row>
    <row r="8918" spans="27:30" x14ac:dyDescent="0.3">
      <c r="AA8918" s="37">
        <v>8898</v>
      </c>
      <c r="AB8918" s="37">
        <v>1.8386483947454693</v>
      </c>
      <c r="AC8918" s="37">
        <v>2.8456165546326768</v>
      </c>
      <c r="AD8918" s="37">
        <v>3.2241015984124233</v>
      </c>
    </row>
    <row r="8919" spans="27:30" x14ac:dyDescent="0.3">
      <c r="AA8919" s="37">
        <v>8899</v>
      </c>
      <c r="AB8919" s="37">
        <v>1.7762719376856047</v>
      </c>
      <c r="AC8919" s="37">
        <v>2.8106401905330056</v>
      </c>
      <c r="AD8919" s="37">
        <v>3.1550990321593853</v>
      </c>
    </row>
    <row r="8920" spans="27:30" x14ac:dyDescent="0.3">
      <c r="AA8920" s="37">
        <v>8900</v>
      </c>
      <c r="AB8920" s="37">
        <v>1.8322847096682335</v>
      </c>
      <c r="AC8920" s="37">
        <v>2.7825265981833023</v>
      </c>
      <c r="AD8920" s="37">
        <v>3.3016235287694053</v>
      </c>
    </row>
    <row r="8921" spans="27:30" x14ac:dyDescent="0.3">
      <c r="AA8921" s="37">
        <v>8901</v>
      </c>
      <c r="AB8921" s="37">
        <v>1.7099422156286745</v>
      </c>
      <c r="AC8921" s="37">
        <v>2.7782321593699031</v>
      </c>
      <c r="AD8921" s="37">
        <v>3.4107334098651783</v>
      </c>
    </row>
    <row r="8922" spans="27:30" x14ac:dyDescent="0.3">
      <c r="AA8922" s="37">
        <v>8902</v>
      </c>
      <c r="AB8922" s="37">
        <v>1.7649612690412411</v>
      </c>
      <c r="AC8922" s="37">
        <v>2.9863596594757058</v>
      </c>
      <c r="AD8922" s="37">
        <v>3.4442611835495494</v>
      </c>
    </row>
    <row r="8923" spans="27:30" x14ac:dyDescent="0.3">
      <c r="AA8923" s="37">
        <v>8903</v>
      </c>
      <c r="AB8923" s="37">
        <v>1.7032520590675104</v>
      </c>
      <c r="AC8923" s="37">
        <v>2.8164575642817056</v>
      </c>
      <c r="AD8923" s="37">
        <v>3.1836973997884677</v>
      </c>
    </row>
    <row r="8924" spans="27:30" x14ac:dyDescent="0.3">
      <c r="AA8924" s="37">
        <v>8904</v>
      </c>
      <c r="AB8924" s="37">
        <v>1.7732774109723335</v>
      </c>
      <c r="AC8924" s="37">
        <v>2.8500314282176231</v>
      </c>
      <c r="AD8924" s="37">
        <v>3.3579530953294916</v>
      </c>
    </row>
    <row r="8925" spans="27:30" x14ac:dyDescent="0.3">
      <c r="AA8925" s="37">
        <v>8905</v>
      </c>
      <c r="AB8925" s="37">
        <v>1.7657849060641022</v>
      </c>
      <c r="AC8925" s="37">
        <v>2.9330457252187525</v>
      </c>
      <c r="AD8925" s="37">
        <v>3.3680538152975723</v>
      </c>
    </row>
    <row r="8926" spans="27:30" x14ac:dyDescent="0.3">
      <c r="AA8926" s="37">
        <v>8906</v>
      </c>
      <c r="AB8926" s="37">
        <v>1.876089310599</v>
      </c>
      <c r="AC8926" s="37">
        <v>2.8981003713598024</v>
      </c>
      <c r="AD8926" s="37">
        <v>3.635651445743517</v>
      </c>
    </row>
    <row r="8927" spans="27:30" x14ac:dyDescent="0.3">
      <c r="AA8927" s="37">
        <v>8907</v>
      </c>
      <c r="AB8927" s="37">
        <v>1.8521654342923617</v>
      </c>
      <c r="AC8927" s="37">
        <v>2.7584682857821488</v>
      </c>
      <c r="AD8927" s="37">
        <v>3.4397116790237958</v>
      </c>
    </row>
    <row r="8928" spans="27:30" x14ac:dyDescent="0.3">
      <c r="AA8928" s="37">
        <v>8908</v>
      </c>
      <c r="AB8928" s="37">
        <v>1.8143822229130087</v>
      </c>
      <c r="AC8928" s="37">
        <v>2.9926980620492434</v>
      </c>
      <c r="AD8928" s="37">
        <v>3.2734116606897019</v>
      </c>
    </row>
    <row r="8929" spans="27:30" x14ac:dyDescent="0.3">
      <c r="AA8929" s="37">
        <v>8909</v>
      </c>
      <c r="AB8929" s="37">
        <v>1.7365908948371414</v>
      </c>
      <c r="AC8929" s="37">
        <v>2.831235314044569</v>
      </c>
      <c r="AD8929" s="37">
        <v>3.3831548646517846</v>
      </c>
    </row>
    <row r="8930" spans="27:30" x14ac:dyDescent="0.3">
      <c r="AA8930" s="37">
        <v>8910</v>
      </c>
      <c r="AB8930" s="37">
        <v>1.8539414997040118</v>
      </c>
      <c r="AC8930" s="37">
        <v>2.8954796039155015</v>
      </c>
      <c r="AD8930" s="37">
        <v>3.3646768865581644</v>
      </c>
    </row>
    <row r="8931" spans="27:30" x14ac:dyDescent="0.3">
      <c r="AA8931" s="37">
        <v>8911</v>
      </c>
      <c r="AB8931" s="37">
        <v>1.7856215653717926</v>
      </c>
      <c r="AC8931" s="37">
        <v>2.8378317337393195</v>
      </c>
      <c r="AD8931" s="37">
        <v>3.3419870946775379</v>
      </c>
    </row>
    <row r="8932" spans="27:30" x14ac:dyDescent="0.3">
      <c r="AA8932" s="37">
        <v>8912</v>
      </c>
      <c r="AB8932" s="37">
        <v>1.7647866002504973</v>
      </c>
      <c r="AC8932" s="37">
        <v>2.6455357101604826</v>
      </c>
      <c r="AD8932" s="37">
        <v>3.1653397164625376</v>
      </c>
    </row>
    <row r="8933" spans="27:30" x14ac:dyDescent="0.3">
      <c r="AA8933" s="37">
        <v>8913</v>
      </c>
      <c r="AB8933" s="37">
        <v>1.7054995547212342</v>
      </c>
      <c r="AC8933" s="37">
        <v>2.7814276079760414</v>
      </c>
      <c r="AD8933" s="37">
        <v>3.2828406127838603</v>
      </c>
    </row>
    <row r="8934" spans="27:30" x14ac:dyDescent="0.3">
      <c r="AA8934" s="37">
        <v>8914</v>
      </c>
      <c r="AB8934" s="37">
        <v>1.7408211578651211</v>
      </c>
      <c r="AC8934" s="37">
        <v>2.8737353296440102</v>
      </c>
      <c r="AD8934" s="37">
        <v>3.366152488812411</v>
      </c>
    </row>
    <row r="8935" spans="27:30" x14ac:dyDescent="0.3">
      <c r="AA8935" s="37">
        <v>8915</v>
      </c>
      <c r="AB8935" s="37">
        <v>1.8936308991629984</v>
      </c>
      <c r="AC8935" s="37">
        <v>2.6915893213249569</v>
      </c>
      <c r="AD8935" s="37">
        <v>3.3731307294718036</v>
      </c>
    </row>
    <row r="8936" spans="27:30" x14ac:dyDescent="0.3">
      <c r="AA8936" s="37">
        <v>8916</v>
      </c>
      <c r="AB8936" s="37">
        <v>1.7397161537478036</v>
      </c>
      <c r="AC8936" s="37">
        <v>2.7496844243619805</v>
      </c>
      <c r="AD8936" s="37">
        <v>3.4009357031544578</v>
      </c>
    </row>
    <row r="8937" spans="27:30" x14ac:dyDescent="0.3">
      <c r="AA8937" s="37">
        <v>8917</v>
      </c>
      <c r="AB8937" s="37">
        <v>1.7447681550773089</v>
      </c>
      <c r="AC8937" s="37">
        <v>2.7894192025311804</v>
      </c>
      <c r="AD8937" s="37">
        <v>3.2265546412286907</v>
      </c>
    </row>
    <row r="8938" spans="27:30" x14ac:dyDescent="0.3">
      <c r="AA8938" s="37">
        <v>8918</v>
      </c>
      <c r="AB8938" s="37">
        <v>1.7702808953465161</v>
      </c>
      <c r="AC8938" s="37">
        <v>2.8623602953253409</v>
      </c>
      <c r="AD8938" s="37">
        <v>3.2422882920987171</v>
      </c>
    </row>
    <row r="8939" spans="27:30" x14ac:dyDescent="0.3">
      <c r="AA8939" s="37">
        <v>8919</v>
      </c>
      <c r="AB8939" s="37">
        <v>1.7891149387914409</v>
      </c>
      <c r="AC8939" s="37">
        <v>2.9765309138770353</v>
      </c>
      <c r="AD8939" s="37">
        <v>3.124926924533181</v>
      </c>
    </row>
    <row r="8940" spans="27:30" x14ac:dyDescent="0.3">
      <c r="AA8940" s="37">
        <v>8920</v>
      </c>
      <c r="AB8940" s="37">
        <v>1.7521332578002946</v>
      </c>
      <c r="AC8940" s="37">
        <v>2.7969303658057556</v>
      </c>
      <c r="AD8940" s="37">
        <v>3.5436039209284007</v>
      </c>
    </row>
    <row r="8941" spans="27:30" x14ac:dyDescent="0.3">
      <c r="AA8941" s="37">
        <v>8921</v>
      </c>
      <c r="AB8941" s="37">
        <v>1.8161666897026105</v>
      </c>
      <c r="AC8941" s="37">
        <v>2.8173499071026673</v>
      </c>
      <c r="AD8941" s="37">
        <v>3.2830751346096201</v>
      </c>
    </row>
    <row r="8942" spans="27:30" x14ac:dyDescent="0.3">
      <c r="AA8942" s="37">
        <v>8922</v>
      </c>
      <c r="AB8942" s="37">
        <v>1.7780560319415897</v>
      </c>
      <c r="AC8942" s="37">
        <v>2.9145303379648508</v>
      </c>
      <c r="AD8942" s="37">
        <v>3.2490101582205</v>
      </c>
    </row>
    <row r="8943" spans="27:30" x14ac:dyDescent="0.3">
      <c r="AA8943" s="37">
        <v>8923</v>
      </c>
      <c r="AB8943" s="37">
        <v>1.8431686323557384</v>
      </c>
      <c r="AC8943" s="37">
        <v>2.7516112340848022</v>
      </c>
      <c r="AD8943" s="37">
        <v>3.3793681081269122</v>
      </c>
    </row>
    <row r="8944" spans="27:30" x14ac:dyDescent="0.3">
      <c r="AA8944" s="37">
        <v>8924</v>
      </c>
      <c r="AB8944" s="37">
        <v>1.8119194169720285</v>
      </c>
      <c r="AC8944" s="37">
        <v>2.891852447724423</v>
      </c>
      <c r="AD8944" s="37">
        <v>3.3058725513838585</v>
      </c>
    </row>
    <row r="8945" spans="27:30" x14ac:dyDescent="0.3">
      <c r="AA8945" s="37">
        <v>8925</v>
      </c>
      <c r="AB8945" s="37">
        <v>1.803205288440811</v>
      </c>
      <c r="AC8945" s="37">
        <v>2.9390741536890799</v>
      </c>
      <c r="AD8945" s="37">
        <v>3.381122914666963</v>
      </c>
    </row>
    <row r="8946" spans="27:30" x14ac:dyDescent="0.3">
      <c r="AA8946" s="37">
        <v>8926</v>
      </c>
      <c r="AB8946" s="37">
        <v>1.9131140495073145</v>
      </c>
      <c r="AC8946" s="37">
        <v>2.8178885806237379</v>
      </c>
      <c r="AD8946" s="37">
        <v>3.3648376216121765</v>
      </c>
    </row>
    <row r="8947" spans="27:30" x14ac:dyDescent="0.3">
      <c r="AA8947" s="37">
        <v>8927</v>
      </c>
      <c r="AB8947" s="37">
        <v>1.8099972859185944</v>
      </c>
      <c r="AC8947" s="37">
        <v>2.7332884069836223</v>
      </c>
      <c r="AD8947" s="37">
        <v>3.204822034156956</v>
      </c>
    </row>
    <row r="8948" spans="27:30" x14ac:dyDescent="0.3">
      <c r="AA8948" s="37">
        <v>8928</v>
      </c>
      <c r="AB8948" s="37">
        <v>1.8333515353642416</v>
      </c>
      <c r="AC8948" s="37">
        <v>2.9548262528940525</v>
      </c>
      <c r="AD8948" s="37">
        <v>3.2312499332149183</v>
      </c>
    </row>
    <row r="8949" spans="27:30" x14ac:dyDescent="0.3">
      <c r="AA8949" s="37">
        <v>8929</v>
      </c>
      <c r="AB8949" s="37">
        <v>1.7426530494348234</v>
      </c>
      <c r="AC8949" s="37">
        <v>2.8166124259214156</v>
      </c>
      <c r="AD8949" s="37">
        <v>3.2794160326598045</v>
      </c>
    </row>
    <row r="8950" spans="27:30" x14ac:dyDescent="0.3">
      <c r="AA8950" s="37">
        <v>8930</v>
      </c>
      <c r="AB8950" s="37">
        <v>1.7765759436414661</v>
      </c>
      <c r="AC8950" s="37">
        <v>2.820799660218881</v>
      </c>
      <c r="AD8950" s="37">
        <v>3.3726408590354127</v>
      </c>
    </row>
    <row r="8951" spans="27:30" x14ac:dyDescent="0.3">
      <c r="AA8951" s="37">
        <v>8931</v>
      </c>
      <c r="AB8951" s="37">
        <v>1.776366575166245</v>
      </c>
      <c r="AC8951" s="37">
        <v>2.8947286217560602</v>
      </c>
      <c r="AD8951" s="37">
        <v>3.2936391030334931</v>
      </c>
    </row>
    <row r="8952" spans="27:30" x14ac:dyDescent="0.3">
      <c r="AA8952" s="37">
        <v>8932</v>
      </c>
      <c r="AB8952" s="37">
        <v>1.8099338113572165</v>
      </c>
      <c r="AC8952" s="37">
        <v>2.8908352102046431</v>
      </c>
      <c r="AD8952" s="37">
        <v>3.4195587090348836</v>
      </c>
    </row>
    <row r="8953" spans="27:30" x14ac:dyDescent="0.3">
      <c r="AA8953" s="37">
        <v>8933</v>
      </c>
      <c r="AB8953" s="37">
        <v>1.843555961878679</v>
      </c>
      <c r="AC8953" s="37">
        <v>3.0048521563697643</v>
      </c>
      <c r="AD8953" s="37">
        <v>3.209564761710979</v>
      </c>
    </row>
    <row r="8954" spans="27:30" x14ac:dyDescent="0.3">
      <c r="AA8954" s="37">
        <v>8934</v>
      </c>
      <c r="AB8954" s="37">
        <v>1.7428987085135197</v>
      </c>
      <c r="AC8954" s="37">
        <v>2.8474523942378736</v>
      </c>
      <c r="AD8954" s="37">
        <v>3.2120416512050678</v>
      </c>
    </row>
    <row r="8955" spans="27:30" x14ac:dyDescent="0.3">
      <c r="AA8955" s="37">
        <v>8935</v>
      </c>
      <c r="AB8955" s="37">
        <v>1.7666951333075189</v>
      </c>
      <c r="AC8955" s="37">
        <v>2.969989821693459</v>
      </c>
      <c r="AD8955" s="37">
        <v>3.4884006668676588</v>
      </c>
    </row>
    <row r="8956" spans="27:30" x14ac:dyDescent="0.3">
      <c r="AA8956" s="37">
        <v>8936</v>
      </c>
      <c r="AB8956" s="37">
        <v>1.8139697370710717</v>
      </c>
      <c r="AC8956" s="37">
        <v>2.785926078785423</v>
      </c>
      <c r="AD8956" s="37">
        <v>3.2307876073596171</v>
      </c>
    </row>
    <row r="8957" spans="27:30" x14ac:dyDescent="0.3">
      <c r="AA8957" s="37">
        <v>8937</v>
      </c>
      <c r="AB8957" s="37">
        <v>1.8270954059714324</v>
      </c>
      <c r="AC8957" s="37">
        <v>2.8627174703289051</v>
      </c>
      <c r="AD8957" s="37">
        <v>3.1989034603171991</v>
      </c>
    </row>
    <row r="8958" spans="27:30" x14ac:dyDescent="0.3">
      <c r="AA8958" s="37">
        <v>8938</v>
      </c>
      <c r="AB8958" s="37">
        <v>1.8399863530090466</v>
      </c>
      <c r="AC8958" s="37">
        <v>2.7767980195136697</v>
      </c>
      <c r="AD8958" s="37">
        <v>3.4591435070143346</v>
      </c>
    </row>
    <row r="8959" spans="27:30" x14ac:dyDescent="0.3">
      <c r="AA8959" s="37">
        <v>8939</v>
      </c>
      <c r="AB8959" s="37">
        <v>1.7084592684164881</v>
      </c>
      <c r="AC8959" s="37">
        <v>2.8369139973844453</v>
      </c>
      <c r="AD8959" s="37">
        <v>3.1378811416224397</v>
      </c>
    </row>
    <row r="8960" spans="27:30" x14ac:dyDescent="0.3">
      <c r="AA8960" s="37">
        <v>8940</v>
      </c>
      <c r="AB8960" s="37">
        <v>1.7685505057966182</v>
      </c>
      <c r="AC8960" s="37">
        <v>3.0234299354759369</v>
      </c>
      <c r="AD8960" s="37">
        <v>3.5781235556087738</v>
      </c>
    </row>
    <row r="8961" spans="27:30" x14ac:dyDescent="0.3">
      <c r="AA8961" s="37">
        <v>8941</v>
      </c>
      <c r="AB8961" s="37">
        <v>1.7922062533450669</v>
      </c>
      <c r="AC8961" s="37">
        <v>2.7891155474168703</v>
      </c>
      <c r="AD8961" s="37">
        <v>3.2242290186469882</v>
      </c>
    </row>
    <row r="8962" spans="27:30" x14ac:dyDescent="0.3">
      <c r="AA8962" s="37">
        <v>8942</v>
      </c>
      <c r="AB8962" s="37">
        <v>1.7473405055875788</v>
      </c>
      <c r="AC8962" s="37">
        <v>2.795995998735286</v>
      </c>
      <c r="AD8962" s="37">
        <v>3.3393082815849051</v>
      </c>
    </row>
    <row r="8963" spans="27:30" x14ac:dyDescent="0.3">
      <c r="AA8963" s="37">
        <v>8943</v>
      </c>
      <c r="AB8963" s="37">
        <v>1.8292428178889779</v>
      </c>
      <c r="AC8963" s="37">
        <v>2.7327478840705166</v>
      </c>
      <c r="AD8963" s="37">
        <v>3.4419142856934744</v>
      </c>
    </row>
    <row r="8964" spans="27:30" x14ac:dyDescent="0.3">
      <c r="AA8964" s="37">
        <v>8944</v>
      </c>
      <c r="AB8964" s="37">
        <v>1.8185379199646547</v>
      </c>
      <c r="AC8964" s="37">
        <v>2.8355617293001272</v>
      </c>
      <c r="AD8964" s="37">
        <v>3.2928643402395665</v>
      </c>
    </row>
    <row r="8965" spans="27:30" x14ac:dyDescent="0.3">
      <c r="AA8965" s="37">
        <v>8945</v>
      </c>
      <c r="AB8965" s="37">
        <v>1.7843456302104443</v>
      </c>
      <c r="AC8965" s="37">
        <v>2.79887985221453</v>
      </c>
      <c r="AD8965" s="37">
        <v>3.4927743710677768</v>
      </c>
    </row>
    <row r="8966" spans="27:30" x14ac:dyDescent="0.3">
      <c r="AA8966" s="37">
        <v>8946</v>
      </c>
      <c r="AB8966" s="37">
        <v>1.8264431595207502</v>
      </c>
      <c r="AC8966" s="37">
        <v>2.9491255635316573</v>
      </c>
      <c r="AD8966" s="37">
        <v>3.2146545354886049</v>
      </c>
    </row>
    <row r="8967" spans="27:30" x14ac:dyDescent="0.3">
      <c r="AA8967" s="37">
        <v>8947</v>
      </c>
      <c r="AB8967" s="37">
        <v>1.8781622857661615</v>
      </c>
      <c r="AC8967" s="37">
        <v>2.7757245004474354</v>
      </c>
      <c r="AD8967" s="37">
        <v>3.1766790227777237</v>
      </c>
    </row>
    <row r="8968" spans="27:30" x14ac:dyDescent="0.3">
      <c r="AA8968" s="37">
        <v>8948</v>
      </c>
      <c r="AB8968" s="37">
        <v>1.771509066969392</v>
      </c>
      <c r="AC8968" s="37">
        <v>2.9663419596163645</v>
      </c>
      <c r="AD8968" s="37">
        <v>3.4290143622465723</v>
      </c>
    </row>
    <row r="8969" spans="27:30" x14ac:dyDescent="0.3">
      <c r="AA8969" s="37">
        <v>8949</v>
      </c>
      <c r="AB8969" s="37">
        <v>1.7876400628482576</v>
      </c>
      <c r="AC8969" s="37">
        <v>2.7469688142526492</v>
      </c>
      <c r="AD8969" s="37">
        <v>3.357208019674971</v>
      </c>
    </row>
    <row r="8970" spans="27:30" x14ac:dyDescent="0.3">
      <c r="AA8970" s="37">
        <v>8950</v>
      </c>
      <c r="AB8970" s="37">
        <v>1.7389479887379329</v>
      </c>
      <c r="AC8970" s="37">
        <v>2.7718145894677333</v>
      </c>
      <c r="AD8970" s="37">
        <v>3.1503926259012283</v>
      </c>
    </row>
    <row r="8971" spans="27:30" x14ac:dyDescent="0.3">
      <c r="AA8971" s="37">
        <v>8951</v>
      </c>
      <c r="AB8971" s="37">
        <v>1.8623987509162767</v>
      </c>
      <c r="AC8971" s="37">
        <v>2.7364712175734738</v>
      </c>
      <c r="AD8971" s="37">
        <v>3.3544297223167003</v>
      </c>
    </row>
    <row r="8972" spans="27:30" x14ac:dyDescent="0.3">
      <c r="AA8972" s="37">
        <v>8952</v>
      </c>
      <c r="AB8972" s="37">
        <v>1.7471530857098212</v>
      </c>
      <c r="AC8972" s="37">
        <v>2.6934834544798387</v>
      </c>
      <c r="AD8972" s="37">
        <v>3.4156975045092319</v>
      </c>
    </row>
    <row r="8973" spans="27:30" x14ac:dyDescent="0.3">
      <c r="AA8973" s="37">
        <v>8953</v>
      </c>
      <c r="AB8973" s="37">
        <v>1.8156278528827938</v>
      </c>
      <c r="AC8973" s="37">
        <v>2.8710052120713243</v>
      </c>
      <c r="AD8973" s="37">
        <v>3.5418133210253586</v>
      </c>
    </row>
    <row r="8974" spans="27:30" x14ac:dyDescent="0.3">
      <c r="AA8974" s="37">
        <v>8954</v>
      </c>
      <c r="AB8974" s="37">
        <v>1.848943071370579</v>
      </c>
      <c r="AC8974" s="37">
        <v>2.7599757609014484</v>
      </c>
      <c r="AD8974" s="37">
        <v>3.3598177669486557</v>
      </c>
    </row>
    <row r="8975" spans="27:30" x14ac:dyDescent="0.3">
      <c r="AA8975" s="37">
        <v>8955</v>
      </c>
      <c r="AB8975" s="37">
        <v>1.7477422282026644</v>
      </c>
      <c r="AC8975" s="37">
        <v>3.0963456240212737</v>
      </c>
      <c r="AD8975" s="37">
        <v>3.2021555916753148</v>
      </c>
    </row>
    <row r="8976" spans="27:30" x14ac:dyDescent="0.3">
      <c r="AA8976" s="37">
        <v>8956</v>
      </c>
      <c r="AB8976" s="37">
        <v>1.9241322771843881</v>
      </c>
      <c r="AC8976" s="37">
        <v>2.829235680647022</v>
      </c>
      <c r="AD8976" s="37">
        <v>3.4317236761829699</v>
      </c>
    </row>
    <row r="8977" spans="27:30" x14ac:dyDescent="0.3">
      <c r="AA8977" s="37">
        <v>8957</v>
      </c>
      <c r="AB8977" s="37">
        <v>1.7521828868626332</v>
      </c>
      <c r="AC8977" s="37">
        <v>2.7512122343852901</v>
      </c>
      <c r="AD8977" s="37">
        <v>3.3216036873782726</v>
      </c>
    </row>
    <row r="8978" spans="27:30" x14ac:dyDescent="0.3">
      <c r="AA8978" s="37">
        <v>8958</v>
      </c>
      <c r="AB8978" s="37">
        <v>1.7365094699702983</v>
      </c>
      <c r="AC8978" s="37">
        <v>2.7483687732951183</v>
      </c>
      <c r="AD8978" s="37">
        <v>3.2469968696048666</v>
      </c>
    </row>
    <row r="8979" spans="27:30" x14ac:dyDescent="0.3">
      <c r="AA8979" s="37">
        <v>8959</v>
      </c>
      <c r="AB8979" s="37">
        <v>1.740210933220286</v>
      </c>
      <c r="AC8979" s="37">
        <v>2.7785780474463575</v>
      </c>
      <c r="AD8979" s="37">
        <v>3.322533018683516</v>
      </c>
    </row>
    <row r="8980" spans="27:30" x14ac:dyDescent="0.3">
      <c r="AA8980" s="37">
        <v>8960</v>
      </c>
      <c r="AB8980" s="37">
        <v>1.7792638329363912</v>
      </c>
      <c r="AC8980" s="37">
        <v>2.8531247786527261</v>
      </c>
      <c r="AD8980" s="37">
        <v>3.4304750576434699</v>
      </c>
    </row>
    <row r="8981" spans="27:30" x14ac:dyDescent="0.3">
      <c r="AA8981" s="37">
        <v>8961</v>
      </c>
      <c r="AB8981" s="37">
        <v>1.8768253665745684</v>
      </c>
      <c r="AC8981" s="37">
        <v>3.0016914195282762</v>
      </c>
      <c r="AD8981" s="37">
        <v>3.2958489118264009</v>
      </c>
    </row>
    <row r="8982" spans="27:30" x14ac:dyDescent="0.3">
      <c r="AA8982" s="37">
        <v>8962</v>
      </c>
      <c r="AB8982" s="37">
        <v>1.875644129307434</v>
      </c>
      <c r="AC8982" s="37">
        <v>2.714848947747194</v>
      </c>
      <c r="AD8982" s="37">
        <v>3.3001293189014596</v>
      </c>
    </row>
    <row r="8983" spans="27:30" x14ac:dyDescent="0.3">
      <c r="AA8983" s="37">
        <v>8963</v>
      </c>
      <c r="AB8983" s="37">
        <v>1.8916831439017505</v>
      </c>
      <c r="AC8983" s="37">
        <v>3.1140839556478292</v>
      </c>
      <c r="AD8983" s="37">
        <v>3.1259303650856065</v>
      </c>
    </row>
    <row r="8984" spans="27:30" x14ac:dyDescent="0.3">
      <c r="AA8984" s="37">
        <v>8964</v>
      </c>
      <c r="AB8984" s="37">
        <v>1.7318163989443933</v>
      </c>
      <c r="AC8984" s="37">
        <v>2.9458862700243187</v>
      </c>
      <c r="AD8984" s="37">
        <v>3.38116811939144</v>
      </c>
    </row>
    <row r="8985" spans="27:30" x14ac:dyDescent="0.3">
      <c r="AA8985" s="37">
        <v>8965</v>
      </c>
      <c r="AB8985" s="37">
        <v>1.8044112357382407</v>
      </c>
      <c r="AC8985" s="37">
        <v>2.6342997490733189</v>
      </c>
      <c r="AD8985" s="37">
        <v>3.1822269499072977</v>
      </c>
    </row>
    <row r="8986" spans="27:30" x14ac:dyDescent="0.3">
      <c r="AA8986" s="37">
        <v>8966</v>
      </c>
      <c r="AB8986" s="37">
        <v>1.7764190951080445</v>
      </c>
      <c r="AC8986" s="37">
        <v>2.9294690628009832</v>
      </c>
      <c r="AD8986" s="37">
        <v>3.3609629694938659</v>
      </c>
    </row>
    <row r="8987" spans="27:30" x14ac:dyDescent="0.3">
      <c r="AA8987" s="37">
        <v>8967</v>
      </c>
      <c r="AB8987" s="37">
        <v>1.7028464107453434</v>
      </c>
      <c r="AC8987" s="37">
        <v>2.6925153681710472</v>
      </c>
      <c r="AD8987" s="37">
        <v>3.2087418780331993</v>
      </c>
    </row>
    <row r="8988" spans="27:30" x14ac:dyDescent="0.3">
      <c r="AA8988" s="37">
        <v>8968</v>
      </c>
      <c r="AB8988" s="37">
        <v>1.6853725120537582</v>
      </c>
      <c r="AC8988" s="37">
        <v>2.6855889362896144</v>
      </c>
      <c r="AD8988" s="37">
        <v>3.2904652885193442</v>
      </c>
    </row>
    <row r="8989" spans="27:30" x14ac:dyDescent="0.3">
      <c r="AA8989" s="37">
        <v>8969</v>
      </c>
      <c r="AB8989" s="37">
        <v>1.6910242500372326</v>
      </c>
      <c r="AC8989" s="37">
        <v>2.9458374937503864</v>
      </c>
      <c r="AD8989" s="37">
        <v>3.097155282269719</v>
      </c>
    </row>
    <row r="8990" spans="27:30" x14ac:dyDescent="0.3">
      <c r="AA8990" s="37">
        <v>8970</v>
      </c>
      <c r="AB8990" s="37">
        <v>1.6746466071857995</v>
      </c>
      <c r="AC8990" s="37">
        <v>2.9121511941480724</v>
      </c>
      <c r="AD8990" s="37">
        <v>3.2125724216920828</v>
      </c>
    </row>
    <row r="8991" spans="27:30" x14ac:dyDescent="0.3">
      <c r="AA8991" s="37">
        <v>8971</v>
      </c>
      <c r="AB8991" s="37">
        <v>1.8418327542847683</v>
      </c>
      <c r="AC8991" s="37">
        <v>2.7224295079251544</v>
      </c>
      <c r="AD8991" s="37">
        <v>3.3191964447758342</v>
      </c>
    </row>
    <row r="8992" spans="27:30" x14ac:dyDescent="0.3">
      <c r="AA8992" s="37">
        <v>8972</v>
      </c>
      <c r="AB8992" s="37">
        <v>1.810499936128275</v>
      </c>
      <c r="AC8992" s="37">
        <v>2.9285197703300221</v>
      </c>
      <c r="AD8992" s="37">
        <v>3.3807161989103687</v>
      </c>
    </row>
    <row r="8993" spans="27:30" x14ac:dyDescent="0.3">
      <c r="AA8993" s="37">
        <v>8973</v>
      </c>
      <c r="AB8993" s="37">
        <v>1.7417947015206403</v>
      </c>
      <c r="AC8993" s="37">
        <v>2.8613538279448019</v>
      </c>
      <c r="AD8993" s="37">
        <v>3.3277188869966698</v>
      </c>
    </row>
    <row r="8994" spans="27:30" x14ac:dyDescent="0.3">
      <c r="AA8994" s="37">
        <v>8974</v>
      </c>
      <c r="AB8994" s="37">
        <v>1.8151432596689212</v>
      </c>
      <c r="AC8994" s="37">
        <v>2.9507169724368691</v>
      </c>
      <c r="AD8994" s="37">
        <v>3.3376939839906021</v>
      </c>
    </row>
    <row r="8995" spans="27:30" x14ac:dyDescent="0.3">
      <c r="AA8995" s="37">
        <v>8975</v>
      </c>
      <c r="AB8995" s="37">
        <v>1.7440289242765257</v>
      </c>
      <c r="AC8995" s="37">
        <v>2.8925673804802714</v>
      </c>
      <c r="AD8995" s="37">
        <v>3.2867715988288424</v>
      </c>
    </row>
    <row r="8996" spans="27:30" x14ac:dyDescent="0.3">
      <c r="AA8996" s="37">
        <v>8976</v>
      </c>
      <c r="AB8996" s="37">
        <v>1.7610830856314332</v>
      </c>
      <c r="AC8996" s="37">
        <v>2.8184149213799543</v>
      </c>
      <c r="AD8996" s="37">
        <v>3.3100428838484244</v>
      </c>
    </row>
    <row r="8997" spans="27:30" x14ac:dyDescent="0.3">
      <c r="AA8997" s="37">
        <v>8977</v>
      </c>
      <c r="AB8997" s="37">
        <v>1.7493085776151878</v>
      </c>
      <c r="AC8997" s="37">
        <v>2.8428087671506472</v>
      </c>
      <c r="AD8997" s="37">
        <v>3.4447139679446424</v>
      </c>
    </row>
    <row r="8998" spans="27:30" x14ac:dyDescent="0.3">
      <c r="AA8998" s="37">
        <v>8978</v>
      </c>
      <c r="AB8998" s="37">
        <v>1.7711241048439419</v>
      </c>
      <c r="AC8998" s="37">
        <v>2.8810953180433274</v>
      </c>
      <c r="AD8998" s="37">
        <v>3.128284077254571</v>
      </c>
    </row>
    <row r="8999" spans="27:30" x14ac:dyDescent="0.3">
      <c r="AA8999" s="37">
        <v>8979</v>
      </c>
      <c r="AB8999" s="37">
        <v>1.66622299842074</v>
      </c>
      <c r="AC8999" s="37">
        <v>2.9689565198381471</v>
      </c>
      <c r="AD8999" s="37">
        <v>3.3776874457552069</v>
      </c>
    </row>
    <row r="9000" spans="27:30" x14ac:dyDescent="0.3">
      <c r="AA9000" s="37">
        <v>8980</v>
      </c>
      <c r="AB9000" s="37">
        <v>1.7776859067025548</v>
      </c>
      <c r="AC9000" s="37">
        <v>2.9020358393602756</v>
      </c>
      <c r="AD9000" s="37">
        <v>3.4100094548813207</v>
      </c>
    </row>
    <row r="9001" spans="27:30" x14ac:dyDescent="0.3">
      <c r="AA9001" s="37">
        <v>8981</v>
      </c>
      <c r="AB9001" s="37">
        <v>1.8366357376726905</v>
      </c>
      <c r="AC9001" s="37">
        <v>2.9675972461168287</v>
      </c>
      <c r="AD9001" s="37">
        <v>3.3024912849100763</v>
      </c>
    </row>
    <row r="9002" spans="27:30" x14ac:dyDescent="0.3">
      <c r="AA9002" s="37">
        <v>8982</v>
      </c>
      <c r="AB9002" s="37">
        <v>1.861964021618489</v>
      </c>
      <c r="AC9002" s="37">
        <v>2.7381665694283983</v>
      </c>
      <c r="AD9002" s="37">
        <v>3.2469667844203824</v>
      </c>
    </row>
    <row r="9003" spans="27:30" x14ac:dyDescent="0.3">
      <c r="AA9003" s="37">
        <v>8983</v>
      </c>
      <c r="AB9003" s="37">
        <v>1.8736817624976352</v>
      </c>
      <c r="AC9003" s="37">
        <v>2.9892611191904916</v>
      </c>
      <c r="AD9003" s="37">
        <v>3.5823355757933348</v>
      </c>
    </row>
    <row r="9004" spans="27:30" x14ac:dyDescent="0.3">
      <c r="AA9004" s="37">
        <v>8984</v>
      </c>
      <c r="AB9004" s="37">
        <v>1.8893790379016873</v>
      </c>
      <c r="AC9004" s="37">
        <v>2.8865693864293469</v>
      </c>
      <c r="AD9004" s="37">
        <v>3.4556503766329372</v>
      </c>
    </row>
    <row r="9005" spans="27:30" x14ac:dyDescent="0.3">
      <c r="AA9005" s="37">
        <v>8985</v>
      </c>
      <c r="AB9005" s="37">
        <v>1.7598880845925704</v>
      </c>
      <c r="AC9005" s="37">
        <v>3.0312579058761036</v>
      </c>
      <c r="AD9005" s="37">
        <v>3.4025435531901227</v>
      </c>
    </row>
    <row r="9006" spans="27:30" x14ac:dyDescent="0.3">
      <c r="AA9006" s="37">
        <v>8986</v>
      </c>
      <c r="AB9006" s="37">
        <v>1.7831413733400281</v>
      </c>
      <c r="AC9006" s="37">
        <v>2.8357881764372959</v>
      </c>
      <c r="AD9006" s="37">
        <v>3.398256014010729</v>
      </c>
    </row>
    <row r="9007" spans="27:30" x14ac:dyDescent="0.3">
      <c r="AA9007" s="37">
        <v>8987</v>
      </c>
      <c r="AB9007" s="37">
        <v>1.8776085507343936</v>
      </c>
      <c r="AC9007" s="37">
        <v>2.8522214363013498</v>
      </c>
      <c r="AD9007" s="37">
        <v>3.1404218239019093</v>
      </c>
    </row>
    <row r="9008" spans="27:30" x14ac:dyDescent="0.3">
      <c r="AA9008" s="37">
        <v>8988</v>
      </c>
      <c r="AB9008" s="37">
        <v>1.7536948218875854</v>
      </c>
      <c r="AC9008" s="37">
        <v>2.7990758799990418</v>
      </c>
      <c r="AD9008" s="37">
        <v>3.2683729782051567</v>
      </c>
    </row>
    <row r="9009" spans="27:30" x14ac:dyDescent="0.3">
      <c r="AA9009" s="37">
        <v>8989</v>
      </c>
      <c r="AB9009" s="37">
        <v>1.7437343346030214</v>
      </c>
      <c r="AC9009" s="37">
        <v>2.9485588995393548</v>
      </c>
      <c r="AD9009" s="37">
        <v>3.2231119917817166</v>
      </c>
    </row>
    <row r="9010" spans="27:30" x14ac:dyDescent="0.3">
      <c r="AA9010" s="37">
        <v>8990</v>
      </c>
      <c r="AB9010" s="37">
        <v>1.8245072066160817</v>
      </c>
      <c r="AC9010" s="37">
        <v>2.910063043023567</v>
      </c>
      <c r="AD9010" s="37">
        <v>3.5276666270291264</v>
      </c>
    </row>
    <row r="9011" spans="27:30" x14ac:dyDescent="0.3">
      <c r="AA9011" s="37">
        <v>8991</v>
      </c>
      <c r="AB9011" s="37">
        <v>1.714865122805292</v>
      </c>
      <c r="AC9011" s="37">
        <v>2.7839720501435914</v>
      </c>
      <c r="AD9011" s="37">
        <v>3.1105244634202935</v>
      </c>
    </row>
    <row r="9012" spans="27:30" x14ac:dyDescent="0.3">
      <c r="AA9012" s="37">
        <v>8992</v>
      </c>
      <c r="AB9012" s="37">
        <v>1.998075607524515</v>
      </c>
      <c r="AC9012" s="37">
        <v>2.8900279782866631</v>
      </c>
      <c r="AD9012" s="37">
        <v>3.4319401076996274</v>
      </c>
    </row>
    <row r="9013" spans="27:30" x14ac:dyDescent="0.3">
      <c r="AA9013" s="37">
        <v>8993</v>
      </c>
      <c r="AB9013" s="37">
        <v>1.7472023600547695</v>
      </c>
      <c r="AC9013" s="37">
        <v>2.8483243293757794</v>
      </c>
      <c r="AD9013" s="37">
        <v>3.4528983068391019</v>
      </c>
    </row>
    <row r="9014" spans="27:30" x14ac:dyDescent="0.3">
      <c r="AA9014" s="37">
        <v>8994</v>
      </c>
      <c r="AB9014" s="37">
        <v>1.89471870955505</v>
      </c>
      <c r="AC9014" s="37">
        <v>2.6699413812482771</v>
      </c>
      <c r="AD9014" s="37">
        <v>3.2083003453523489</v>
      </c>
    </row>
    <row r="9015" spans="27:30" x14ac:dyDescent="0.3">
      <c r="AA9015" s="37">
        <v>8995</v>
      </c>
      <c r="AB9015" s="37">
        <v>1.9721654227616272</v>
      </c>
      <c r="AC9015" s="37">
        <v>2.9569512641600548</v>
      </c>
      <c r="AD9015" s="37">
        <v>3.3739624693141996</v>
      </c>
    </row>
    <row r="9016" spans="27:30" x14ac:dyDescent="0.3">
      <c r="AA9016" s="37">
        <v>8996</v>
      </c>
      <c r="AB9016" s="37">
        <v>1.9012991219903674</v>
      </c>
      <c r="AC9016" s="37">
        <v>2.7337590043355045</v>
      </c>
      <c r="AD9016" s="37">
        <v>3.320581305916265</v>
      </c>
    </row>
    <row r="9017" spans="27:30" x14ac:dyDescent="0.3">
      <c r="AA9017" s="37">
        <v>8997</v>
      </c>
      <c r="AB9017" s="37">
        <v>1.8815036075189808</v>
      </c>
      <c r="AC9017" s="37">
        <v>2.768960911865407</v>
      </c>
      <c r="AD9017" s="37">
        <v>3.2604134982955166</v>
      </c>
    </row>
    <row r="9018" spans="27:30" x14ac:dyDescent="0.3">
      <c r="AA9018" s="37">
        <v>8998</v>
      </c>
      <c r="AB9018" s="37">
        <v>1.8677144252607532</v>
      </c>
      <c r="AC9018" s="37">
        <v>2.9099182689219649</v>
      </c>
      <c r="AD9018" s="37">
        <v>3.3193130386130218</v>
      </c>
    </row>
    <row r="9019" spans="27:30" x14ac:dyDescent="0.3">
      <c r="AA9019" s="37">
        <v>8999</v>
      </c>
      <c r="AB9019" s="37">
        <v>1.7278047854921434</v>
      </c>
      <c r="AC9019" s="37">
        <v>2.7427952311532193</v>
      </c>
      <c r="AD9019" s="37">
        <v>3.2127906687799661</v>
      </c>
    </row>
    <row r="9020" spans="27:30" x14ac:dyDescent="0.3">
      <c r="AA9020" s="37">
        <v>9000</v>
      </c>
      <c r="AB9020" s="37">
        <v>1.8026429319554751</v>
      </c>
      <c r="AC9020" s="37">
        <v>2.7600321710576159</v>
      </c>
      <c r="AD9020" s="37">
        <v>3.4068255233566744</v>
      </c>
    </row>
    <row r="9021" spans="27:30" x14ac:dyDescent="0.3">
      <c r="AA9021" s="37">
        <v>9001</v>
      </c>
      <c r="AB9021" s="37">
        <v>1.763603518763061</v>
      </c>
      <c r="AC9021" s="37">
        <v>2.6773579979838584</v>
      </c>
      <c r="AD9021" s="37">
        <v>3.1837597103587374</v>
      </c>
    </row>
    <row r="9022" spans="27:30" x14ac:dyDescent="0.3">
      <c r="AA9022" s="37">
        <v>9002</v>
      </c>
      <c r="AB9022" s="37">
        <v>1.7304627253049936</v>
      </c>
      <c r="AC9022" s="37">
        <v>2.8140409982867771</v>
      </c>
      <c r="AD9022" s="37">
        <v>3.2901259079623526</v>
      </c>
    </row>
    <row r="9023" spans="27:30" x14ac:dyDescent="0.3">
      <c r="AA9023" s="37">
        <v>9003</v>
      </c>
      <c r="AB9023" s="37">
        <v>1.8871474438950997</v>
      </c>
      <c r="AC9023" s="37">
        <v>2.6801975131242965</v>
      </c>
      <c r="AD9023" s="37">
        <v>3.3313806688152945</v>
      </c>
    </row>
    <row r="9024" spans="27:30" x14ac:dyDescent="0.3">
      <c r="AA9024" s="37">
        <v>9004</v>
      </c>
      <c r="AB9024" s="37">
        <v>1.6499413216349894</v>
      </c>
      <c r="AC9024" s="37">
        <v>2.7047481066105825</v>
      </c>
      <c r="AD9024" s="37">
        <v>3.340941071262117</v>
      </c>
    </row>
    <row r="9025" spans="27:30" x14ac:dyDescent="0.3">
      <c r="AA9025" s="37">
        <v>9005</v>
      </c>
      <c r="AB9025" s="37">
        <v>1.8001766757244275</v>
      </c>
      <c r="AC9025" s="37">
        <v>2.916163559838493</v>
      </c>
      <c r="AD9025" s="37">
        <v>3.3136104340146484</v>
      </c>
    </row>
    <row r="9026" spans="27:30" x14ac:dyDescent="0.3">
      <c r="AA9026" s="37">
        <v>9006</v>
      </c>
      <c r="AB9026" s="37">
        <v>1.8086952765183719</v>
      </c>
      <c r="AC9026" s="37">
        <v>2.8303650303748986</v>
      </c>
      <c r="AD9026" s="37">
        <v>3.181520140111155</v>
      </c>
    </row>
    <row r="9027" spans="27:30" x14ac:dyDescent="0.3">
      <c r="AA9027" s="37">
        <v>9007</v>
      </c>
      <c r="AB9027" s="37">
        <v>1.7405274616187534</v>
      </c>
      <c r="AC9027" s="37">
        <v>2.969722067543449</v>
      </c>
      <c r="AD9027" s="37">
        <v>3.1867039490061129</v>
      </c>
    </row>
    <row r="9028" spans="27:30" x14ac:dyDescent="0.3">
      <c r="AA9028" s="37">
        <v>9008</v>
      </c>
      <c r="AB9028" s="37">
        <v>1.8612147389174152</v>
      </c>
      <c r="AC9028" s="37">
        <v>2.8243804341841168</v>
      </c>
      <c r="AD9028" s="37">
        <v>3.3357893546620381</v>
      </c>
    </row>
    <row r="9029" spans="27:30" x14ac:dyDescent="0.3">
      <c r="AA9029" s="37">
        <v>9009</v>
      </c>
      <c r="AB9029" s="37">
        <v>1.6772136992519346</v>
      </c>
      <c r="AC9029" s="37">
        <v>2.9049079843668046</v>
      </c>
      <c r="AD9029" s="37">
        <v>3.444546452844103</v>
      </c>
    </row>
    <row r="9030" spans="27:30" x14ac:dyDescent="0.3">
      <c r="AA9030" s="37">
        <v>9010</v>
      </c>
      <c r="AB9030" s="37">
        <v>1.6706293533431562</v>
      </c>
      <c r="AC9030" s="37">
        <v>2.7791567920773685</v>
      </c>
      <c r="AD9030" s="37">
        <v>3.1351643028945566</v>
      </c>
    </row>
    <row r="9031" spans="27:30" x14ac:dyDescent="0.3">
      <c r="AA9031" s="37">
        <v>9011</v>
      </c>
      <c r="AB9031" s="37">
        <v>1.7202998040300044</v>
      </c>
      <c r="AC9031" s="37">
        <v>2.6957199504648126</v>
      </c>
      <c r="AD9031" s="37">
        <v>3.3450187094273738</v>
      </c>
    </row>
    <row r="9032" spans="27:30" x14ac:dyDescent="0.3">
      <c r="AA9032" s="37">
        <v>9012</v>
      </c>
      <c r="AB9032" s="37">
        <v>1.7181805265060055</v>
      </c>
      <c r="AC9032" s="37">
        <v>2.8965766084412423</v>
      </c>
      <c r="AD9032" s="37">
        <v>3.3080492830249577</v>
      </c>
    </row>
    <row r="9033" spans="27:30" x14ac:dyDescent="0.3">
      <c r="AA9033" s="37">
        <v>9013</v>
      </c>
      <c r="AB9033" s="37">
        <v>1.7696726834401733</v>
      </c>
      <c r="AC9033" s="37">
        <v>2.7807692705057097</v>
      </c>
      <c r="AD9033" s="37">
        <v>3.5283099819522117</v>
      </c>
    </row>
    <row r="9034" spans="27:30" x14ac:dyDescent="0.3">
      <c r="AA9034" s="37">
        <v>9014</v>
      </c>
      <c r="AB9034" s="37">
        <v>1.932914257979343</v>
      </c>
      <c r="AC9034" s="37">
        <v>2.857774856823593</v>
      </c>
      <c r="AD9034" s="37">
        <v>3.5014883125274565</v>
      </c>
    </row>
    <row r="9035" spans="27:30" x14ac:dyDescent="0.3">
      <c r="AA9035" s="37">
        <v>9015</v>
      </c>
      <c r="AB9035" s="37">
        <v>1.8946750834465425</v>
      </c>
      <c r="AC9035" s="37">
        <v>2.8414563522390566</v>
      </c>
      <c r="AD9035" s="37">
        <v>3.4333939370067146</v>
      </c>
    </row>
    <row r="9036" spans="27:30" x14ac:dyDescent="0.3">
      <c r="AA9036" s="37">
        <v>9016</v>
      </c>
      <c r="AB9036" s="37">
        <v>1.773984890779619</v>
      </c>
      <c r="AC9036" s="37">
        <v>2.8392153647407339</v>
      </c>
      <c r="AD9036" s="37">
        <v>3.4563145919774421</v>
      </c>
    </row>
    <row r="9037" spans="27:30" x14ac:dyDescent="0.3">
      <c r="AA9037" s="37">
        <v>9017</v>
      </c>
      <c r="AB9037" s="37">
        <v>1.8088940698878317</v>
      </c>
      <c r="AC9037" s="37">
        <v>2.8478910362090963</v>
      </c>
      <c r="AD9037" s="37">
        <v>3.1628460867463248</v>
      </c>
    </row>
    <row r="9038" spans="27:30" x14ac:dyDescent="0.3">
      <c r="AA9038" s="37">
        <v>9018</v>
      </c>
      <c r="AB9038" s="37">
        <v>1.6651956654960833</v>
      </c>
      <c r="AC9038" s="37">
        <v>2.7941291296458224</v>
      </c>
      <c r="AD9038" s="37">
        <v>3.3906887095417422</v>
      </c>
    </row>
    <row r="9039" spans="27:30" x14ac:dyDescent="0.3">
      <c r="AA9039" s="37">
        <v>9019</v>
      </c>
      <c r="AB9039" s="37">
        <v>1.788223626518622</v>
      </c>
      <c r="AC9039" s="37">
        <v>2.8172781345115938</v>
      </c>
      <c r="AD9039" s="37">
        <v>3.3196899717703507</v>
      </c>
    </row>
    <row r="9040" spans="27:30" x14ac:dyDescent="0.3">
      <c r="AA9040" s="37">
        <v>9020</v>
      </c>
      <c r="AB9040" s="37">
        <v>1.6747273977272938</v>
      </c>
      <c r="AC9040" s="37">
        <v>2.8150867980525329</v>
      </c>
      <c r="AD9040" s="37">
        <v>3.3387157282520366</v>
      </c>
    </row>
    <row r="9041" spans="27:30" x14ac:dyDescent="0.3">
      <c r="AA9041" s="37">
        <v>9021</v>
      </c>
      <c r="AB9041" s="37">
        <v>1.7834147856781741</v>
      </c>
      <c r="AC9041" s="37">
        <v>2.854067201591814</v>
      </c>
      <c r="AD9041" s="37">
        <v>3.5144274130170756</v>
      </c>
    </row>
    <row r="9042" spans="27:30" x14ac:dyDescent="0.3">
      <c r="AA9042" s="37">
        <v>9022</v>
      </c>
      <c r="AB9042" s="37">
        <v>1.7769163655856355</v>
      </c>
      <c r="AC9042" s="37">
        <v>3.1240947170036022</v>
      </c>
      <c r="AD9042" s="37">
        <v>3.2906259016929575</v>
      </c>
    </row>
    <row r="9043" spans="27:30" x14ac:dyDescent="0.3">
      <c r="AA9043" s="37">
        <v>9023</v>
      </c>
      <c r="AB9043" s="37">
        <v>1.8517909889363768</v>
      </c>
      <c r="AC9043" s="37">
        <v>2.8046002890310775</v>
      </c>
      <c r="AD9043" s="37">
        <v>3.4446636402200803</v>
      </c>
    </row>
    <row r="9044" spans="27:30" x14ac:dyDescent="0.3">
      <c r="AA9044" s="37">
        <v>9024</v>
      </c>
      <c r="AB9044" s="37">
        <v>1.8050580878714155</v>
      </c>
      <c r="AC9044" s="37">
        <v>2.6562920359384643</v>
      </c>
      <c r="AD9044" s="37">
        <v>3.2597921251091959</v>
      </c>
    </row>
    <row r="9045" spans="27:30" x14ac:dyDescent="0.3">
      <c r="AA9045" s="37">
        <v>9025</v>
      </c>
      <c r="AB9045" s="37">
        <v>1.8651010622851494</v>
      </c>
      <c r="AC9045" s="37">
        <v>2.8364437674181211</v>
      </c>
      <c r="AD9045" s="37">
        <v>3.4671680854130078</v>
      </c>
    </row>
    <row r="9046" spans="27:30" x14ac:dyDescent="0.3">
      <c r="AA9046" s="37">
        <v>9026</v>
      </c>
      <c r="AB9046" s="37">
        <v>1.6908719362401872</v>
      </c>
      <c r="AC9046" s="37">
        <v>3.0669553641635652</v>
      </c>
      <c r="AD9046" s="37">
        <v>3.3236721079195237</v>
      </c>
    </row>
    <row r="9047" spans="27:30" x14ac:dyDescent="0.3">
      <c r="AA9047" s="37">
        <v>9027</v>
      </c>
      <c r="AB9047" s="37">
        <v>1.7531040174162187</v>
      </c>
      <c r="AC9047" s="37">
        <v>3.0201279462175941</v>
      </c>
      <c r="AD9047" s="37">
        <v>3.4331109758534901</v>
      </c>
    </row>
    <row r="9048" spans="27:30" x14ac:dyDescent="0.3">
      <c r="AA9048" s="37">
        <v>9028</v>
      </c>
      <c r="AB9048" s="37">
        <v>1.6776842499794951</v>
      </c>
      <c r="AC9048" s="37">
        <v>2.802579840977347</v>
      </c>
      <c r="AD9048" s="37">
        <v>3.3662144690469682</v>
      </c>
    </row>
    <row r="9049" spans="27:30" x14ac:dyDescent="0.3">
      <c r="AA9049" s="37">
        <v>9029</v>
      </c>
      <c r="AB9049" s="37">
        <v>1.8276985442815592</v>
      </c>
      <c r="AC9049" s="37">
        <v>2.9906088763609895</v>
      </c>
      <c r="AD9049" s="37">
        <v>3.328596619740229</v>
      </c>
    </row>
    <row r="9050" spans="27:30" x14ac:dyDescent="0.3">
      <c r="AA9050" s="37">
        <v>9030</v>
      </c>
      <c r="AB9050" s="37">
        <v>1.7889787603348017</v>
      </c>
      <c r="AC9050" s="37">
        <v>2.6614153224715595</v>
      </c>
      <c r="AD9050" s="37">
        <v>3.1611157943562991</v>
      </c>
    </row>
    <row r="9051" spans="27:30" x14ac:dyDescent="0.3">
      <c r="AA9051" s="37">
        <v>9031</v>
      </c>
      <c r="AB9051" s="37">
        <v>1.7790960784758232</v>
      </c>
      <c r="AC9051" s="37">
        <v>2.9588206729953299</v>
      </c>
      <c r="AD9051" s="37">
        <v>3.268466563645041</v>
      </c>
    </row>
    <row r="9052" spans="27:30" x14ac:dyDescent="0.3">
      <c r="AA9052" s="37">
        <v>9032</v>
      </c>
      <c r="AB9052" s="37">
        <v>1.7783312052679461</v>
      </c>
      <c r="AC9052" s="37">
        <v>2.7711081024258477</v>
      </c>
      <c r="AD9052" s="37">
        <v>3.3026432854339545</v>
      </c>
    </row>
    <row r="9053" spans="27:30" x14ac:dyDescent="0.3">
      <c r="AA9053" s="37">
        <v>9033</v>
      </c>
      <c r="AB9053" s="37">
        <v>1.8080361140429473</v>
      </c>
      <c r="AC9053" s="37">
        <v>2.808587817389478</v>
      </c>
      <c r="AD9053" s="37">
        <v>3.1606948074245738</v>
      </c>
    </row>
    <row r="9054" spans="27:30" x14ac:dyDescent="0.3">
      <c r="AA9054" s="37">
        <v>9034</v>
      </c>
      <c r="AB9054" s="37">
        <v>1.7408197700028727</v>
      </c>
      <c r="AC9054" s="37">
        <v>2.7070231390680655</v>
      </c>
      <c r="AD9054" s="37">
        <v>3.2315219254943952</v>
      </c>
    </row>
    <row r="9055" spans="27:30" x14ac:dyDescent="0.3">
      <c r="AA9055" s="37">
        <v>9035</v>
      </c>
      <c r="AB9055" s="37">
        <v>1.7760066866964273</v>
      </c>
      <c r="AC9055" s="37">
        <v>2.8134166079545535</v>
      </c>
      <c r="AD9055" s="37">
        <v>3.3167338406145959</v>
      </c>
    </row>
    <row r="9056" spans="27:30" x14ac:dyDescent="0.3">
      <c r="AA9056" s="37">
        <v>9036</v>
      </c>
      <c r="AB9056" s="37">
        <v>1.6635034642601121</v>
      </c>
      <c r="AC9056" s="37">
        <v>2.8556504360161457</v>
      </c>
      <c r="AD9056" s="37">
        <v>3.4052652249446793</v>
      </c>
    </row>
    <row r="9057" spans="27:30" x14ac:dyDescent="0.3">
      <c r="AA9057" s="37">
        <v>9037</v>
      </c>
      <c r="AB9057" s="37">
        <v>1.6997171204970385</v>
      </c>
      <c r="AC9057" s="37">
        <v>2.7612804947709839</v>
      </c>
      <c r="AD9057" s="37">
        <v>3.4719789256342808</v>
      </c>
    </row>
    <row r="9058" spans="27:30" x14ac:dyDescent="0.3">
      <c r="AA9058" s="37">
        <v>9038</v>
      </c>
      <c r="AB9058" s="37">
        <v>1.8944915316182991</v>
      </c>
      <c r="AC9058" s="37">
        <v>2.7501078553242806</v>
      </c>
      <c r="AD9058" s="37">
        <v>3.3300934422622879</v>
      </c>
    </row>
    <row r="9059" spans="27:30" x14ac:dyDescent="0.3">
      <c r="AA9059" s="37">
        <v>9039</v>
      </c>
      <c r="AB9059" s="37">
        <v>1.8073183097763517</v>
      </c>
      <c r="AC9059" s="37">
        <v>2.6091601547228387</v>
      </c>
      <c r="AD9059" s="37">
        <v>3.1770673167136905</v>
      </c>
    </row>
    <row r="9060" spans="27:30" x14ac:dyDescent="0.3">
      <c r="AA9060" s="37">
        <v>9040</v>
      </c>
      <c r="AB9060" s="37">
        <v>1.8984506897795097</v>
      </c>
      <c r="AC9060" s="37">
        <v>2.8133477046673927</v>
      </c>
      <c r="AD9060" s="37">
        <v>3.3789736639903558</v>
      </c>
    </row>
    <row r="9061" spans="27:30" x14ac:dyDescent="0.3">
      <c r="AA9061" s="37">
        <v>9041</v>
      </c>
      <c r="AB9061" s="37">
        <v>1.8596489746897462</v>
      </c>
      <c r="AC9061" s="37">
        <v>3.1109289643628015</v>
      </c>
      <c r="AD9061" s="37">
        <v>3.3880832414810484</v>
      </c>
    </row>
    <row r="9062" spans="27:30" x14ac:dyDescent="0.3">
      <c r="AA9062" s="37">
        <v>9042</v>
      </c>
      <c r="AB9062" s="37">
        <v>1.8787643528733884</v>
      </c>
      <c r="AC9062" s="37">
        <v>2.9186228761326385</v>
      </c>
      <c r="AD9062" s="37">
        <v>3.4469087074758624</v>
      </c>
    </row>
    <row r="9063" spans="27:30" x14ac:dyDescent="0.3">
      <c r="AA9063" s="37">
        <v>9043</v>
      </c>
      <c r="AB9063" s="37">
        <v>1.7350660329951839</v>
      </c>
      <c r="AC9063" s="37">
        <v>2.9063890131476291</v>
      </c>
      <c r="AD9063" s="37">
        <v>3.5483819917273314</v>
      </c>
    </row>
    <row r="9064" spans="27:30" x14ac:dyDescent="0.3">
      <c r="AA9064" s="37">
        <v>9044</v>
      </c>
      <c r="AB9064" s="37">
        <v>1.8710735454295466</v>
      </c>
      <c r="AC9064" s="37">
        <v>2.7915720580073367</v>
      </c>
      <c r="AD9064" s="37">
        <v>3.119824026693411</v>
      </c>
    </row>
    <row r="9065" spans="27:30" x14ac:dyDescent="0.3">
      <c r="AA9065" s="37">
        <v>9045</v>
      </c>
      <c r="AB9065" s="37">
        <v>1.7392119236886074</v>
      </c>
      <c r="AC9065" s="37">
        <v>3.0508867500819576</v>
      </c>
      <c r="AD9065" s="37">
        <v>3.3001243830840448</v>
      </c>
    </row>
    <row r="9066" spans="27:30" x14ac:dyDescent="0.3">
      <c r="AA9066" s="37">
        <v>9046</v>
      </c>
      <c r="AB9066" s="37">
        <v>1.6384380409618648</v>
      </c>
      <c r="AC9066" s="37">
        <v>2.7869306263628588</v>
      </c>
      <c r="AD9066" s="37">
        <v>3.3671110120318835</v>
      </c>
    </row>
    <row r="9067" spans="27:30" x14ac:dyDescent="0.3">
      <c r="AA9067" s="37">
        <v>9047</v>
      </c>
      <c r="AB9067" s="37">
        <v>1.7943315337420294</v>
      </c>
      <c r="AC9067" s="37">
        <v>2.9115773715346114</v>
      </c>
      <c r="AD9067" s="37">
        <v>3.4357000139577671</v>
      </c>
    </row>
    <row r="9068" spans="27:30" x14ac:dyDescent="0.3">
      <c r="AA9068" s="37">
        <v>9048</v>
      </c>
      <c r="AB9068" s="37">
        <v>1.7642660545556508</v>
      </c>
      <c r="AC9068" s="37">
        <v>2.7338006922466707</v>
      </c>
      <c r="AD9068" s="37">
        <v>3.2574034010978905</v>
      </c>
    </row>
    <row r="9069" spans="27:30" x14ac:dyDescent="0.3">
      <c r="AA9069" s="37">
        <v>9049</v>
      </c>
      <c r="AB9069" s="37">
        <v>1.7309237855992328</v>
      </c>
      <c r="AC9069" s="37">
        <v>2.900423546865015</v>
      </c>
      <c r="AD9069" s="37">
        <v>3.2580758410666313</v>
      </c>
    </row>
    <row r="9070" spans="27:30" x14ac:dyDescent="0.3">
      <c r="AA9070" s="37">
        <v>9050</v>
      </c>
      <c r="AB9070" s="37">
        <v>1.7128233613932227</v>
      </c>
      <c r="AC9070" s="37">
        <v>2.7968353417601475</v>
      </c>
      <c r="AD9070" s="37">
        <v>3.3669853628870294</v>
      </c>
    </row>
    <row r="9071" spans="27:30" x14ac:dyDescent="0.3">
      <c r="AA9071" s="37">
        <v>9051</v>
      </c>
      <c r="AB9071" s="37">
        <v>1.7609530919229979</v>
      </c>
      <c r="AC9071" s="37">
        <v>2.9050575087234587</v>
      </c>
      <c r="AD9071" s="37">
        <v>3.3819881409437653</v>
      </c>
    </row>
    <row r="9072" spans="27:30" x14ac:dyDescent="0.3">
      <c r="AA9072" s="37">
        <v>9052</v>
      </c>
      <c r="AB9072" s="37">
        <v>1.8038036599735152</v>
      </c>
      <c r="AC9072" s="37">
        <v>2.7466722749359658</v>
      </c>
      <c r="AD9072" s="37">
        <v>3.4891728316367607</v>
      </c>
    </row>
    <row r="9073" spans="27:30" x14ac:dyDescent="0.3">
      <c r="AA9073" s="37">
        <v>9053</v>
      </c>
      <c r="AB9073" s="37">
        <v>1.8169796004327907</v>
      </c>
      <c r="AC9073" s="37">
        <v>2.7973033391498019</v>
      </c>
      <c r="AD9073" s="37">
        <v>3.024291438925923</v>
      </c>
    </row>
    <row r="9074" spans="27:30" x14ac:dyDescent="0.3">
      <c r="AA9074" s="37">
        <v>9054</v>
      </c>
      <c r="AB9074" s="37">
        <v>1.7986569571527062</v>
      </c>
      <c r="AC9074" s="37">
        <v>2.7701042090525374</v>
      </c>
      <c r="AD9074" s="37">
        <v>3.1420850924574402</v>
      </c>
    </row>
    <row r="9075" spans="27:30" x14ac:dyDescent="0.3">
      <c r="AA9075" s="37">
        <v>9055</v>
      </c>
      <c r="AB9075" s="37">
        <v>1.7813852227972928</v>
      </c>
      <c r="AC9075" s="37">
        <v>2.9546906086488121</v>
      </c>
      <c r="AD9075" s="37">
        <v>3.3191104712180257</v>
      </c>
    </row>
    <row r="9076" spans="27:30" x14ac:dyDescent="0.3">
      <c r="AA9076" s="37">
        <v>9056</v>
      </c>
      <c r="AB9076" s="37">
        <v>1.7046744689100675</v>
      </c>
      <c r="AC9076" s="37">
        <v>3.0220524458582205</v>
      </c>
      <c r="AD9076" s="37">
        <v>3.4822840184077042</v>
      </c>
    </row>
    <row r="9077" spans="27:30" x14ac:dyDescent="0.3">
      <c r="AA9077" s="37">
        <v>9057</v>
      </c>
      <c r="AB9077" s="37">
        <v>1.8996418640791839</v>
      </c>
      <c r="AC9077" s="37">
        <v>2.8545188250031197</v>
      </c>
      <c r="AD9077" s="37">
        <v>3.2401171575903382</v>
      </c>
    </row>
    <row r="9078" spans="27:30" x14ac:dyDescent="0.3">
      <c r="AA9078" s="37">
        <v>9058</v>
      </c>
      <c r="AB9078" s="37">
        <v>1.854072942239777</v>
      </c>
      <c r="AC9078" s="37">
        <v>2.7914128017621378</v>
      </c>
      <c r="AD9078" s="37">
        <v>3.3306322284350762</v>
      </c>
    </row>
    <row r="9079" spans="27:30" x14ac:dyDescent="0.3">
      <c r="AA9079" s="37">
        <v>9059</v>
      </c>
      <c r="AB9079" s="37">
        <v>1.8213642759165378</v>
      </c>
      <c r="AC9079" s="37">
        <v>2.9174853571688431</v>
      </c>
      <c r="AD9079" s="37">
        <v>3.3960537594976721</v>
      </c>
    </row>
    <row r="9080" spans="27:30" x14ac:dyDescent="0.3">
      <c r="AA9080" s="37">
        <v>9060</v>
      </c>
      <c r="AB9080" s="37">
        <v>1.7142991400120835</v>
      </c>
      <c r="AC9080" s="37">
        <v>2.8661794545351524</v>
      </c>
      <c r="AD9080" s="37">
        <v>3.2603354682374848</v>
      </c>
    </row>
    <row r="9081" spans="27:30" x14ac:dyDescent="0.3">
      <c r="AA9081" s="37">
        <v>9061</v>
      </c>
      <c r="AB9081" s="37">
        <v>1.7390392693527983</v>
      </c>
      <c r="AC9081" s="37">
        <v>2.9192602239481928</v>
      </c>
      <c r="AD9081" s="37">
        <v>3.3824834914188413</v>
      </c>
    </row>
    <row r="9082" spans="27:30" x14ac:dyDescent="0.3">
      <c r="AA9082" s="37">
        <v>9062</v>
      </c>
      <c r="AB9082" s="37">
        <v>1.8090492798644149</v>
      </c>
      <c r="AC9082" s="37">
        <v>2.7387303175952971</v>
      </c>
      <c r="AD9082" s="37">
        <v>3.4016889633583736</v>
      </c>
    </row>
    <row r="9083" spans="27:30" x14ac:dyDescent="0.3">
      <c r="AA9083" s="37">
        <v>9063</v>
      </c>
      <c r="AB9083" s="37">
        <v>1.7212438752146737</v>
      </c>
      <c r="AC9083" s="37">
        <v>2.8299276885400513</v>
      </c>
      <c r="AD9083" s="37">
        <v>3.3660954713374429</v>
      </c>
    </row>
    <row r="9084" spans="27:30" x14ac:dyDescent="0.3">
      <c r="AA9084" s="37">
        <v>9064</v>
      </c>
      <c r="AB9084" s="37">
        <v>1.8032174413997331</v>
      </c>
      <c r="AC9084" s="37">
        <v>2.9299953111788062</v>
      </c>
      <c r="AD9084" s="37">
        <v>3.2296605413218979</v>
      </c>
    </row>
    <row r="9085" spans="27:30" x14ac:dyDescent="0.3">
      <c r="AA9085" s="37">
        <v>9065</v>
      </c>
      <c r="AB9085" s="37">
        <v>1.8007929042081599</v>
      </c>
      <c r="AC9085" s="37">
        <v>2.7478521250120882</v>
      </c>
      <c r="AD9085" s="37">
        <v>3.3186627519239478</v>
      </c>
    </row>
    <row r="9086" spans="27:30" x14ac:dyDescent="0.3">
      <c r="AA9086" s="37">
        <v>9066</v>
      </c>
      <c r="AB9086" s="37">
        <v>1.6522283351062208</v>
      </c>
      <c r="AC9086" s="37">
        <v>2.7987410318383446</v>
      </c>
      <c r="AD9086" s="37">
        <v>3.2374417564803064</v>
      </c>
    </row>
    <row r="9087" spans="27:30" x14ac:dyDescent="0.3">
      <c r="AA9087" s="37">
        <v>9067</v>
      </c>
      <c r="AB9087" s="37">
        <v>1.7092057498437501</v>
      </c>
      <c r="AC9087" s="37">
        <v>2.6751866298479134</v>
      </c>
      <c r="AD9087" s="37">
        <v>3.214628570173093</v>
      </c>
    </row>
    <row r="9088" spans="27:30" x14ac:dyDescent="0.3">
      <c r="AA9088" s="37">
        <v>9068</v>
      </c>
      <c r="AB9088" s="37">
        <v>1.8038629993821917</v>
      </c>
      <c r="AC9088" s="37">
        <v>2.7905836926344567</v>
      </c>
      <c r="AD9088" s="37">
        <v>3.0383725607520979</v>
      </c>
    </row>
    <row r="9089" spans="27:30" x14ac:dyDescent="0.3">
      <c r="AA9089" s="37">
        <v>9069</v>
      </c>
      <c r="AB9089" s="37">
        <v>1.7809885496230331</v>
      </c>
      <c r="AC9089" s="37">
        <v>2.8703892645497104</v>
      </c>
      <c r="AD9089" s="37">
        <v>3.2849201394684875</v>
      </c>
    </row>
    <row r="9090" spans="27:30" x14ac:dyDescent="0.3">
      <c r="AA9090" s="37">
        <v>9070</v>
      </c>
      <c r="AB9090" s="37">
        <v>1.7502344510779031</v>
      </c>
      <c r="AC9090" s="37">
        <v>2.8377548394716898</v>
      </c>
      <c r="AD9090" s="37">
        <v>3.3017418355309456</v>
      </c>
    </row>
    <row r="9091" spans="27:30" x14ac:dyDescent="0.3">
      <c r="AA9091" s="37">
        <v>9071</v>
      </c>
      <c r="AB9091" s="37">
        <v>1.7232030457451195</v>
      </c>
      <c r="AC9091" s="37">
        <v>3.0021928741418553</v>
      </c>
      <c r="AD9091" s="37">
        <v>3.5138181196345299</v>
      </c>
    </row>
    <row r="9092" spans="27:30" x14ac:dyDescent="0.3">
      <c r="AA9092" s="37">
        <v>9072</v>
      </c>
      <c r="AB9092" s="37">
        <v>1.7501205498987786</v>
      </c>
      <c r="AC9092" s="37">
        <v>2.8567683912498336</v>
      </c>
      <c r="AD9092" s="37">
        <v>3.3768860369424658</v>
      </c>
    </row>
    <row r="9093" spans="27:30" x14ac:dyDescent="0.3">
      <c r="AA9093" s="37">
        <v>9073</v>
      </c>
      <c r="AB9093" s="37">
        <v>1.7484319308496223</v>
      </c>
      <c r="AC9093" s="37">
        <v>2.905081722412298</v>
      </c>
      <c r="AD9093" s="37">
        <v>3.232479803384539</v>
      </c>
    </row>
    <row r="9094" spans="27:30" x14ac:dyDescent="0.3">
      <c r="AA9094" s="37">
        <v>9074</v>
      </c>
      <c r="AB9094" s="37">
        <v>1.7637611965884359</v>
      </c>
      <c r="AC9094" s="37">
        <v>2.6165888738621796</v>
      </c>
      <c r="AD9094" s="37">
        <v>3.4743706497917373</v>
      </c>
    </row>
    <row r="9095" spans="27:30" x14ac:dyDescent="0.3">
      <c r="AA9095" s="37">
        <v>9075</v>
      </c>
      <c r="AB9095" s="37">
        <v>1.7264698702760113</v>
      </c>
      <c r="AC9095" s="37">
        <v>2.7794458476790465</v>
      </c>
      <c r="AD9095" s="37">
        <v>3.2377783906827009</v>
      </c>
    </row>
    <row r="9096" spans="27:30" x14ac:dyDescent="0.3">
      <c r="AA9096" s="37">
        <v>9076</v>
      </c>
      <c r="AB9096" s="37">
        <v>1.8206425654518694</v>
      </c>
      <c r="AC9096" s="37">
        <v>2.8846169897714371</v>
      </c>
      <c r="AD9096" s="37">
        <v>3.2164143075046678</v>
      </c>
    </row>
    <row r="9097" spans="27:30" x14ac:dyDescent="0.3">
      <c r="AA9097" s="37">
        <v>9077</v>
      </c>
      <c r="AB9097" s="37">
        <v>1.7770711972356938</v>
      </c>
      <c r="AC9097" s="37">
        <v>2.7899831356448628</v>
      </c>
      <c r="AD9097" s="37">
        <v>3.5914781180303739</v>
      </c>
    </row>
    <row r="9098" spans="27:30" x14ac:dyDescent="0.3">
      <c r="AA9098" s="37">
        <v>9078</v>
      </c>
      <c r="AB9098" s="37">
        <v>1.7564885856797094</v>
      </c>
      <c r="AC9098" s="37">
        <v>3.031943443953069</v>
      </c>
      <c r="AD9098" s="37">
        <v>3.420203751031647</v>
      </c>
    </row>
    <row r="9099" spans="27:30" x14ac:dyDescent="0.3">
      <c r="AA9099" s="37">
        <v>9079</v>
      </c>
      <c r="AB9099" s="37">
        <v>1.919125886314778</v>
      </c>
      <c r="AC9099" s="37">
        <v>2.8012381963926654</v>
      </c>
      <c r="AD9099" s="37">
        <v>3.3399278436147988</v>
      </c>
    </row>
    <row r="9100" spans="27:30" x14ac:dyDescent="0.3">
      <c r="AA9100" s="37">
        <v>9080</v>
      </c>
      <c r="AB9100" s="37">
        <v>1.7613636632661454</v>
      </c>
      <c r="AC9100" s="37">
        <v>2.8999575319433379</v>
      </c>
      <c r="AD9100" s="37">
        <v>3.3620107399950805</v>
      </c>
    </row>
    <row r="9101" spans="27:30" x14ac:dyDescent="0.3">
      <c r="AA9101" s="37">
        <v>9081</v>
      </c>
      <c r="AB9101" s="37">
        <v>1.8738123436516132</v>
      </c>
      <c r="AC9101" s="37">
        <v>2.8090594283629144</v>
      </c>
      <c r="AD9101" s="37">
        <v>3.5336596078201556</v>
      </c>
    </row>
    <row r="9102" spans="27:30" x14ac:dyDescent="0.3">
      <c r="AA9102" s="37">
        <v>9082</v>
      </c>
      <c r="AB9102" s="37">
        <v>1.7719747794672343</v>
      </c>
      <c r="AC9102" s="37">
        <v>2.7764533145878199</v>
      </c>
      <c r="AD9102" s="37">
        <v>3.3922835984029223</v>
      </c>
    </row>
    <row r="9103" spans="27:30" x14ac:dyDescent="0.3">
      <c r="AA9103" s="37">
        <v>9083</v>
      </c>
      <c r="AB9103" s="37">
        <v>1.7278069027326961</v>
      </c>
      <c r="AC9103" s="37">
        <v>2.8787255048650544</v>
      </c>
      <c r="AD9103" s="37">
        <v>3.4796439353412381</v>
      </c>
    </row>
    <row r="9104" spans="27:30" x14ac:dyDescent="0.3">
      <c r="AA9104" s="37">
        <v>9084</v>
      </c>
      <c r="AB9104" s="37">
        <v>1.8375190254087781</v>
      </c>
      <c r="AC9104" s="37">
        <v>2.9138264903455031</v>
      </c>
      <c r="AD9104" s="37">
        <v>3.3798915641200531</v>
      </c>
    </row>
    <row r="9105" spans="27:30" x14ac:dyDescent="0.3">
      <c r="AA9105" s="37">
        <v>9085</v>
      </c>
      <c r="AB9105" s="37">
        <v>1.8772413685269704</v>
      </c>
      <c r="AC9105" s="37">
        <v>2.7878616652856434</v>
      </c>
      <c r="AD9105" s="37">
        <v>3.3858788080198758</v>
      </c>
    </row>
    <row r="9106" spans="27:30" x14ac:dyDescent="0.3">
      <c r="AA9106" s="37">
        <v>9086</v>
      </c>
      <c r="AB9106" s="37">
        <v>1.8181615203144841</v>
      </c>
      <c r="AC9106" s="37">
        <v>2.8754678638501585</v>
      </c>
      <c r="AD9106" s="37">
        <v>3.3605725211415294</v>
      </c>
    </row>
    <row r="9107" spans="27:30" x14ac:dyDescent="0.3">
      <c r="AA9107" s="37">
        <v>9087</v>
      </c>
      <c r="AB9107" s="37">
        <v>1.8385274284876021</v>
      </c>
      <c r="AC9107" s="37">
        <v>2.8190044565794183</v>
      </c>
      <c r="AD9107" s="37">
        <v>3.2370909821727283</v>
      </c>
    </row>
    <row r="9108" spans="27:30" x14ac:dyDescent="0.3">
      <c r="AA9108" s="37">
        <v>9088</v>
      </c>
      <c r="AB9108" s="37">
        <v>1.7794364952109878</v>
      </c>
      <c r="AC9108" s="37">
        <v>2.879698881042418</v>
      </c>
      <c r="AD9108" s="37">
        <v>3.358736953331027</v>
      </c>
    </row>
    <row r="9109" spans="27:30" x14ac:dyDescent="0.3">
      <c r="AA9109" s="37">
        <v>9089</v>
      </c>
      <c r="AB9109" s="37">
        <v>1.6806314818726102</v>
      </c>
      <c r="AC9109" s="37">
        <v>2.8722360404747973</v>
      </c>
      <c r="AD9109" s="37">
        <v>3.3561687429703388</v>
      </c>
    </row>
    <row r="9110" spans="27:30" x14ac:dyDescent="0.3">
      <c r="AA9110" s="37">
        <v>9090</v>
      </c>
      <c r="AB9110" s="37">
        <v>1.7233849612035872</v>
      </c>
      <c r="AC9110" s="37">
        <v>2.8509975747422684</v>
      </c>
      <c r="AD9110" s="37">
        <v>3.3966100720090298</v>
      </c>
    </row>
    <row r="9111" spans="27:30" x14ac:dyDescent="0.3">
      <c r="AA9111" s="37">
        <v>9091</v>
      </c>
      <c r="AB9111" s="37">
        <v>1.8296680905271236</v>
      </c>
      <c r="AC9111" s="37">
        <v>2.6684938875931912</v>
      </c>
      <c r="AD9111" s="37">
        <v>3.3371447367200768</v>
      </c>
    </row>
    <row r="9112" spans="27:30" x14ac:dyDescent="0.3">
      <c r="AA9112" s="37">
        <v>9092</v>
      </c>
      <c r="AB9112" s="37">
        <v>1.7824618960109737</v>
      </c>
      <c r="AC9112" s="37">
        <v>2.8081418901850905</v>
      </c>
      <c r="AD9112" s="37">
        <v>3.3188404018202626</v>
      </c>
    </row>
    <row r="9113" spans="27:30" x14ac:dyDescent="0.3">
      <c r="AA9113" s="37">
        <v>9093</v>
      </c>
      <c r="AB9113" s="37">
        <v>1.8042996309782195</v>
      </c>
      <c r="AC9113" s="37">
        <v>2.8363467995417113</v>
      </c>
      <c r="AD9113" s="37">
        <v>3.3567776507755154</v>
      </c>
    </row>
    <row r="9114" spans="27:30" x14ac:dyDescent="0.3">
      <c r="AA9114" s="37">
        <v>9094</v>
      </c>
      <c r="AB9114" s="37">
        <v>1.8078054995997896</v>
      </c>
      <c r="AC9114" s="37">
        <v>2.7905772887892457</v>
      </c>
      <c r="AD9114" s="37">
        <v>3.3136378352749247</v>
      </c>
    </row>
    <row r="9115" spans="27:30" x14ac:dyDescent="0.3">
      <c r="AA9115" s="37">
        <v>9095</v>
      </c>
      <c r="AB9115" s="37">
        <v>1.7675578795545828</v>
      </c>
      <c r="AC9115" s="37">
        <v>2.7612374758046538</v>
      </c>
      <c r="AD9115" s="37">
        <v>3.4231929926492581</v>
      </c>
    </row>
    <row r="9116" spans="27:30" x14ac:dyDescent="0.3">
      <c r="AA9116" s="37">
        <v>9096</v>
      </c>
      <c r="AB9116" s="37">
        <v>1.7446273528477916</v>
      </c>
      <c r="AC9116" s="37">
        <v>2.8233257056730379</v>
      </c>
      <c r="AD9116" s="37">
        <v>3.5117989847767261</v>
      </c>
    </row>
    <row r="9117" spans="27:30" x14ac:dyDescent="0.3">
      <c r="AA9117" s="37">
        <v>9097</v>
      </c>
      <c r="AB9117" s="37">
        <v>1.8051926841439898</v>
      </c>
      <c r="AC9117" s="37">
        <v>2.8681985355722075</v>
      </c>
      <c r="AD9117" s="37">
        <v>3.2523117327920388</v>
      </c>
    </row>
    <row r="9118" spans="27:30" x14ac:dyDescent="0.3">
      <c r="AA9118" s="37">
        <v>9098</v>
      </c>
      <c r="AB9118" s="37">
        <v>1.8091477427930931</v>
      </c>
      <c r="AC9118" s="37">
        <v>2.7122716412187398</v>
      </c>
      <c r="AD9118" s="37">
        <v>3.4404578203111731</v>
      </c>
    </row>
    <row r="9119" spans="27:30" x14ac:dyDescent="0.3">
      <c r="AA9119" s="37">
        <v>9099</v>
      </c>
      <c r="AB9119" s="37">
        <v>1.8769501199766303</v>
      </c>
      <c r="AC9119" s="37">
        <v>2.786367404604567</v>
      </c>
      <c r="AD9119" s="37">
        <v>3.244894868622064</v>
      </c>
    </row>
    <row r="9120" spans="27:30" x14ac:dyDescent="0.3">
      <c r="AA9120" s="37">
        <v>9100</v>
      </c>
      <c r="AB9120" s="37">
        <v>1.7325214080457376</v>
      </c>
      <c r="AC9120" s="37">
        <v>2.9511998511842448</v>
      </c>
      <c r="AD9120" s="37">
        <v>3.3509369567445773</v>
      </c>
    </row>
    <row r="9121" spans="27:30" x14ac:dyDescent="0.3">
      <c r="AA9121" s="37">
        <v>9101</v>
      </c>
      <c r="AB9121" s="37">
        <v>1.744402476934098</v>
      </c>
      <c r="AC9121" s="37">
        <v>2.6625921419951046</v>
      </c>
      <c r="AD9121" s="37">
        <v>3.3504056354272032</v>
      </c>
    </row>
    <row r="9122" spans="27:30" x14ac:dyDescent="0.3">
      <c r="AA9122" s="37">
        <v>9102</v>
      </c>
      <c r="AB9122" s="37">
        <v>1.6840691631796676</v>
      </c>
      <c r="AC9122" s="37">
        <v>2.960499765840682</v>
      </c>
      <c r="AD9122" s="37">
        <v>3.4415087548549952</v>
      </c>
    </row>
    <row r="9123" spans="27:30" x14ac:dyDescent="0.3">
      <c r="AA9123" s="37">
        <v>9103</v>
      </c>
      <c r="AB9123" s="37">
        <v>1.8839602663884669</v>
      </c>
      <c r="AC9123" s="37">
        <v>2.7274173659865379</v>
      </c>
      <c r="AD9123" s="37">
        <v>3.1931344395064234</v>
      </c>
    </row>
    <row r="9124" spans="27:30" x14ac:dyDescent="0.3">
      <c r="AA9124" s="37">
        <v>9104</v>
      </c>
      <c r="AB9124" s="37">
        <v>1.8317239669168117</v>
      </c>
      <c r="AC9124" s="37">
        <v>2.8684079765328701</v>
      </c>
      <c r="AD9124" s="37">
        <v>3.3010247885352393</v>
      </c>
    </row>
    <row r="9125" spans="27:30" x14ac:dyDescent="0.3">
      <c r="AA9125" s="37">
        <v>9105</v>
      </c>
      <c r="AB9125" s="37">
        <v>1.71853871195494</v>
      </c>
      <c r="AC9125" s="37">
        <v>2.8047149125428645</v>
      </c>
      <c r="AD9125" s="37">
        <v>3.4227643630119426</v>
      </c>
    </row>
    <row r="9126" spans="27:30" x14ac:dyDescent="0.3">
      <c r="AA9126" s="37">
        <v>9106</v>
      </c>
      <c r="AB9126" s="37">
        <v>1.7548442162133489</v>
      </c>
      <c r="AC9126" s="37">
        <v>2.6779388443728109</v>
      </c>
      <c r="AD9126" s="37">
        <v>3.3839743673243685</v>
      </c>
    </row>
    <row r="9127" spans="27:30" x14ac:dyDescent="0.3">
      <c r="AA9127" s="37">
        <v>9107</v>
      </c>
      <c r="AB9127" s="37">
        <v>1.7705914593060139</v>
      </c>
      <c r="AC9127" s="37">
        <v>2.831721972622375</v>
      </c>
      <c r="AD9127" s="37">
        <v>3.390885692161413</v>
      </c>
    </row>
    <row r="9128" spans="27:30" x14ac:dyDescent="0.3">
      <c r="AA9128" s="37">
        <v>9108</v>
      </c>
      <c r="AB9128" s="37">
        <v>1.7903641129525842</v>
      </c>
      <c r="AC9128" s="37">
        <v>2.7578001022733458</v>
      </c>
      <c r="AD9128" s="37">
        <v>3.32911349139084</v>
      </c>
    </row>
    <row r="9129" spans="27:30" x14ac:dyDescent="0.3">
      <c r="AA9129" s="37">
        <v>9109</v>
      </c>
      <c r="AB9129" s="37">
        <v>1.8375995472240703</v>
      </c>
      <c r="AC9129" s="37">
        <v>2.9912674811216391</v>
      </c>
      <c r="AD9129" s="37">
        <v>3.257222805719544</v>
      </c>
    </row>
    <row r="9130" spans="27:30" x14ac:dyDescent="0.3">
      <c r="AA9130" s="37">
        <v>9110</v>
      </c>
      <c r="AB9130" s="37">
        <v>1.8154692741964089</v>
      </c>
      <c r="AC9130" s="37">
        <v>2.8266632099130673</v>
      </c>
      <c r="AD9130" s="37">
        <v>3.3973361293914484</v>
      </c>
    </row>
    <row r="9131" spans="27:30" x14ac:dyDescent="0.3">
      <c r="AA9131" s="37">
        <v>9111</v>
      </c>
      <c r="AB9131" s="37">
        <v>1.7383571248608305</v>
      </c>
      <c r="AC9131" s="37">
        <v>2.9705054405305997</v>
      </c>
      <c r="AD9131" s="37">
        <v>3.2720268685630138</v>
      </c>
    </row>
    <row r="9132" spans="27:30" x14ac:dyDescent="0.3">
      <c r="AA9132" s="37">
        <v>9112</v>
      </c>
      <c r="AB9132" s="37">
        <v>1.7837599424995119</v>
      </c>
      <c r="AC9132" s="37">
        <v>2.9706524444393634</v>
      </c>
      <c r="AD9132" s="37">
        <v>3.3239312296835415</v>
      </c>
    </row>
    <row r="9133" spans="27:30" x14ac:dyDescent="0.3">
      <c r="AA9133" s="37">
        <v>9113</v>
      </c>
      <c r="AB9133" s="37">
        <v>1.811343124061165</v>
      </c>
      <c r="AC9133" s="37">
        <v>2.9136429326134032</v>
      </c>
      <c r="AD9133" s="37">
        <v>3.3794511835507688</v>
      </c>
    </row>
    <row r="9134" spans="27:30" x14ac:dyDescent="0.3">
      <c r="AA9134" s="37">
        <v>9114</v>
      </c>
      <c r="AB9134" s="37">
        <v>1.8179586481695664</v>
      </c>
      <c r="AC9134" s="37">
        <v>2.9861399330042859</v>
      </c>
      <c r="AD9134" s="37">
        <v>3.235121854367609</v>
      </c>
    </row>
    <row r="9135" spans="27:30" x14ac:dyDescent="0.3">
      <c r="AA9135" s="37">
        <v>9115</v>
      </c>
      <c r="AB9135" s="37">
        <v>1.6913481968037989</v>
      </c>
      <c r="AC9135" s="37">
        <v>2.9513851725620697</v>
      </c>
      <c r="AD9135" s="37">
        <v>3.4755121390570434</v>
      </c>
    </row>
    <row r="9136" spans="27:30" x14ac:dyDescent="0.3">
      <c r="AA9136" s="37">
        <v>9116</v>
      </c>
      <c r="AB9136" s="37">
        <v>1.8566512892824936</v>
      </c>
      <c r="AC9136" s="37">
        <v>2.8934499495080344</v>
      </c>
      <c r="AD9136" s="37">
        <v>3.3988702591339268</v>
      </c>
    </row>
    <row r="9137" spans="27:30" x14ac:dyDescent="0.3">
      <c r="AA9137" s="37">
        <v>9117</v>
      </c>
      <c r="AB9137" s="37">
        <v>1.7699119636688443</v>
      </c>
      <c r="AC9137" s="37">
        <v>2.7475009145437888</v>
      </c>
      <c r="AD9137" s="37">
        <v>3.6141952802627704</v>
      </c>
    </row>
    <row r="9138" spans="27:30" x14ac:dyDescent="0.3">
      <c r="AA9138" s="37">
        <v>9118</v>
      </c>
      <c r="AB9138" s="37">
        <v>1.7351704487061235</v>
      </c>
      <c r="AC9138" s="37">
        <v>2.9759812365795435</v>
      </c>
      <c r="AD9138" s="37">
        <v>3.361285747426475</v>
      </c>
    </row>
    <row r="9139" spans="27:30" x14ac:dyDescent="0.3">
      <c r="AA9139" s="37">
        <v>9119</v>
      </c>
      <c r="AB9139" s="37">
        <v>1.7483538675980836</v>
      </c>
      <c r="AC9139" s="37">
        <v>2.9754788264398457</v>
      </c>
      <c r="AD9139" s="37">
        <v>3.1564184760154461</v>
      </c>
    </row>
    <row r="9140" spans="27:30" x14ac:dyDescent="0.3">
      <c r="AA9140" s="37">
        <v>9120</v>
      </c>
      <c r="AB9140" s="37">
        <v>1.7278966337337456</v>
      </c>
      <c r="AC9140" s="37">
        <v>2.6239550720963436</v>
      </c>
      <c r="AD9140" s="37">
        <v>3.4327694017969534</v>
      </c>
    </row>
    <row r="9141" spans="27:30" x14ac:dyDescent="0.3">
      <c r="AA9141" s="37">
        <v>9121</v>
      </c>
      <c r="AB9141" s="37">
        <v>1.7778151036648706</v>
      </c>
      <c r="AC9141" s="37">
        <v>2.8019517717015088</v>
      </c>
      <c r="AD9141" s="37">
        <v>3.5477117884863048</v>
      </c>
    </row>
    <row r="9142" spans="27:30" x14ac:dyDescent="0.3">
      <c r="AA9142" s="37">
        <v>9122</v>
      </c>
      <c r="AB9142" s="37">
        <v>1.6773466653157063</v>
      </c>
      <c r="AC9142" s="37">
        <v>2.745950884690525</v>
      </c>
      <c r="AD9142" s="37">
        <v>3.3717906752575919</v>
      </c>
    </row>
    <row r="9143" spans="27:30" x14ac:dyDescent="0.3">
      <c r="AA9143" s="37">
        <v>9123</v>
      </c>
      <c r="AB9143" s="37">
        <v>1.7103887650812855</v>
      </c>
      <c r="AC9143" s="37">
        <v>2.8434715133207753</v>
      </c>
      <c r="AD9143" s="37">
        <v>3.3990606403073427</v>
      </c>
    </row>
    <row r="9144" spans="27:30" x14ac:dyDescent="0.3">
      <c r="AA9144" s="37">
        <v>9124</v>
      </c>
      <c r="AB9144" s="37">
        <v>1.7681663263672396</v>
      </c>
      <c r="AC9144" s="37">
        <v>2.8482634294152755</v>
      </c>
      <c r="AD9144" s="37">
        <v>3.3554059346387626</v>
      </c>
    </row>
    <row r="9145" spans="27:30" x14ac:dyDescent="0.3">
      <c r="AA9145" s="37">
        <v>9125</v>
      </c>
      <c r="AB9145" s="37">
        <v>1.7555434485009849</v>
      </c>
      <c r="AC9145" s="37">
        <v>2.8565516309247179</v>
      </c>
      <c r="AD9145" s="37">
        <v>3.4026586065198767</v>
      </c>
    </row>
    <row r="9146" spans="27:30" x14ac:dyDescent="0.3">
      <c r="AA9146" s="37">
        <v>9126</v>
      </c>
      <c r="AB9146" s="37">
        <v>1.8486727858886878</v>
      </c>
      <c r="AC9146" s="37">
        <v>2.8966619296798153</v>
      </c>
      <c r="AD9146" s="37">
        <v>3.4810496967031077</v>
      </c>
    </row>
    <row r="9147" spans="27:30" x14ac:dyDescent="0.3">
      <c r="AA9147" s="37">
        <v>9127</v>
      </c>
      <c r="AB9147" s="37">
        <v>1.8023458514953237</v>
      </c>
      <c r="AC9147" s="37">
        <v>2.8876248296234279</v>
      </c>
      <c r="AD9147" s="37">
        <v>3.3315040774974762</v>
      </c>
    </row>
    <row r="9148" spans="27:30" x14ac:dyDescent="0.3">
      <c r="AA9148" s="37">
        <v>9128</v>
      </c>
      <c r="AB9148" s="37">
        <v>1.8891815265642962</v>
      </c>
      <c r="AC9148" s="37">
        <v>2.9396605756809269</v>
      </c>
      <c r="AD9148" s="37">
        <v>3.4150276397302419</v>
      </c>
    </row>
    <row r="9149" spans="27:30" x14ac:dyDescent="0.3">
      <c r="AA9149" s="37">
        <v>9129</v>
      </c>
      <c r="AB9149" s="37">
        <v>1.7805416818053477</v>
      </c>
      <c r="AC9149" s="37">
        <v>2.715976461977391</v>
      </c>
      <c r="AD9149" s="37">
        <v>3.4833571624616653</v>
      </c>
    </row>
    <row r="9150" spans="27:30" x14ac:dyDescent="0.3">
      <c r="AA9150" s="37">
        <v>9130</v>
      </c>
      <c r="AB9150" s="37">
        <v>1.8215856906891621</v>
      </c>
      <c r="AC9150" s="37">
        <v>2.9442976724416106</v>
      </c>
      <c r="AD9150" s="37">
        <v>3.1834562142331042</v>
      </c>
    </row>
    <row r="9151" spans="27:30" x14ac:dyDescent="0.3">
      <c r="AA9151" s="37">
        <v>9131</v>
      </c>
      <c r="AB9151" s="37">
        <v>1.7070681064234385</v>
      </c>
      <c r="AC9151" s="37">
        <v>2.7681833936403875</v>
      </c>
      <c r="AD9151" s="37">
        <v>3.0850283621047128</v>
      </c>
    </row>
    <row r="9152" spans="27:30" x14ac:dyDescent="0.3">
      <c r="AA9152" s="37">
        <v>9132</v>
      </c>
      <c r="AB9152" s="37">
        <v>1.8042847487464455</v>
      </c>
      <c r="AC9152" s="37">
        <v>2.9645035666235526</v>
      </c>
      <c r="AD9152" s="37">
        <v>3.4422281833716579</v>
      </c>
    </row>
    <row r="9153" spans="27:30" x14ac:dyDescent="0.3">
      <c r="AA9153" s="37">
        <v>9133</v>
      </c>
      <c r="AB9153" s="37">
        <v>1.760240465812716</v>
      </c>
      <c r="AC9153" s="37">
        <v>2.9212866841706306</v>
      </c>
      <c r="AD9153" s="37">
        <v>3.3303745965378702</v>
      </c>
    </row>
    <row r="9154" spans="27:30" x14ac:dyDescent="0.3">
      <c r="AA9154" s="37">
        <v>9134</v>
      </c>
      <c r="AB9154" s="37">
        <v>1.8924196108522446</v>
      </c>
      <c r="AC9154" s="37">
        <v>2.66506464970153</v>
      </c>
      <c r="AD9154" s="37">
        <v>3.4018543934585139</v>
      </c>
    </row>
    <row r="9155" spans="27:30" x14ac:dyDescent="0.3">
      <c r="AA9155" s="37">
        <v>9135</v>
      </c>
      <c r="AB9155" s="37">
        <v>1.8660920643204397</v>
      </c>
      <c r="AC9155" s="37">
        <v>2.8465488101980942</v>
      </c>
      <c r="AD9155" s="37">
        <v>3.6138862663734947</v>
      </c>
    </row>
    <row r="9156" spans="27:30" x14ac:dyDescent="0.3">
      <c r="AA9156" s="37">
        <v>9136</v>
      </c>
      <c r="AB9156" s="37">
        <v>1.7627917554585706</v>
      </c>
      <c r="AC9156" s="37">
        <v>2.7526632638820066</v>
      </c>
      <c r="AD9156" s="37">
        <v>3.1887034739938915</v>
      </c>
    </row>
    <row r="9157" spans="27:30" x14ac:dyDescent="0.3">
      <c r="AA9157" s="37">
        <v>9137</v>
      </c>
      <c r="AB9157" s="37">
        <v>1.7060936828134168</v>
      </c>
      <c r="AC9157" s="37">
        <v>2.8899735967621973</v>
      </c>
      <c r="AD9157" s="37">
        <v>3.4662745244739503</v>
      </c>
    </row>
    <row r="9158" spans="27:30" x14ac:dyDescent="0.3">
      <c r="AA9158" s="37">
        <v>9138</v>
      </c>
      <c r="AB9158" s="37">
        <v>1.783893227592829</v>
      </c>
      <c r="AC9158" s="37">
        <v>2.808193998815339</v>
      </c>
      <c r="AD9158" s="37">
        <v>3.4879959366924926</v>
      </c>
    </row>
    <row r="9159" spans="27:30" x14ac:dyDescent="0.3">
      <c r="AA9159" s="37">
        <v>9139</v>
      </c>
      <c r="AB9159" s="37">
        <v>1.7749953430684184</v>
      </c>
      <c r="AC9159" s="37">
        <v>2.9290791788895514</v>
      </c>
      <c r="AD9159" s="37">
        <v>3.4145264799654167</v>
      </c>
    </row>
    <row r="9160" spans="27:30" x14ac:dyDescent="0.3">
      <c r="AA9160" s="37">
        <v>9140</v>
      </c>
      <c r="AB9160" s="37">
        <v>1.8042376389149091</v>
      </c>
      <c r="AC9160" s="37">
        <v>2.8556913459697753</v>
      </c>
      <c r="AD9160" s="37">
        <v>3.5357573770203246</v>
      </c>
    </row>
    <row r="9161" spans="27:30" x14ac:dyDescent="0.3">
      <c r="AA9161" s="37">
        <v>9141</v>
      </c>
      <c r="AB9161" s="37">
        <v>1.8494053347527815</v>
      </c>
      <c r="AC9161" s="37">
        <v>2.8886957120481647</v>
      </c>
      <c r="AD9161" s="37">
        <v>3.2657782447430468</v>
      </c>
    </row>
    <row r="9162" spans="27:30" x14ac:dyDescent="0.3">
      <c r="AA9162" s="37">
        <v>9142</v>
      </c>
      <c r="AB9162" s="37">
        <v>1.7950429233629355</v>
      </c>
      <c r="AC9162" s="37">
        <v>2.7886923187059778</v>
      </c>
      <c r="AD9162" s="37">
        <v>3.2501124976210698</v>
      </c>
    </row>
    <row r="9163" spans="27:30" x14ac:dyDescent="0.3">
      <c r="AA9163" s="37">
        <v>9143</v>
      </c>
      <c r="AB9163" s="37">
        <v>1.7882740631140062</v>
      </c>
      <c r="AC9163" s="37">
        <v>2.9002393084238691</v>
      </c>
      <c r="AD9163" s="37">
        <v>3.0864005566535404</v>
      </c>
    </row>
    <row r="9164" spans="27:30" x14ac:dyDescent="0.3">
      <c r="AA9164" s="37">
        <v>9144</v>
      </c>
      <c r="AB9164" s="37">
        <v>1.7310144380528534</v>
      </c>
      <c r="AC9164" s="37">
        <v>2.9762919322345591</v>
      </c>
      <c r="AD9164" s="37">
        <v>3.4853985253732742</v>
      </c>
    </row>
    <row r="9165" spans="27:30" x14ac:dyDescent="0.3">
      <c r="AA9165" s="37">
        <v>9145</v>
      </c>
      <c r="AB9165" s="37">
        <v>1.8396489550119635</v>
      </c>
      <c r="AC9165" s="37">
        <v>2.6109898669107872</v>
      </c>
      <c r="AD9165" s="37">
        <v>3.2832609659019272</v>
      </c>
    </row>
    <row r="9166" spans="27:30" x14ac:dyDescent="0.3">
      <c r="AA9166" s="37">
        <v>9146</v>
      </c>
      <c r="AB9166" s="37">
        <v>1.7885476997956109</v>
      </c>
      <c r="AC9166" s="37">
        <v>2.9870763285628423</v>
      </c>
      <c r="AD9166" s="37">
        <v>3.3442087639200664</v>
      </c>
    </row>
    <row r="9167" spans="27:30" x14ac:dyDescent="0.3">
      <c r="AA9167" s="37">
        <v>9147</v>
      </c>
      <c r="AB9167" s="37">
        <v>1.8832745980763022</v>
      </c>
      <c r="AC9167" s="37">
        <v>2.7587161422889421</v>
      </c>
      <c r="AD9167" s="37">
        <v>3.7021875253140175</v>
      </c>
    </row>
    <row r="9168" spans="27:30" x14ac:dyDescent="0.3">
      <c r="AA9168" s="37">
        <v>9148</v>
      </c>
      <c r="AB9168" s="37">
        <v>1.6917102108976034</v>
      </c>
      <c r="AC9168" s="37">
        <v>3.0423091291239563</v>
      </c>
      <c r="AD9168" s="37">
        <v>3.4285799440001075</v>
      </c>
    </row>
    <row r="9169" spans="27:30" x14ac:dyDescent="0.3">
      <c r="AA9169" s="37">
        <v>9149</v>
      </c>
      <c r="AB9169" s="37">
        <v>1.8597246149632736</v>
      </c>
      <c r="AC9169" s="37">
        <v>2.8345839386008009</v>
      </c>
      <c r="AD9169" s="37">
        <v>3.3330218100873226</v>
      </c>
    </row>
    <row r="9170" spans="27:30" x14ac:dyDescent="0.3">
      <c r="AA9170" s="37">
        <v>9150</v>
      </c>
      <c r="AB9170" s="37">
        <v>1.6795623024356456</v>
      </c>
      <c r="AC9170" s="37">
        <v>2.8985519039493783</v>
      </c>
      <c r="AD9170" s="37">
        <v>3.4130459793914838</v>
      </c>
    </row>
    <row r="9171" spans="27:30" x14ac:dyDescent="0.3">
      <c r="AA9171" s="37">
        <v>9151</v>
      </c>
      <c r="AB9171" s="37">
        <v>1.6967052991191398</v>
      </c>
      <c r="AC9171" s="37">
        <v>2.7816778553004142</v>
      </c>
      <c r="AD9171" s="37">
        <v>3.6299146089614474</v>
      </c>
    </row>
    <row r="9172" spans="27:30" x14ac:dyDescent="0.3">
      <c r="AA9172" s="37">
        <v>9152</v>
      </c>
      <c r="AB9172" s="37">
        <v>1.8188167785294782</v>
      </c>
      <c r="AC9172" s="37">
        <v>2.9417155854884496</v>
      </c>
      <c r="AD9172" s="37">
        <v>3.4453512740513044</v>
      </c>
    </row>
    <row r="9173" spans="27:30" x14ac:dyDescent="0.3">
      <c r="AA9173" s="37">
        <v>9153</v>
      </c>
      <c r="AB9173" s="37">
        <v>1.8207404611649949</v>
      </c>
      <c r="AC9173" s="37">
        <v>2.7328307392272753</v>
      </c>
      <c r="AD9173" s="37">
        <v>3.6257658231752634</v>
      </c>
    </row>
    <row r="9174" spans="27:30" x14ac:dyDescent="0.3">
      <c r="AA9174" s="37">
        <v>9154</v>
      </c>
      <c r="AB9174" s="37">
        <v>1.6650629772712164</v>
      </c>
      <c r="AC9174" s="37">
        <v>2.733283487902741</v>
      </c>
      <c r="AD9174" s="37">
        <v>3.5685368594934399</v>
      </c>
    </row>
    <row r="9175" spans="27:30" x14ac:dyDescent="0.3">
      <c r="AA9175" s="37">
        <v>9155</v>
      </c>
      <c r="AB9175" s="37">
        <v>1.8919858707341872</v>
      </c>
      <c r="AC9175" s="37">
        <v>3.0070172210107171</v>
      </c>
      <c r="AD9175" s="37">
        <v>3.2479736873453193</v>
      </c>
    </row>
    <row r="9176" spans="27:30" x14ac:dyDescent="0.3">
      <c r="AA9176" s="37">
        <v>9156</v>
      </c>
      <c r="AB9176" s="37">
        <v>1.7144468671134061</v>
      </c>
      <c r="AC9176" s="37">
        <v>2.9284517600177615</v>
      </c>
      <c r="AD9176" s="37">
        <v>3.3059065550110485</v>
      </c>
    </row>
    <row r="9177" spans="27:30" x14ac:dyDescent="0.3">
      <c r="AA9177" s="37">
        <v>9157</v>
      </c>
      <c r="AB9177" s="37">
        <v>1.759976290619355</v>
      </c>
      <c r="AC9177" s="37">
        <v>2.8331219410597925</v>
      </c>
      <c r="AD9177" s="37">
        <v>3.3093641745731421</v>
      </c>
    </row>
    <row r="9178" spans="27:30" x14ac:dyDescent="0.3">
      <c r="AA9178" s="37">
        <v>9158</v>
      </c>
      <c r="AB9178" s="37">
        <v>1.9093684689439985</v>
      </c>
      <c r="AC9178" s="37">
        <v>2.9529901284555931</v>
      </c>
      <c r="AD9178" s="37">
        <v>3.3987271845852041</v>
      </c>
    </row>
    <row r="9179" spans="27:30" x14ac:dyDescent="0.3">
      <c r="AA9179" s="37">
        <v>9159</v>
      </c>
      <c r="AB9179" s="37">
        <v>1.7899492602736089</v>
      </c>
      <c r="AC9179" s="37">
        <v>2.9153435827371803</v>
      </c>
      <c r="AD9179" s="37">
        <v>3.2730946375418335</v>
      </c>
    </row>
    <row r="9180" spans="27:30" x14ac:dyDescent="0.3">
      <c r="AA9180" s="37">
        <v>9160</v>
      </c>
      <c r="AB9180" s="37">
        <v>1.8036786244992675</v>
      </c>
      <c r="AC9180" s="37">
        <v>2.9539300879088963</v>
      </c>
      <c r="AD9180" s="37">
        <v>3.467962919755017</v>
      </c>
    </row>
    <row r="9181" spans="27:30" x14ac:dyDescent="0.3">
      <c r="AA9181" s="37">
        <v>9161</v>
      </c>
      <c r="AB9181" s="37">
        <v>1.8823561770351351</v>
      </c>
      <c r="AC9181" s="37">
        <v>2.9089431729443658</v>
      </c>
      <c r="AD9181" s="37">
        <v>3.2979563885194771</v>
      </c>
    </row>
    <row r="9182" spans="27:30" x14ac:dyDescent="0.3">
      <c r="AA9182" s="37">
        <v>9162</v>
      </c>
      <c r="AB9182" s="37">
        <v>1.7777533678991297</v>
      </c>
      <c r="AC9182" s="37">
        <v>2.7192939608241034</v>
      </c>
      <c r="AD9182" s="37">
        <v>3.2378121764229344</v>
      </c>
    </row>
    <row r="9183" spans="27:30" x14ac:dyDescent="0.3">
      <c r="AA9183" s="37">
        <v>9163</v>
      </c>
      <c r="AB9183" s="37">
        <v>1.7087101562576086</v>
      </c>
      <c r="AC9183" s="37">
        <v>2.7601923467210452</v>
      </c>
      <c r="AD9183" s="37">
        <v>3.5509885466565483</v>
      </c>
    </row>
    <row r="9184" spans="27:30" x14ac:dyDescent="0.3">
      <c r="AA9184" s="37">
        <v>9164</v>
      </c>
      <c r="AB9184" s="37">
        <v>1.831840054091153</v>
      </c>
      <c r="AC9184" s="37">
        <v>2.7261484083797609</v>
      </c>
      <c r="AD9184" s="37">
        <v>3.3632819847251683</v>
      </c>
    </row>
    <row r="9185" spans="27:30" x14ac:dyDescent="0.3">
      <c r="AA9185" s="37">
        <v>9165</v>
      </c>
      <c r="AB9185" s="37">
        <v>1.862391574581461</v>
      </c>
      <c r="AC9185" s="37">
        <v>2.7333136035777441</v>
      </c>
      <c r="AD9185" s="37">
        <v>3.3109601025478792</v>
      </c>
    </row>
    <row r="9186" spans="27:30" x14ac:dyDescent="0.3">
      <c r="AA9186" s="37">
        <v>9166</v>
      </c>
      <c r="AB9186" s="37">
        <v>1.863416614120146</v>
      </c>
      <c r="AC9186" s="37">
        <v>2.8494208823185225</v>
      </c>
      <c r="AD9186" s="37">
        <v>3.5360082517854909</v>
      </c>
    </row>
    <row r="9187" spans="27:30" x14ac:dyDescent="0.3">
      <c r="AA9187" s="37">
        <v>9167</v>
      </c>
      <c r="AB9187" s="37">
        <v>1.8244811326787085</v>
      </c>
      <c r="AC9187" s="37">
        <v>2.9327685818580562</v>
      </c>
      <c r="AD9187" s="37">
        <v>3.2719420205221494</v>
      </c>
    </row>
    <row r="9188" spans="27:30" x14ac:dyDescent="0.3">
      <c r="AA9188" s="37">
        <v>9168</v>
      </c>
      <c r="AB9188" s="37">
        <v>1.8288036328468158</v>
      </c>
      <c r="AC9188" s="37">
        <v>2.806904326545216</v>
      </c>
      <c r="AD9188" s="37">
        <v>3.3731223379409445</v>
      </c>
    </row>
    <row r="9189" spans="27:30" x14ac:dyDescent="0.3">
      <c r="AA9189" s="37">
        <v>9169</v>
      </c>
      <c r="AB9189" s="37">
        <v>1.7917190356047978</v>
      </c>
      <c r="AC9189" s="37">
        <v>2.8830360633334564</v>
      </c>
      <c r="AD9189" s="37">
        <v>3.3015322261246003</v>
      </c>
    </row>
    <row r="9190" spans="27:30" x14ac:dyDescent="0.3">
      <c r="AA9190" s="37">
        <v>9170</v>
      </c>
      <c r="AB9190" s="37">
        <v>1.7815366809845372</v>
      </c>
      <c r="AC9190" s="37">
        <v>2.7652832562677245</v>
      </c>
      <c r="AD9190" s="37">
        <v>3.1659912864068729</v>
      </c>
    </row>
    <row r="9191" spans="27:30" x14ac:dyDescent="0.3">
      <c r="AA9191" s="37">
        <v>9171</v>
      </c>
      <c r="AB9191" s="37">
        <v>1.8209248588017721</v>
      </c>
      <c r="AC9191" s="37">
        <v>2.9038516391530109</v>
      </c>
      <c r="AD9191" s="37">
        <v>3.2922183705015837</v>
      </c>
    </row>
    <row r="9192" spans="27:30" x14ac:dyDescent="0.3">
      <c r="AA9192" s="37">
        <v>9172</v>
      </c>
      <c r="AB9192" s="37">
        <v>1.7324487700809339</v>
      </c>
      <c r="AC9192" s="37">
        <v>2.7008037110052689</v>
      </c>
      <c r="AD9192" s="37">
        <v>3.2661108059698325</v>
      </c>
    </row>
    <row r="9193" spans="27:30" x14ac:dyDescent="0.3">
      <c r="AA9193" s="37">
        <v>9173</v>
      </c>
      <c r="AB9193" s="37">
        <v>1.7026092985461467</v>
      </c>
      <c r="AC9193" s="37">
        <v>2.9576008545858059</v>
      </c>
      <c r="AD9193" s="37">
        <v>3.3532249634931706</v>
      </c>
    </row>
    <row r="9194" spans="27:30" x14ac:dyDescent="0.3">
      <c r="AA9194" s="37">
        <v>9174</v>
      </c>
      <c r="AB9194" s="37">
        <v>1.7418940111079677</v>
      </c>
      <c r="AC9194" s="37">
        <v>2.7599706437271228</v>
      </c>
      <c r="AD9194" s="37">
        <v>3.3628801288159464</v>
      </c>
    </row>
    <row r="9195" spans="27:30" x14ac:dyDescent="0.3">
      <c r="AA9195" s="37">
        <v>9175</v>
      </c>
      <c r="AB9195" s="37">
        <v>1.7734744014307962</v>
      </c>
      <c r="AC9195" s="37">
        <v>2.8278458942314391</v>
      </c>
      <c r="AD9195" s="37">
        <v>3.2959959851593728</v>
      </c>
    </row>
    <row r="9196" spans="27:30" x14ac:dyDescent="0.3">
      <c r="AA9196" s="37">
        <v>9176</v>
      </c>
      <c r="AB9196" s="37">
        <v>1.8728511202279259</v>
      </c>
      <c r="AC9196" s="37">
        <v>2.6967441219026251</v>
      </c>
      <c r="AD9196" s="37">
        <v>3.4222557223997145</v>
      </c>
    </row>
    <row r="9197" spans="27:30" x14ac:dyDescent="0.3">
      <c r="AA9197" s="37">
        <v>9177</v>
      </c>
      <c r="AB9197" s="37">
        <v>1.7326652812979353</v>
      </c>
      <c r="AC9197" s="37">
        <v>2.9143444861575851</v>
      </c>
      <c r="AD9197" s="37">
        <v>3.3158946163995133</v>
      </c>
    </row>
    <row r="9198" spans="27:30" x14ac:dyDescent="0.3">
      <c r="AA9198" s="37">
        <v>9178</v>
      </c>
      <c r="AB9198" s="37">
        <v>1.8311561570335002</v>
      </c>
      <c r="AC9198" s="37">
        <v>3.131523536160512</v>
      </c>
      <c r="AD9198" s="37">
        <v>3.4077730506693493</v>
      </c>
    </row>
    <row r="9199" spans="27:30" x14ac:dyDescent="0.3">
      <c r="AA9199" s="37">
        <v>9179</v>
      </c>
      <c r="AB9199" s="37">
        <v>1.7434500644882809</v>
      </c>
      <c r="AC9199" s="37">
        <v>2.894348467039574</v>
      </c>
      <c r="AD9199" s="37">
        <v>3.2396623577859351</v>
      </c>
    </row>
    <row r="9200" spans="27:30" x14ac:dyDescent="0.3">
      <c r="AA9200" s="37">
        <v>9180</v>
      </c>
      <c r="AB9200" s="37">
        <v>1.839650008299099</v>
      </c>
      <c r="AC9200" s="37">
        <v>3.0129300819124563</v>
      </c>
      <c r="AD9200" s="37">
        <v>3.4031181432835118</v>
      </c>
    </row>
    <row r="9201" spans="27:30" x14ac:dyDescent="0.3">
      <c r="AA9201" s="37">
        <v>9181</v>
      </c>
      <c r="AB9201" s="37">
        <v>1.7699461811466064</v>
      </c>
      <c r="AC9201" s="37">
        <v>2.8726931567291292</v>
      </c>
      <c r="AD9201" s="37">
        <v>3.2464831761561483</v>
      </c>
    </row>
    <row r="9202" spans="27:30" x14ac:dyDescent="0.3">
      <c r="AA9202" s="37">
        <v>9182</v>
      </c>
      <c r="AB9202" s="37">
        <v>1.8826099401362733</v>
      </c>
      <c r="AC9202" s="37">
        <v>2.7869003893778781</v>
      </c>
      <c r="AD9202" s="37">
        <v>3.3587523490215832</v>
      </c>
    </row>
    <row r="9203" spans="27:30" x14ac:dyDescent="0.3">
      <c r="AA9203" s="37">
        <v>9183</v>
      </c>
      <c r="AB9203" s="37">
        <v>1.866747987631652</v>
      </c>
      <c r="AC9203" s="37">
        <v>2.949053567849762</v>
      </c>
      <c r="AD9203" s="37">
        <v>3.3304174242302826</v>
      </c>
    </row>
    <row r="9204" spans="27:30" x14ac:dyDescent="0.3">
      <c r="AA9204" s="37">
        <v>9184</v>
      </c>
      <c r="AB9204" s="37">
        <v>1.9328443360415066</v>
      </c>
      <c r="AC9204" s="37">
        <v>3.0232437411570303</v>
      </c>
      <c r="AD9204" s="37">
        <v>3.4073433718024688</v>
      </c>
    </row>
    <row r="9205" spans="27:30" x14ac:dyDescent="0.3">
      <c r="AA9205" s="37">
        <v>9185</v>
      </c>
      <c r="AB9205" s="37">
        <v>1.8643517080355501</v>
      </c>
      <c r="AC9205" s="37">
        <v>2.9711693225218259</v>
      </c>
      <c r="AD9205" s="37">
        <v>3.0854407574009022</v>
      </c>
    </row>
    <row r="9206" spans="27:30" x14ac:dyDescent="0.3">
      <c r="AA9206" s="37">
        <v>9186</v>
      </c>
      <c r="AB9206" s="37">
        <v>1.7850753297794337</v>
      </c>
      <c r="AC9206" s="37">
        <v>3.0012773034542479</v>
      </c>
      <c r="AD9206" s="37">
        <v>3.3028395897540626</v>
      </c>
    </row>
    <row r="9207" spans="27:30" x14ac:dyDescent="0.3">
      <c r="AA9207" s="37">
        <v>9187</v>
      </c>
      <c r="AB9207" s="37">
        <v>1.7726030522738845</v>
      </c>
      <c r="AC9207" s="37">
        <v>2.8656976732540751</v>
      </c>
      <c r="AD9207" s="37">
        <v>3.317859618128979</v>
      </c>
    </row>
    <row r="9208" spans="27:30" x14ac:dyDescent="0.3">
      <c r="AA9208" s="37">
        <v>9188</v>
      </c>
      <c r="AB9208" s="37">
        <v>1.817839075199368</v>
      </c>
      <c r="AC9208" s="37">
        <v>2.6657385583460051</v>
      </c>
      <c r="AD9208" s="37">
        <v>3.3377278789649019</v>
      </c>
    </row>
    <row r="9209" spans="27:30" x14ac:dyDescent="0.3">
      <c r="AA9209" s="37">
        <v>9189</v>
      </c>
      <c r="AB9209" s="37">
        <v>1.8004776094947526</v>
      </c>
      <c r="AC9209" s="37">
        <v>2.744916382615024</v>
      </c>
      <c r="AD9209" s="37">
        <v>3.4808142769882799</v>
      </c>
    </row>
    <row r="9210" spans="27:30" x14ac:dyDescent="0.3">
      <c r="AA9210" s="37">
        <v>9190</v>
      </c>
      <c r="AB9210" s="37">
        <v>1.8191484174488479</v>
      </c>
      <c r="AC9210" s="37">
        <v>2.9345491785086435</v>
      </c>
      <c r="AD9210" s="37">
        <v>3.2869203601849213</v>
      </c>
    </row>
    <row r="9211" spans="27:30" x14ac:dyDescent="0.3">
      <c r="AA9211" s="37">
        <v>9191</v>
      </c>
      <c r="AB9211" s="37">
        <v>1.724053587867453</v>
      </c>
      <c r="AC9211" s="37">
        <v>3.0756071169090502</v>
      </c>
      <c r="AD9211" s="37">
        <v>3.4730247887733272</v>
      </c>
    </row>
    <row r="9212" spans="27:30" x14ac:dyDescent="0.3">
      <c r="AA9212" s="37">
        <v>9192</v>
      </c>
      <c r="AB9212" s="37">
        <v>1.7684179281859049</v>
      </c>
      <c r="AC9212" s="37">
        <v>2.8903518756516373</v>
      </c>
      <c r="AD9212" s="37">
        <v>3.4326108490156102</v>
      </c>
    </row>
    <row r="9213" spans="27:30" x14ac:dyDescent="0.3">
      <c r="AA9213" s="37">
        <v>9193</v>
      </c>
      <c r="AB9213" s="37">
        <v>1.777183401072356</v>
      </c>
      <c r="AC9213" s="37">
        <v>2.9285356722066584</v>
      </c>
      <c r="AD9213" s="37">
        <v>3.4186667802027517</v>
      </c>
    </row>
    <row r="9214" spans="27:30" x14ac:dyDescent="0.3">
      <c r="AA9214" s="37">
        <v>9194</v>
      </c>
      <c r="AB9214" s="37">
        <v>1.8285371948599156</v>
      </c>
      <c r="AC9214" s="37">
        <v>2.8358706833038325</v>
      </c>
      <c r="AD9214" s="37">
        <v>3.3710119550313129</v>
      </c>
    </row>
    <row r="9215" spans="27:30" x14ac:dyDescent="0.3">
      <c r="AA9215" s="37">
        <v>9195</v>
      </c>
      <c r="AB9215" s="37">
        <v>1.6535609909691518</v>
      </c>
      <c r="AC9215" s="37">
        <v>3.0116508485761924</v>
      </c>
      <c r="AD9215" s="37">
        <v>3.5100912642238797</v>
      </c>
    </row>
    <row r="9216" spans="27:30" x14ac:dyDescent="0.3">
      <c r="AA9216" s="37">
        <v>9196</v>
      </c>
      <c r="AB9216" s="37">
        <v>1.8297126050545791</v>
      </c>
      <c r="AC9216" s="37">
        <v>2.894573951179304</v>
      </c>
      <c r="AD9216" s="37">
        <v>3.4674776656069581</v>
      </c>
    </row>
    <row r="9217" spans="27:30" x14ac:dyDescent="0.3">
      <c r="AA9217" s="37">
        <v>9197</v>
      </c>
      <c r="AB9217" s="37">
        <v>1.7441763563051336</v>
      </c>
      <c r="AC9217" s="37">
        <v>2.8247071195833957</v>
      </c>
      <c r="AD9217" s="37">
        <v>3.4401898640857635</v>
      </c>
    </row>
    <row r="9218" spans="27:30" x14ac:dyDescent="0.3">
      <c r="AA9218" s="37">
        <v>9198</v>
      </c>
      <c r="AB9218" s="37">
        <v>1.7549538245666614</v>
      </c>
      <c r="AC9218" s="37">
        <v>2.8056363080539093</v>
      </c>
      <c r="AD9218" s="37">
        <v>3.2601950701326392</v>
      </c>
    </row>
    <row r="9219" spans="27:30" x14ac:dyDescent="0.3">
      <c r="AA9219" s="37">
        <v>9199</v>
      </c>
      <c r="AB9219" s="37">
        <v>1.6662210896957956</v>
      </c>
      <c r="AC9219" s="37">
        <v>2.8270818745626722</v>
      </c>
      <c r="AD9219" s="37">
        <v>3.3992465553045017</v>
      </c>
    </row>
    <row r="9220" spans="27:30" x14ac:dyDescent="0.3">
      <c r="AA9220" s="37">
        <v>9200</v>
      </c>
      <c r="AB9220" s="37">
        <v>1.8121127254796412</v>
      </c>
      <c r="AC9220" s="37">
        <v>3.0215819808230759</v>
      </c>
      <c r="AD9220" s="37">
        <v>3.3064261056045918</v>
      </c>
    </row>
    <row r="9221" spans="27:30" x14ac:dyDescent="0.3">
      <c r="AA9221" s="37">
        <v>9201</v>
      </c>
      <c r="AB9221" s="37">
        <v>1.7749782291283549</v>
      </c>
      <c r="AC9221" s="37">
        <v>2.7346003728541719</v>
      </c>
      <c r="AD9221" s="37">
        <v>3.5000002180429064</v>
      </c>
    </row>
    <row r="9222" spans="27:30" x14ac:dyDescent="0.3">
      <c r="AA9222" s="37">
        <v>9202</v>
      </c>
      <c r="AB9222" s="37">
        <v>1.9517305527399362</v>
      </c>
      <c r="AC9222" s="37">
        <v>2.881199672203739</v>
      </c>
      <c r="AD9222" s="37">
        <v>3.5295198157569327</v>
      </c>
    </row>
    <row r="9223" spans="27:30" x14ac:dyDescent="0.3">
      <c r="AA9223" s="37">
        <v>9203</v>
      </c>
      <c r="AB9223" s="37">
        <v>1.7715414867933259</v>
      </c>
      <c r="AC9223" s="37">
        <v>2.8081433648461083</v>
      </c>
      <c r="AD9223" s="37">
        <v>3.5949859864952618</v>
      </c>
    </row>
    <row r="9224" spans="27:30" x14ac:dyDescent="0.3">
      <c r="AA9224" s="37">
        <v>9204</v>
      </c>
      <c r="AB9224" s="37">
        <v>1.7710889101149705</v>
      </c>
      <c r="AC9224" s="37">
        <v>2.9928946581448952</v>
      </c>
      <c r="AD9224" s="37">
        <v>3.4551851992307276</v>
      </c>
    </row>
    <row r="9225" spans="27:30" x14ac:dyDescent="0.3">
      <c r="AA9225" s="37">
        <v>9205</v>
      </c>
      <c r="AB9225" s="37">
        <v>1.7481860817181853</v>
      </c>
      <c r="AC9225" s="37">
        <v>2.9217046818217374</v>
      </c>
      <c r="AD9225" s="37">
        <v>3.3782347871298977</v>
      </c>
    </row>
    <row r="9226" spans="27:30" x14ac:dyDescent="0.3">
      <c r="AA9226" s="37">
        <v>9206</v>
      </c>
      <c r="AB9226" s="37">
        <v>1.8343575319109973</v>
      </c>
      <c r="AC9226" s="37">
        <v>2.8455754504672877</v>
      </c>
      <c r="AD9226" s="37">
        <v>3.1247489847773546</v>
      </c>
    </row>
    <row r="9227" spans="27:30" x14ac:dyDescent="0.3">
      <c r="AA9227" s="37">
        <v>9207</v>
      </c>
      <c r="AB9227" s="37">
        <v>1.7455451229098384</v>
      </c>
      <c r="AC9227" s="37">
        <v>2.9277520135888788</v>
      </c>
      <c r="AD9227" s="37">
        <v>3.4422253287922753</v>
      </c>
    </row>
    <row r="9228" spans="27:30" x14ac:dyDescent="0.3">
      <c r="AA9228" s="37">
        <v>9208</v>
      </c>
      <c r="AB9228" s="37">
        <v>1.6625660808993268</v>
      </c>
      <c r="AC9228" s="37">
        <v>2.8555933552564285</v>
      </c>
      <c r="AD9228" s="37">
        <v>3.4086082695161206</v>
      </c>
    </row>
    <row r="9229" spans="27:30" x14ac:dyDescent="0.3">
      <c r="AA9229" s="37">
        <v>9209</v>
      </c>
      <c r="AB9229" s="37">
        <v>1.7624342935311801</v>
      </c>
      <c r="AC9229" s="37">
        <v>2.7662042676158789</v>
      </c>
      <c r="AD9229" s="37">
        <v>3.3905215652546046</v>
      </c>
    </row>
    <row r="9230" spans="27:30" x14ac:dyDescent="0.3">
      <c r="AA9230" s="37">
        <v>9210</v>
      </c>
      <c r="AB9230" s="37">
        <v>1.6610788230834108</v>
      </c>
      <c r="AC9230" s="37">
        <v>2.9508129342422404</v>
      </c>
      <c r="AD9230" s="37">
        <v>3.5851475701034365</v>
      </c>
    </row>
    <row r="9231" spans="27:30" x14ac:dyDescent="0.3">
      <c r="AA9231" s="37">
        <v>9211</v>
      </c>
      <c r="AB9231" s="37">
        <v>1.8290438849751158</v>
      </c>
      <c r="AC9231" s="37">
        <v>2.8368073536079885</v>
      </c>
      <c r="AD9231" s="37">
        <v>3.4510129123728497</v>
      </c>
    </row>
    <row r="9232" spans="27:30" x14ac:dyDescent="0.3">
      <c r="AA9232" s="37">
        <v>9212</v>
      </c>
      <c r="AB9232" s="37">
        <v>1.8659775655153843</v>
      </c>
      <c r="AC9232" s="37">
        <v>2.7839818691678513</v>
      </c>
      <c r="AD9232" s="37">
        <v>3.3642761605803324</v>
      </c>
    </row>
    <row r="9233" spans="27:30" x14ac:dyDescent="0.3">
      <c r="AA9233" s="37">
        <v>9213</v>
      </c>
      <c r="AB9233" s="37">
        <v>1.8725894085379187</v>
      </c>
      <c r="AC9233" s="37">
        <v>2.8325871929274156</v>
      </c>
      <c r="AD9233" s="37">
        <v>3.3289675439667699</v>
      </c>
    </row>
    <row r="9234" spans="27:30" x14ac:dyDescent="0.3">
      <c r="AA9234" s="37">
        <v>9214</v>
      </c>
      <c r="AB9234" s="37">
        <v>1.7615432244181268</v>
      </c>
      <c r="AC9234" s="37">
        <v>2.8198060898589494</v>
      </c>
      <c r="AD9234" s="37">
        <v>3.4998840219898204</v>
      </c>
    </row>
    <row r="9235" spans="27:30" x14ac:dyDescent="0.3">
      <c r="AA9235" s="37">
        <v>9215</v>
      </c>
      <c r="AB9235" s="37">
        <v>1.7580641728801938</v>
      </c>
      <c r="AC9235" s="37">
        <v>2.76112260700461</v>
      </c>
      <c r="AD9235" s="37">
        <v>3.1727581090831567</v>
      </c>
    </row>
    <row r="9236" spans="27:30" x14ac:dyDescent="0.3">
      <c r="AA9236" s="37">
        <v>9216</v>
      </c>
      <c r="AB9236" s="37">
        <v>1.7935856085429573</v>
      </c>
      <c r="AC9236" s="37">
        <v>2.8043778067629139</v>
      </c>
      <c r="AD9236" s="37">
        <v>3.2188200631902553</v>
      </c>
    </row>
    <row r="9237" spans="27:30" x14ac:dyDescent="0.3">
      <c r="AA9237" s="37">
        <v>9217</v>
      </c>
      <c r="AB9237" s="37">
        <v>1.7324747344969584</v>
      </c>
      <c r="AC9237" s="37">
        <v>2.7913021644284735</v>
      </c>
      <c r="AD9237" s="37">
        <v>3.3071394534774718</v>
      </c>
    </row>
    <row r="9238" spans="27:30" x14ac:dyDescent="0.3">
      <c r="AA9238" s="37">
        <v>9218</v>
      </c>
      <c r="AB9238" s="37">
        <v>1.8087465822955897</v>
      </c>
      <c r="AC9238" s="37">
        <v>2.7598656207177839</v>
      </c>
      <c r="AD9238" s="37">
        <v>3.3892672774312849</v>
      </c>
    </row>
    <row r="9239" spans="27:30" x14ac:dyDescent="0.3">
      <c r="AA9239" s="37">
        <v>9219</v>
      </c>
      <c r="AB9239" s="37">
        <v>1.7212502852000979</v>
      </c>
      <c r="AC9239" s="37">
        <v>2.9098574755989013</v>
      </c>
      <c r="AD9239" s="37">
        <v>3.3622391726516212</v>
      </c>
    </row>
    <row r="9240" spans="27:30" x14ac:dyDescent="0.3">
      <c r="AA9240" s="37">
        <v>9220</v>
      </c>
      <c r="AB9240" s="37">
        <v>1.7438885758436056</v>
      </c>
      <c r="AC9240" s="37">
        <v>2.6651345919170311</v>
      </c>
      <c r="AD9240" s="37">
        <v>3.1554712876286279</v>
      </c>
    </row>
    <row r="9241" spans="27:30" x14ac:dyDescent="0.3">
      <c r="AA9241" s="37">
        <v>9221</v>
      </c>
      <c r="AB9241" s="37">
        <v>1.7967418577893028</v>
      </c>
      <c r="AC9241" s="37">
        <v>2.8934066753669878</v>
      </c>
      <c r="AD9241" s="37">
        <v>3.5522131158878438</v>
      </c>
    </row>
    <row r="9242" spans="27:30" x14ac:dyDescent="0.3">
      <c r="AA9242" s="37">
        <v>9222</v>
      </c>
      <c r="AB9242" s="37">
        <v>1.8590587334178865</v>
      </c>
      <c r="AC9242" s="37">
        <v>2.8664651390695068</v>
      </c>
      <c r="AD9242" s="37">
        <v>3.2473303080195959</v>
      </c>
    </row>
    <row r="9243" spans="27:30" x14ac:dyDescent="0.3">
      <c r="AA9243" s="37">
        <v>9223</v>
      </c>
      <c r="AB9243" s="37">
        <v>1.7302056375569976</v>
      </c>
      <c r="AC9243" s="37">
        <v>2.9300173059345291</v>
      </c>
      <c r="AD9243" s="37">
        <v>3.4361451007548567</v>
      </c>
    </row>
    <row r="9244" spans="27:30" x14ac:dyDescent="0.3">
      <c r="AA9244" s="37">
        <v>9224</v>
      </c>
      <c r="AB9244" s="37">
        <v>1.8500250242302669</v>
      </c>
      <c r="AC9244" s="37">
        <v>2.8938305399824125</v>
      </c>
      <c r="AD9244" s="37">
        <v>3.6125443530816788</v>
      </c>
    </row>
    <row r="9245" spans="27:30" x14ac:dyDescent="0.3">
      <c r="AA9245" s="37">
        <v>9225</v>
      </c>
      <c r="AB9245" s="37">
        <v>1.8060918211701902</v>
      </c>
      <c r="AC9245" s="37">
        <v>3.0320746824535019</v>
      </c>
      <c r="AD9245" s="37">
        <v>3.5291435043727981</v>
      </c>
    </row>
    <row r="9246" spans="27:30" x14ac:dyDescent="0.3">
      <c r="AA9246" s="37">
        <v>9226</v>
      </c>
      <c r="AB9246" s="37">
        <v>1.7820476246207775</v>
      </c>
      <c r="AC9246" s="37">
        <v>2.867675802634305</v>
      </c>
      <c r="AD9246" s="37">
        <v>3.2551504016426027</v>
      </c>
    </row>
    <row r="9247" spans="27:30" x14ac:dyDescent="0.3">
      <c r="AA9247" s="37">
        <v>9227</v>
      </c>
      <c r="AB9247" s="37">
        <v>1.8026906255584874</v>
      </c>
      <c r="AC9247" s="37">
        <v>2.9034162656779703</v>
      </c>
      <c r="AD9247" s="37">
        <v>3.2379161185789633</v>
      </c>
    </row>
    <row r="9248" spans="27:30" x14ac:dyDescent="0.3">
      <c r="AA9248" s="37">
        <v>9228</v>
      </c>
      <c r="AB9248" s="37">
        <v>1.7167639947744582</v>
      </c>
      <c r="AC9248" s="37">
        <v>2.7123794639057732</v>
      </c>
      <c r="AD9248" s="37">
        <v>3.3470952610328388</v>
      </c>
    </row>
    <row r="9249" spans="27:30" x14ac:dyDescent="0.3">
      <c r="AA9249" s="37">
        <v>9229</v>
      </c>
      <c r="AB9249" s="37">
        <v>1.8540706467428065</v>
      </c>
      <c r="AC9249" s="37">
        <v>2.8592568045882754</v>
      </c>
      <c r="AD9249" s="37">
        <v>3.3626434237250566</v>
      </c>
    </row>
    <row r="9250" spans="27:30" x14ac:dyDescent="0.3">
      <c r="AA9250" s="37">
        <v>9230</v>
      </c>
      <c r="AB9250" s="37">
        <v>1.8833742255565573</v>
      </c>
      <c r="AC9250" s="37">
        <v>2.786918942541869</v>
      </c>
      <c r="AD9250" s="37">
        <v>3.1985406971788728</v>
      </c>
    </row>
    <row r="9251" spans="27:30" x14ac:dyDescent="0.3">
      <c r="AA9251" s="37">
        <v>9231</v>
      </c>
      <c r="AB9251" s="37">
        <v>1.7963890863981025</v>
      </c>
      <c r="AC9251" s="37">
        <v>2.9582251614305055</v>
      </c>
      <c r="AD9251" s="37">
        <v>3.3950665189519995</v>
      </c>
    </row>
    <row r="9252" spans="27:30" x14ac:dyDescent="0.3">
      <c r="AA9252" s="37">
        <v>9232</v>
      </c>
      <c r="AB9252" s="37">
        <v>1.7420541694478604</v>
      </c>
      <c r="AC9252" s="37">
        <v>2.6571427558090526</v>
      </c>
      <c r="AD9252" s="37">
        <v>3.5626102278474439</v>
      </c>
    </row>
    <row r="9253" spans="27:30" x14ac:dyDescent="0.3">
      <c r="AA9253" s="37">
        <v>9233</v>
      </c>
      <c r="AB9253" s="37">
        <v>1.6657462510408976</v>
      </c>
      <c r="AC9253" s="37">
        <v>2.8337413510262905</v>
      </c>
      <c r="AD9253" s="37">
        <v>3.4294020209966609</v>
      </c>
    </row>
    <row r="9254" spans="27:30" x14ac:dyDescent="0.3">
      <c r="AA9254" s="37">
        <v>9234</v>
      </c>
      <c r="AB9254" s="37">
        <v>1.8428467347532917</v>
      </c>
      <c r="AC9254" s="37">
        <v>2.801300179313047</v>
      </c>
      <c r="AD9254" s="37">
        <v>3.3251348904328601</v>
      </c>
    </row>
    <row r="9255" spans="27:30" x14ac:dyDescent="0.3">
      <c r="AA9255" s="37">
        <v>9235</v>
      </c>
      <c r="AB9255" s="37">
        <v>1.8483916168049128</v>
      </c>
      <c r="AC9255" s="37">
        <v>2.6732289824533564</v>
      </c>
      <c r="AD9255" s="37">
        <v>3.4363089337179193</v>
      </c>
    </row>
    <row r="9256" spans="27:30" x14ac:dyDescent="0.3">
      <c r="AA9256" s="37">
        <v>9236</v>
      </c>
      <c r="AB9256" s="37">
        <v>1.7898174568011078</v>
      </c>
      <c r="AC9256" s="37">
        <v>2.7915335258006375</v>
      </c>
      <c r="AD9256" s="37">
        <v>3.4781500215741095</v>
      </c>
    </row>
    <row r="9257" spans="27:30" x14ac:dyDescent="0.3">
      <c r="AA9257" s="37">
        <v>9237</v>
      </c>
      <c r="AB9257" s="37">
        <v>1.8564600192337473</v>
      </c>
      <c r="AC9257" s="37">
        <v>2.7535151693220095</v>
      </c>
      <c r="AD9257" s="37">
        <v>3.1340647442006793</v>
      </c>
    </row>
    <row r="9258" spans="27:30" x14ac:dyDescent="0.3">
      <c r="AA9258" s="37">
        <v>9238</v>
      </c>
      <c r="AB9258" s="37">
        <v>1.7734778109193237</v>
      </c>
      <c r="AC9258" s="37">
        <v>2.7401750866096815</v>
      </c>
      <c r="AD9258" s="37">
        <v>3.4327373849038851</v>
      </c>
    </row>
    <row r="9259" spans="27:30" x14ac:dyDescent="0.3">
      <c r="AA9259" s="37">
        <v>9239</v>
      </c>
      <c r="AB9259" s="37">
        <v>1.8526809087633844</v>
      </c>
      <c r="AC9259" s="37">
        <v>2.671498412248468</v>
      </c>
      <c r="AD9259" s="37">
        <v>3.2415543697536604</v>
      </c>
    </row>
    <row r="9260" spans="27:30" x14ac:dyDescent="0.3">
      <c r="AA9260" s="37">
        <v>9240</v>
      </c>
      <c r="AB9260" s="37">
        <v>1.7583001925636625</v>
      </c>
      <c r="AC9260" s="37">
        <v>2.8513329255957127</v>
      </c>
      <c r="AD9260" s="37">
        <v>3.6642826901291241</v>
      </c>
    </row>
    <row r="9261" spans="27:30" x14ac:dyDescent="0.3">
      <c r="AA9261" s="37">
        <v>9241</v>
      </c>
      <c r="AB9261" s="37">
        <v>1.7562932568737388</v>
      </c>
      <c r="AC9261" s="37">
        <v>3.0328837404560485</v>
      </c>
      <c r="AD9261" s="37">
        <v>3.0956175472015905</v>
      </c>
    </row>
    <row r="9262" spans="27:30" x14ac:dyDescent="0.3">
      <c r="AA9262" s="37">
        <v>9242</v>
      </c>
      <c r="AB9262" s="37">
        <v>1.8057186530673823</v>
      </c>
      <c r="AC9262" s="37">
        <v>2.8436872251665917</v>
      </c>
      <c r="AD9262" s="37">
        <v>3.2793834862828382</v>
      </c>
    </row>
    <row r="9263" spans="27:30" x14ac:dyDescent="0.3">
      <c r="AA9263" s="37">
        <v>9243</v>
      </c>
      <c r="AB9263" s="37">
        <v>1.7823961699423505</v>
      </c>
      <c r="AC9263" s="37">
        <v>2.8237869509582016</v>
      </c>
      <c r="AD9263" s="37">
        <v>3.2398033148061396</v>
      </c>
    </row>
    <row r="9264" spans="27:30" x14ac:dyDescent="0.3">
      <c r="AA9264" s="37">
        <v>9244</v>
      </c>
      <c r="AB9264" s="37">
        <v>1.7699315862650247</v>
      </c>
      <c r="AC9264" s="37">
        <v>2.7230037385541235</v>
      </c>
      <c r="AD9264" s="37">
        <v>3.4750920766664688</v>
      </c>
    </row>
    <row r="9265" spans="27:30" x14ac:dyDescent="0.3">
      <c r="AA9265" s="37">
        <v>9245</v>
      </c>
      <c r="AB9265" s="37">
        <v>1.8253790677107264</v>
      </c>
      <c r="AC9265" s="37">
        <v>2.9511222189467392</v>
      </c>
      <c r="AD9265" s="37">
        <v>3.3303791472924553</v>
      </c>
    </row>
    <row r="9266" spans="27:30" x14ac:dyDescent="0.3">
      <c r="AA9266" s="37">
        <v>9246</v>
      </c>
      <c r="AB9266" s="37">
        <v>1.7287574941684027</v>
      </c>
      <c r="AC9266" s="37">
        <v>2.9997688839645975</v>
      </c>
      <c r="AD9266" s="37">
        <v>3.3658809276243575</v>
      </c>
    </row>
    <row r="9267" spans="27:30" x14ac:dyDescent="0.3">
      <c r="AA9267" s="37">
        <v>9247</v>
      </c>
      <c r="AB9267" s="37">
        <v>1.776877208422774</v>
      </c>
      <c r="AC9267" s="37">
        <v>2.6777615264216745</v>
      </c>
      <c r="AD9267" s="37">
        <v>3.4593224428271383</v>
      </c>
    </row>
    <row r="9268" spans="27:30" x14ac:dyDescent="0.3">
      <c r="AA9268" s="37">
        <v>9248</v>
      </c>
      <c r="AB9268" s="37">
        <v>1.8437239424011358</v>
      </c>
      <c r="AC9268" s="37">
        <v>2.7654307473729354</v>
      </c>
      <c r="AD9268" s="37">
        <v>3.2950928521907481</v>
      </c>
    </row>
    <row r="9269" spans="27:30" x14ac:dyDescent="0.3">
      <c r="AA9269" s="37">
        <v>9249</v>
      </c>
      <c r="AB9269" s="37">
        <v>1.7761732748414727</v>
      </c>
      <c r="AC9269" s="37">
        <v>2.7864922561807868</v>
      </c>
      <c r="AD9269" s="37">
        <v>3.2976812338114523</v>
      </c>
    </row>
    <row r="9270" spans="27:30" x14ac:dyDescent="0.3">
      <c r="AA9270" s="37">
        <v>9250</v>
      </c>
      <c r="AB9270" s="37">
        <v>1.6287502702855952</v>
      </c>
      <c r="AC9270" s="37">
        <v>3.0112103100191634</v>
      </c>
      <c r="AD9270" s="37">
        <v>3.2855388749483265</v>
      </c>
    </row>
    <row r="9271" spans="27:30" x14ac:dyDescent="0.3">
      <c r="AA9271" s="37">
        <v>9251</v>
      </c>
      <c r="AB9271" s="37">
        <v>1.7879791898321349</v>
      </c>
      <c r="AC9271" s="37">
        <v>2.8916466833402432</v>
      </c>
      <c r="AD9271" s="37">
        <v>3.533516592935301</v>
      </c>
    </row>
    <row r="9272" spans="27:30" x14ac:dyDescent="0.3">
      <c r="AA9272" s="37">
        <v>9252</v>
      </c>
      <c r="AB9272" s="37">
        <v>1.7935998316770834</v>
      </c>
      <c r="AC9272" s="37">
        <v>2.8121732444012304</v>
      </c>
      <c r="AD9272" s="37">
        <v>3.4497313852271665</v>
      </c>
    </row>
    <row r="9273" spans="27:30" x14ac:dyDescent="0.3">
      <c r="AA9273" s="37">
        <v>9253</v>
      </c>
      <c r="AB9273" s="37">
        <v>1.7991365385851059</v>
      </c>
      <c r="AC9273" s="37">
        <v>2.9242055307641874</v>
      </c>
      <c r="AD9273" s="37">
        <v>3.2417472519189019</v>
      </c>
    </row>
    <row r="9274" spans="27:30" x14ac:dyDescent="0.3">
      <c r="AA9274" s="37">
        <v>9254</v>
      </c>
      <c r="AB9274" s="37">
        <v>1.7808564198096739</v>
      </c>
      <c r="AC9274" s="37">
        <v>2.7925986509048477</v>
      </c>
      <c r="AD9274" s="37">
        <v>3.2867460163296518</v>
      </c>
    </row>
    <row r="9275" spans="27:30" x14ac:dyDescent="0.3">
      <c r="AA9275" s="37">
        <v>9255</v>
      </c>
      <c r="AB9275" s="37">
        <v>1.6770858831191877</v>
      </c>
      <c r="AC9275" s="37">
        <v>2.7952572547495831</v>
      </c>
      <c r="AD9275" s="37">
        <v>3.5621277360537142</v>
      </c>
    </row>
    <row r="9276" spans="27:30" x14ac:dyDescent="0.3">
      <c r="AA9276" s="37">
        <v>9256</v>
      </c>
      <c r="AB9276" s="37">
        <v>1.8183487328836281</v>
      </c>
      <c r="AC9276" s="37">
        <v>2.8970221333836808</v>
      </c>
      <c r="AD9276" s="37">
        <v>3.3024035634080513</v>
      </c>
    </row>
    <row r="9277" spans="27:30" x14ac:dyDescent="0.3">
      <c r="AA9277" s="37">
        <v>9257</v>
      </c>
      <c r="AB9277" s="37">
        <v>1.7388002249986241</v>
      </c>
      <c r="AC9277" s="37">
        <v>2.727602569247459</v>
      </c>
      <c r="AD9277" s="37">
        <v>3.1629947706786474</v>
      </c>
    </row>
    <row r="9278" spans="27:30" x14ac:dyDescent="0.3">
      <c r="AA9278" s="37">
        <v>9258</v>
      </c>
      <c r="AB9278" s="37">
        <v>1.9443933529727415</v>
      </c>
      <c r="AC9278" s="37">
        <v>2.7527309625489984</v>
      </c>
      <c r="AD9278" s="37">
        <v>3.4248475064986592</v>
      </c>
    </row>
    <row r="9279" spans="27:30" x14ac:dyDescent="0.3">
      <c r="AA9279" s="37">
        <v>9259</v>
      </c>
      <c r="AB9279" s="37">
        <v>1.8387302456183721</v>
      </c>
      <c r="AC9279" s="37">
        <v>2.9650756458068126</v>
      </c>
      <c r="AD9279" s="37">
        <v>3.5176761467934754</v>
      </c>
    </row>
    <row r="9280" spans="27:30" x14ac:dyDescent="0.3">
      <c r="AA9280" s="37">
        <v>9260</v>
      </c>
      <c r="AB9280" s="37">
        <v>1.7717778549621352</v>
      </c>
      <c r="AC9280" s="37">
        <v>2.766904500760516</v>
      </c>
      <c r="AD9280" s="37">
        <v>3.3335091713660692</v>
      </c>
    </row>
    <row r="9281" spans="27:30" x14ac:dyDescent="0.3">
      <c r="AA9281" s="37">
        <v>9261</v>
      </c>
      <c r="AB9281" s="37">
        <v>1.688225845442346</v>
      </c>
      <c r="AC9281" s="37">
        <v>2.7819238178273693</v>
      </c>
      <c r="AD9281" s="37">
        <v>3.4564381357229346</v>
      </c>
    </row>
    <row r="9282" spans="27:30" x14ac:dyDescent="0.3">
      <c r="AA9282" s="37">
        <v>9262</v>
      </c>
      <c r="AB9282" s="37">
        <v>1.8571083092559739</v>
      </c>
      <c r="AC9282" s="37">
        <v>2.8638044728378351</v>
      </c>
      <c r="AD9282" s="37">
        <v>3.3425404995859025</v>
      </c>
    </row>
    <row r="9283" spans="27:30" x14ac:dyDescent="0.3">
      <c r="AA9283" s="37">
        <v>9263</v>
      </c>
      <c r="AB9283" s="37">
        <v>1.7957049398995248</v>
      </c>
      <c r="AC9283" s="37">
        <v>2.7645982990757814</v>
      </c>
      <c r="AD9283" s="37">
        <v>3.2838302052897719</v>
      </c>
    </row>
    <row r="9284" spans="27:30" x14ac:dyDescent="0.3">
      <c r="AA9284" s="37">
        <v>9264</v>
      </c>
      <c r="AB9284" s="37">
        <v>1.895397752651742</v>
      </c>
      <c r="AC9284" s="37">
        <v>3.0203067588582653</v>
      </c>
      <c r="AD9284" s="37">
        <v>3.2277003655579226</v>
      </c>
    </row>
    <row r="9285" spans="27:30" x14ac:dyDescent="0.3">
      <c r="AA9285" s="37">
        <v>9265</v>
      </c>
      <c r="AB9285" s="37">
        <v>1.8748852861114136</v>
      </c>
      <c r="AC9285" s="37">
        <v>2.8834210614090816</v>
      </c>
      <c r="AD9285" s="37">
        <v>3.2785392481101665</v>
      </c>
    </row>
    <row r="9286" spans="27:30" x14ac:dyDescent="0.3">
      <c r="AA9286" s="37">
        <v>9266</v>
      </c>
      <c r="AB9286" s="37">
        <v>1.7995122572271645</v>
      </c>
      <c r="AC9286" s="37">
        <v>2.8251580653829298</v>
      </c>
      <c r="AD9286" s="37">
        <v>3.2574933547306362</v>
      </c>
    </row>
    <row r="9287" spans="27:30" x14ac:dyDescent="0.3">
      <c r="AA9287" s="37">
        <v>9267</v>
      </c>
      <c r="AB9287" s="37">
        <v>1.8887112970411775</v>
      </c>
      <c r="AC9287" s="37">
        <v>2.8417683685352557</v>
      </c>
      <c r="AD9287" s="37">
        <v>3.2505872354981347</v>
      </c>
    </row>
    <row r="9288" spans="27:30" x14ac:dyDescent="0.3">
      <c r="AA9288" s="37">
        <v>9268</v>
      </c>
      <c r="AB9288" s="37">
        <v>1.7346190764670153</v>
      </c>
      <c r="AC9288" s="37">
        <v>2.8238580354098213</v>
      </c>
      <c r="AD9288" s="37">
        <v>3.3856647452385888</v>
      </c>
    </row>
    <row r="9289" spans="27:30" x14ac:dyDescent="0.3">
      <c r="AA9289" s="37">
        <v>9269</v>
      </c>
      <c r="AB9289" s="37">
        <v>1.8509078072776786</v>
      </c>
      <c r="AC9289" s="37">
        <v>2.6260818819455833</v>
      </c>
      <c r="AD9289" s="37">
        <v>3.4276595623029733</v>
      </c>
    </row>
    <row r="9290" spans="27:30" x14ac:dyDescent="0.3">
      <c r="AA9290" s="37">
        <v>9270</v>
      </c>
      <c r="AB9290" s="37">
        <v>1.7199668215080597</v>
      </c>
      <c r="AC9290" s="37">
        <v>2.8770582043521071</v>
      </c>
      <c r="AD9290" s="37">
        <v>3.3337582723149612</v>
      </c>
    </row>
    <row r="9291" spans="27:30" x14ac:dyDescent="0.3">
      <c r="AA9291" s="37">
        <v>9271</v>
      </c>
      <c r="AB9291" s="37">
        <v>1.8337318729630652</v>
      </c>
      <c r="AC9291" s="37">
        <v>3.0441225871214952</v>
      </c>
      <c r="AD9291" s="37">
        <v>3.3637011585762941</v>
      </c>
    </row>
    <row r="9292" spans="27:30" x14ac:dyDescent="0.3">
      <c r="AA9292" s="37">
        <v>9272</v>
      </c>
      <c r="AB9292" s="37">
        <v>1.8612171322411688</v>
      </c>
      <c r="AC9292" s="37">
        <v>2.774270303807576</v>
      </c>
      <c r="AD9292" s="37">
        <v>3.3556387694511809</v>
      </c>
    </row>
    <row r="9293" spans="27:30" x14ac:dyDescent="0.3">
      <c r="AA9293" s="37">
        <v>9273</v>
      </c>
      <c r="AB9293" s="37">
        <v>1.737709693989171</v>
      </c>
      <c r="AC9293" s="37">
        <v>2.7743770903104559</v>
      </c>
      <c r="AD9293" s="37">
        <v>3.5082210030095284</v>
      </c>
    </row>
    <row r="9294" spans="27:30" x14ac:dyDescent="0.3">
      <c r="AA9294" s="37">
        <v>9274</v>
      </c>
      <c r="AB9294" s="37">
        <v>1.8346062400497529</v>
      </c>
      <c r="AC9294" s="37">
        <v>2.7910265157432459</v>
      </c>
      <c r="AD9294" s="37">
        <v>3.4224506209274304</v>
      </c>
    </row>
    <row r="9295" spans="27:30" x14ac:dyDescent="0.3">
      <c r="AA9295" s="37">
        <v>9275</v>
      </c>
      <c r="AB9295" s="37">
        <v>1.774354000666043</v>
      </c>
      <c r="AC9295" s="37">
        <v>2.7460298015212468</v>
      </c>
      <c r="AD9295" s="37">
        <v>3.4073419621782151</v>
      </c>
    </row>
    <row r="9296" spans="27:30" x14ac:dyDescent="0.3">
      <c r="AA9296" s="37">
        <v>9276</v>
      </c>
      <c r="AB9296" s="37">
        <v>1.8790714098003016</v>
      </c>
      <c r="AC9296" s="37">
        <v>2.9174688178242465</v>
      </c>
      <c r="AD9296" s="37">
        <v>3.2404713324627683</v>
      </c>
    </row>
    <row r="9297" spans="27:30" x14ac:dyDescent="0.3">
      <c r="AA9297" s="37">
        <v>9277</v>
      </c>
      <c r="AB9297" s="37">
        <v>1.7176643988398095</v>
      </c>
      <c r="AC9297" s="37">
        <v>2.8253443744388629</v>
      </c>
      <c r="AD9297" s="37">
        <v>3.4143871139643025</v>
      </c>
    </row>
    <row r="9298" spans="27:30" x14ac:dyDescent="0.3">
      <c r="AA9298" s="37">
        <v>9278</v>
      </c>
      <c r="AB9298" s="37">
        <v>1.8561643139829576</v>
      </c>
      <c r="AC9298" s="37">
        <v>2.7149457322654382</v>
      </c>
      <c r="AD9298" s="37">
        <v>3.1032645845339069</v>
      </c>
    </row>
    <row r="9299" spans="27:30" x14ac:dyDescent="0.3">
      <c r="AA9299" s="37">
        <v>9279</v>
      </c>
      <c r="AB9299" s="37">
        <v>1.7348097922510679</v>
      </c>
      <c r="AC9299" s="37">
        <v>2.7752388406580577</v>
      </c>
      <c r="AD9299" s="37">
        <v>3.2433272703941913</v>
      </c>
    </row>
    <row r="9300" spans="27:30" x14ac:dyDescent="0.3">
      <c r="AA9300" s="37">
        <v>9280</v>
      </c>
      <c r="AB9300" s="37">
        <v>1.8648500267350296</v>
      </c>
      <c r="AC9300" s="37">
        <v>2.8188726088985283</v>
      </c>
      <c r="AD9300" s="37">
        <v>3.4526919837574686</v>
      </c>
    </row>
    <row r="9301" spans="27:30" x14ac:dyDescent="0.3">
      <c r="AA9301" s="37">
        <v>9281</v>
      </c>
      <c r="AB9301" s="37">
        <v>1.9161600718642167</v>
      </c>
      <c r="AC9301" s="37">
        <v>2.7629727771362225</v>
      </c>
      <c r="AD9301" s="37">
        <v>3.2612576785206167</v>
      </c>
    </row>
    <row r="9302" spans="27:30" x14ac:dyDescent="0.3">
      <c r="AA9302" s="37">
        <v>9282</v>
      </c>
      <c r="AB9302" s="37">
        <v>1.8042654662117779</v>
      </c>
      <c r="AC9302" s="37">
        <v>2.8325706649009943</v>
      </c>
      <c r="AD9302" s="37">
        <v>3.3540710962087168</v>
      </c>
    </row>
    <row r="9303" spans="27:30" x14ac:dyDescent="0.3">
      <c r="AA9303" s="37">
        <v>9283</v>
      </c>
      <c r="AB9303" s="37">
        <v>1.7892976666099947</v>
      </c>
      <c r="AC9303" s="37">
        <v>2.9089431301488835</v>
      </c>
      <c r="AD9303" s="37">
        <v>3.4495839393267733</v>
      </c>
    </row>
    <row r="9304" spans="27:30" x14ac:dyDescent="0.3">
      <c r="AA9304" s="37">
        <v>9284</v>
      </c>
      <c r="AB9304" s="37">
        <v>1.7715451547557464</v>
      </c>
      <c r="AC9304" s="37">
        <v>2.8549966087170966</v>
      </c>
      <c r="AD9304" s="37">
        <v>2.9970815338800021</v>
      </c>
    </row>
    <row r="9305" spans="27:30" x14ac:dyDescent="0.3">
      <c r="AA9305" s="37">
        <v>9285</v>
      </c>
      <c r="AB9305" s="37">
        <v>1.7788415488017801</v>
      </c>
      <c r="AC9305" s="37">
        <v>2.8050816308841475</v>
      </c>
      <c r="AD9305" s="37">
        <v>3.3366264769243918</v>
      </c>
    </row>
    <row r="9306" spans="27:30" x14ac:dyDescent="0.3">
      <c r="AA9306" s="37">
        <v>9286</v>
      </c>
      <c r="AB9306" s="37">
        <v>1.768841892843555</v>
      </c>
      <c r="AC9306" s="37">
        <v>2.8651052844670057</v>
      </c>
      <c r="AD9306" s="37">
        <v>3.318612017158566</v>
      </c>
    </row>
    <row r="9307" spans="27:30" x14ac:dyDescent="0.3">
      <c r="AA9307" s="37">
        <v>9287</v>
      </c>
      <c r="AB9307" s="37">
        <v>1.8183049915156422</v>
      </c>
      <c r="AC9307" s="37">
        <v>2.8323963252631819</v>
      </c>
      <c r="AD9307" s="37">
        <v>3.1356332274555241</v>
      </c>
    </row>
    <row r="9308" spans="27:30" x14ac:dyDescent="0.3">
      <c r="AA9308" s="37">
        <v>9288</v>
      </c>
      <c r="AB9308" s="37">
        <v>1.7122627126426009</v>
      </c>
      <c r="AC9308" s="37">
        <v>2.8018744998500549</v>
      </c>
      <c r="AD9308" s="37">
        <v>3.5428757356781291</v>
      </c>
    </row>
    <row r="9309" spans="27:30" x14ac:dyDescent="0.3">
      <c r="AA9309" s="37">
        <v>9289</v>
      </c>
      <c r="AB9309" s="37">
        <v>1.6875907544986828</v>
      </c>
      <c r="AC9309" s="37">
        <v>2.7461871419981581</v>
      </c>
      <c r="AD9309" s="37">
        <v>3.5434782010982229</v>
      </c>
    </row>
    <row r="9310" spans="27:30" x14ac:dyDescent="0.3">
      <c r="AA9310" s="37">
        <v>9290</v>
      </c>
      <c r="AB9310" s="37">
        <v>1.8113678305597565</v>
      </c>
      <c r="AC9310" s="37">
        <v>2.8831696939660656</v>
      </c>
      <c r="AD9310" s="37">
        <v>3.1745546723538034</v>
      </c>
    </row>
    <row r="9311" spans="27:30" x14ac:dyDescent="0.3">
      <c r="AA9311" s="37">
        <v>9291</v>
      </c>
      <c r="AB9311" s="37">
        <v>1.8450708334377697</v>
      </c>
      <c r="AC9311" s="37">
        <v>2.8633418065673779</v>
      </c>
      <c r="AD9311" s="37">
        <v>3.6521347211147193</v>
      </c>
    </row>
    <row r="9312" spans="27:30" x14ac:dyDescent="0.3">
      <c r="AA9312" s="37">
        <v>9292</v>
      </c>
      <c r="AB9312" s="37">
        <v>1.8189225901640247</v>
      </c>
      <c r="AC9312" s="37">
        <v>2.8262545734760449</v>
      </c>
      <c r="AD9312" s="37">
        <v>3.3765326260163682</v>
      </c>
    </row>
    <row r="9313" spans="27:30" x14ac:dyDescent="0.3">
      <c r="AA9313" s="37">
        <v>9293</v>
      </c>
      <c r="AB9313" s="37">
        <v>1.7509575419744157</v>
      </c>
      <c r="AC9313" s="37">
        <v>2.9703614625344592</v>
      </c>
      <c r="AD9313" s="37">
        <v>3.2396423595445518</v>
      </c>
    </row>
    <row r="9314" spans="27:30" x14ac:dyDescent="0.3">
      <c r="AA9314" s="37">
        <v>9294</v>
      </c>
      <c r="AB9314" s="37">
        <v>1.7608875600169558</v>
      </c>
      <c r="AC9314" s="37">
        <v>2.7971143494629387</v>
      </c>
      <c r="AD9314" s="37">
        <v>3.2943767179337931</v>
      </c>
    </row>
    <row r="9315" spans="27:30" x14ac:dyDescent="0.3">
      <c r="AA9315" s="37">
        <v>9295</v>
      </c>
      <c r="AB9315" s="37">
        <v>1.8231027667386652</v>
      </c>
      <c r="AC9315" s="37">
        <v>2.9531916195009771</v>
      </c>
      <c r="AD9315" s="37">
        <v>3.3546487289237543</v>
      </c>
    </row>
    <row r="9316" spans="27:30" x14ac:dyDescent="0.3">
      <c r="AA9316" s="37">
        <v>9296</v>
      </c>
      <c r="AB9316" s="37">
        <v>1.7189085372360691</v>
      </c>
      <c r="AC9316" s="37">
        <v>2.8804006553110142</v>
      </c>
      <c r="AD9316" s="37">
        <v>3.3305966577599824</v>
      </c>
    </row>
    <row r="9317" spans="27:30" x14ac:dyDescent="0.3">
      <c r="AA9317" s="37">
        <v>9297</v>
      </c>
      <c r="AB9317" s="37">
        <v>1.8105404781688774</v>
      </c>
      <c r="AC9317" s="37">
        <v>2.703398133091329</v>
      </c>
      <c r="AD9317" s="37">
        <v>3.2762755288687679</v>
      </c>
    </row>
    <row r="9318" spans="27:30" x14ac:dyDescent="0.3">
      <c r="AA9318" s="37">
        <v>9298</v>
      </c>
      <c r="AB9318" s="37">
        <v>1.8171846948959269</v>
      </c>
      <c r="AC9318" s="37">
        <v>2.840866503697828</v>
      </c>
      <c r="AD9318" s="37">
        <v>3.2594194287090734</v>
      </c>
    </row>
    <row r="9319" spans="27:30" x14ac:dyDescent="0.3">
      <c r="AA9319" s="37">
        <v>9299</v>
      </c>
      <c r="AB9319" s="37">
        <v>1.8438360063840331</v>
      </c>
      <c r="AC9319" s="37">
        <v>2.7407975383211043</v>
      </c>
      <c r="AD9319" s="37">
        <v>3.396019528976284</v>
      </c>
    </row>
    <row r="9320" spans="27:30" x14ac:dyDescent="0.3">
      <c r="AA9320" s="37">
        <v>9300</v>
      </c>
      <c r="AB9320" s="37">
        <v>1.8588089652102844</v>
      </c>
      <c r="AC9320" s="37">
        <v>2.8291601538544859</v>
      </c>
      <c r="AD9320" s="37">
        <v>3.2513863684148241</v>
      </c>
    </row>
    <row r="9321" spans="27:30" x14ac:dyDescent="0.3">
      <c r="AA9321" s="37">
        <v>9301</v>
      </c>
      <c r="AB9321" s="37">
        <v>1.7770032390551687</v>
      </c>
      <c r="AC9321" s="37">
        <v>2.8432681453603958</v>
      </c>
      <c r="AD9321" s="37">
        <v>3.4781159017111838</v>
      </c>
    </row>
    <row r="9322" spans="27:30" x14ac:dyDescent="0.3">
      <c r="AA9322" s="37">
        <v>9302</v>
      </c>
      <c r="AB9322" s="37">
        <v>1.8401494715776541</v>
      </c>
      <c r="AC9322" s="37">
        <v>2.8581403445038442</v>
      </c>
      <c r="AD9322" s="37">
        <v>3.3148845344731996</v>
      </c>
    </row>
    <row r="9323" spans="27:30" x14ac:dyDescent="0.3">
      <c r="AA9323" s="37">
        <v>9303</v>
      </c>
      <c r="AB9323" s="37">
        <v>1.8343293753400369</v>
      </c>
      <c r="AC9323" s="37">
        <v>2.8711018697288466</v>
      </c>
      <c r="AD9323" s="37">
        <v>3.3293095708263638</v>
      </c>
    </row>
    <row r="9324" spans="27:30" x14ac:dyDescent="0.3">
      <c r="AA9324" s="37">
        <v>9304</v>
      </c>
      <c r="AB9324" s="37">
        <v>1.8523870644913751</v>
      </c>
      <c r="AC9324" s="37">
        <v>2.8270242976912412</v>
      </c>
      <c r="AD9324" s="37">
        <v>3.4005770368630364</v>
      </c>
    </row>
    <row r="9325" spans="27:30" x14ac:dyDescent="0.3">
      <c r="AA9325" s="37">
        <v>9305</v>
      </c>
      <c r="AB9325" s="37">
        <v>1.8007808843107838</v>
      </c>
      <c r="AC9325" s="37">
        <v>2.9904270583999888</v>
      </c>
      <c r="AD9325" s="37">
        <v>3.3574883856189897</v>
      </c>
    </row>
    <row r="9326" spans="27:30" x14ac:dyDescent="0.3">
      <c r="AA9326" s="37">
        <v>9306</v>
      </c>
      <c r="AB9326" s="37">
        <v>1.767124939261975</v>
      </c>
      <c r="AC9326" s="37">
        <v>2.7791859387669162</v>
      </c>
      <c r="AD9326" s="37">
        <v>3.3118700191180328</v>
      </c>
    </row>
    <row r="9327" spans="27:30" x14ac:dyDescent="0.3">
      <c r="AA9327" s="37">
        <v>9307</v>
      </c>
      <c r="AB9327" s="37">
        <v>1.6994621471487914</v>
      </c>
      <c r="AC9327" s="37">
        <v>2.946361084737033</v>
      </c>
      <c r="AD9327" s="37">
        <v>3.1445986301826321</v>
      </c>
    </row>
    <row r="9328" spans="27:30" x14ac:dyDescent="0.3">
      <c r="AA9328" s="37">
        <v>9308</v>
      </c>
      <c r="AB9328" s="37">
        <v>1.9024784907399628</v>
      </c>
      <c r="AC9328" s="37">
        <v>2.8086662013413122</v>
      </c>
      <c r="AD9328" s="37">
        <v>3.4704101979366651</v>
      </c>
    </row>
    <row r="9329" spans="27:30" x14ac:dyDescent="0.3">
      <c r="AA9329" s="37">
        <v>9309</v>
      </c>
      <c r="AB9329" s="37">
        <v>1.8422921309238047</v>
      </c>
      <c r="AC9329" s="37">
        <v>2.8670636772297113</v>
      </c>
      <c r="AD9329" s="37">
        <v>3.3054938568998025</v>
      </c>
    </row>
    <row r="9330" spans="27:30" x14ac:dyDescent="0.3">
      <c r="AA9330" s="37">
        <v>9310</v>
      </c>
      <c r="AB9330" s="37">
        <v>1.8613708158146196</v>
      </c>
      <c r="AC9330" s="37">
        <v>2.8492108558448543</v>
      </c>
      <c r="AD9330" s="37">
        <v>3.59605006274447</v>
      </c>
    </row>
    <row r="9331" spans="27:30" x14ac:dyDescent="0.3">
      <c r="AA9331" s="37">
        <v>9311</v>
      </c>
      <c r="AB9331" s="37">
        <v>1.7924680307890184</v>
      </c>
      <c r="AC9331" s="37">
        <v>2.8582665838568699</v>
      </c>
      <c r="AD9331" s="37">
        <v>3.2596796208077032</v>
      </c>
    </row>
    <row r="9332" spans="27:30" x14ac:dyDescent="0.3">
      <c r="AA9332" s="37">
        <v>9312</v>
      </c>
      <c r="AB9332" s="37">
        <v>1.8274954219793955</v>
      </c>
      <c r="AC9332" s="37">
        <v>3.0717673180545551</v>
      </c>
      <c r="AD9332" s="37">
        <v>3.5003730016226506</v>
      </c>
    </row>
    <row r="9333" spans="27:30" x14ac:dyDescent="0.3">
      <c r="AA9333" s="37">
        <v>9313</v>
      </c>
      <c r="AB9333" s="37">
        <v>1.7821475471335937</v>
      </c>
      <c r="AC9333" s="37">
        <v>2.9015560394492863</v>
      </c>
      <c r="AD9333" s="37">
        <v>3.1734742046196001</v>
      </c>
    </row>
    <row r="9334" spans="27:30" x14ac:dyDescent="0.3">
      <c r="AA9334" s="37">
        <v>9314</v>
      </c>
      <c r="AB9334" s="37">
        <v>1.7378417448187518</v>
      </c>
      <c r="AC9334" s="37">
        <v>2.8881704519390872</v>
      </c>
      <c r="AD9334" s="37">
        <v>3.3360357509039642</v>
      </c>
    </row>
    <row r="9335" spans="27:30" x14ac:dyDescent="0.3">
      <c r="AA9335" s="37">
        <v>9315</v>
      </c>
      <c r="AB9335" s="37">
        <v>1.7480322025204218</v>
      </c>
      <c r="AC9335" s="37">
        <v>2.9414501769851835</v>
      </c>
      <c r="AD9335" s="37">
        <v>3.1952469449680816</v>
      </c>
    </row>
    <row r="9336" spans="27:30" x14ac:dyDescent="0.3">
      <c r="AA9336" s="37">
        <v>9316</v>
      </c>
      <c r="AB9336" s="37">
        <v>1.7723439758084927</v>
      </c>
      <c r="AC9336" s="37">
        <v>2.9205640486365136</v>
      </c>
      <c r="AD9336" s="37">
        <v>3.4426757726855368</v>
      </c>
    </row>
    <row r="9337" spans="27:30" x14ac:dyDescent="0.3">
      <c r="AA9337" s="37">
        <v>9317</v>
      </c>
      <c r="AB9337" s="37">
        <v>1.7732320785933744</v>
      </c>
      <c r="AC9337" s="37">
        <v>2.9221308834287902</v>
      </c>
      <c r="AD9337" s="37">
        <v>3.3528536375896896</v>
      </c>
    </row>
    <row r="9338" spans="27:30" x14ac:dyDescent="0.3">
      <c r="AA9338" s="37">
        <v>9318</v>
      </c>
      <c r="AB9338" s="37">
        <v>1.7822386866068896</v>
      </c>
      <c r="AC9338" s="37">
        <v>2.8410234851684986</v>
      </c>
      <c r="AD9338" s="37">
        <v>3.3620055873617947</v>
      </c>
    </row>
    <row r="9339" spans="27:30" x14ac:dyDescent="0.3">
      <c r="AA9339" s="37">
        <v>9319</v>
      </c>
      <c r="AB9339" s="37">
        <v>1.6916920496332206</v>
      </c>
      <c r="AC9339" s="37">
        <v>2.8375047627379963</v>
      </c>
      <c r="AD9339" s="37">
        <v>3.2936503400595734</v>
      </c>
    </row>
    <row r="9340" spans="27:30" x14ac:dyDescent="0.3">
      <c r="AA9340" s="37">
        <v>9320</v>
      </c>
      <c r="AB9340" s="37">
        <v>1.7839704730183843</v>
      </c>
      <c r="AC9340" s="37">
        <v>2.8659426271218513</v>
      </c>
      <c r="AD9340" s="37">
        <v>3.234989546185767</v>
      </c>
    </row>
    <row r="9341" spans="27:30" x14ac:dyDescent="0.3">
      <c r="AA9341" s="37">
        <v>9321</v>
      </c>
      <c r="AB9341" s="37">
        <v>1.9064206204621079</v>
      </c>
      <c r="AC9341" s="37">
        <v>2.7623319347978521</v>
      </c>
      <c r="AD9341" s="37">
        <v>3.2227334688242126</v>
      </c>
    </row>
    <row r="9342" spans="27:30" x14ac:dyDescent="0.3">
      <c r="AA9342" s="37">
        <v>9322</v>
      </c>
      <c r="AB9342" s="37">
        <v>1.7913221248605231</v>
      </c>
      <c r="AC9342" s="37">
        <v>2.8098540352171644</v>
      </c>
      <c r="AD9342" s="37">
        <v>3.3456529700436364</v>
      </c>
    </row>
    <row r="9343" spans="27:30" x14ac:dyDescent="0.3">
      <c r="AA9343" s="37">
        <v>9323</v>
      </c>
      <c r="AB9343" s="37">
        <v>1.6585829413003961</v>
      </c>
      <c r="AC9343" s="37">
        <v>2.8503239694216158</v>
      </c>
      <c r="AD9343" s="37">
        <v>3.4280386889489396</v>
      </c>
    </row>
    <row r="9344" spans="27:30" x14ac:dyDescent="0.3">
      <c r="AA9344" s="37">
        <v>9324</v>
      </c>
      <c r="AB9344" s="37">
        <v>1.8043434159254605</v>
      </c>
      <c r="AC9344" s="37">
        <v>2.8073431647601987</v>
      </c>
      <c r="AD9344" s="37">
        <v>3.274053071123975</v>
      </c>
    </row>
    <row r="9345" spans="27:30" x14ac:dyDescent="0.3">
      <c r="AA9345" s="37">
        <v>9325</v>
      </c>
      <c r="AB9345" s="37">
        <v>1.8483300625388517</v>
      </c>
      <c r="AC9345" s="37">
        <v>2.8805276504195318</v>
      </c>
      <c r="AD9345" s="37">
        <v>3.4621817063227929</v>
      </c>
    </row>
    <row r="9346" spans="27:30" x14ac:dyDescent="0.3">
      <c r="AA9346" s="37">
        <v>9326</v>
      </c>
      <c r="AB9346" s="37">
        <v>1.906426354787937</v>
      </c>
      <c r="AC9346" s="37">
        <v>2.835476619766224</v>
      </c>
      <c r="AD9346" s="37">
        <v>3.371827560789638</v>
      </c>
    </row>
    <row r="9347" spans="27:30" x14ac:dyDescent="0.3">
      <c r="AA9347" s="37">
        <v>9327</v>
      </c>
      <c r="AB9347" s="37">
        <v>1.887336327205837</v>
      </c>
      <c r="AC9347" s="37">
        <v>2.8086260539416976</v>
      </c>
      <c r="AD9347" s="37">
        <v>3.3267914435906727</v>
      </c>
    </row>
    <row r="9348" spans="27:30" x14ac:dyDescent="0.3">
      <c r="AA9348" s="37">
        <v>9328</v>
      </c>
      <c r="AB9348" s="37">
        <v>1.8281388294432992</v>
      </c>
      <c r="AC9348" s="37">
        <v>2.8456039335667254</v>
      </c>
      <c r="AD9348" s="37">
        <v>3.2849889476942562</v>
      </c>
    </row>
    <row r="9349" spans="27:30" x14ac:dyDescent="0.3">
      <c r="AA9349" s="37">
        <v>9329</v>
      </c>
      <c r="AB9349" s="37">
        <v>1.6900250156549332</v>
      </c>
      <c r="AC9349" s="37">
        <v>3.0509884604021238</v>
      </c>
      <c r="AD9349" s="37">
        <v>3.308742260423335</v>
      </c>
    </row>
    <row r="9350" spans="27:30" x14ac:dyDescent="0.3">
      <c r="AA9350" s="37">
        <v>9330</v>
      </c>
      <c r="AB9350" s="37">
        <v>1.7966743426794025</v>
      </c>
      <c r="AC9350" s="37">
        <v>2.6850590721806409</v>
      </c>
      <c r="AD9350" s="37">
        <v>3.5005233404287748</v>
      </c>
    </row>
    <row r="9351" spans="27:30" x14ac:dyDescent="0.3">
      <c r="AA9351" s="37">
        <v>9331</v>
      </c>
      <c r="AB9351" s="37">
        <v>1.6996305084232457</v>
      </c>
      <c r="AC9351" s="37">
        <v>2.8575608208659937</v>
      </c>
      <c r="AD9351" s="37">
        <v>3.3975384113875058</v>
      </c>
    </row>
    <row r="9352" spans="27:30" x14ac:dyDescent="0.3">
      <c r="AA9352" s="37">
        <v>9332</v>
      </c>
      <c r="AB9352" s="37">
        <v>1.7401168288937188</v>
      </c>
      <c r="AC9352" s="37">
        <v>2.6437259525807213</v>
      </c>
      <c r="AD9352" s="37">
        <v>3.2717585510414278</v>
      </c>
    </row>
    <row r="9353" spans="27:30" x14ac:dyDescent="0.3">
      <c r="AA9353" s="37">
        <v>9333</v>
      </c>
      <c r="AB9353" s="37">
        <v>1.9252435242204</v>
      </c>
      <c r="AC9353" s="37">
        <v>2.809178744551434</v>
      </c>
      <c r="AD9353" s="37">
        <v>3.3832694432814909</v>
      </c>
    </row>
    <row r="9354" spans="27:30" x14ac:dyDescent="0.3">
      <c r="AA9354" s="37">
        <v>9334</v>
      </c>
      <c r="AB9354" s="37">
        <v>1.7363796666441118</v>
      </c>
      <c r="AC9354" s="37">
        <v>2.8655848631689693</v>
      </c>
      <c r="AD9354" s="37">
        <v>3.4717303266115991</v>
      </c>
    </row>
    <row r="9355" spans="27:30" x14ac:dyDescent="0.3">
      <c r="AA9355" s="37">
        <v>9335</v>
      </c>
      <c r="AB9355" s="37">
        <v>1.88289946350278</v>
      </c>
      <c r="AC9355" s="37">
        <v>2.9113578872612349</v>
      </c>
      <c r="AD9355" s="37">
        <v>3.5027317398048368</v>
      </c>
    </row>
    <row r="9356" spans="27:30" x14ac:dyDescent="0.3">
      <c r="AA9356" s="37">
        <v>9336</v>
      </c>
      <c r="AB9356" s="37">
        <v>1.8683069113781403</v>
      </c>
      <c r="AC9356" s="37">
        <v>2.8765695625927634</v>
      </c>
      <c r="AD9356" s="37">
        <v>3.3034876821943628</v>
      </c>
    </row>
    <row r="9357" spans="27:30" x14ac:dyDescent="0.3">
      <c r="AA9357" s="37">
        <v>9337</v>
      </c>
      <c r="AB9357" s="37">
        <v>1.8152329982669833</v>
      </c>
      <c r="AC9357" s="37">
        <v>2.6604328402883537</v>
      </c>
      <c r="AD9357" s="37">
        <v>3.2824263318711666</v>
      </c>
    </row>
    <row r="9358" spans="27:30" x14ac:dyDescent="0.3">
      <c r="AA9358" s="37">
        <v>9338</v>
      </c>
      <c r="AB9358" s="37">
        <v>1.8191526312797803</v>
      </c>
      <c r="AC9358" s="37">
        <v>2.6493103192369105</v>
      </c>
      <c r="AD9358" s="37">
        <v>3.4129274846447628</v>
      </c>
    </row>
    <row r="9359" spans="27:30" x14ac:dyDescent="0.3">
      <c r="AA9359" s="37">
        <v>9339</v>
      </c>
      <c r="AB9359" s="37">
        <v>1.7484093579229274</v>
      </c>
      <c r="AC9359" s="37">
        <v>2.860517850022132</v>
      </c>
      <c r="AD9359" s="37">
        <v>3.4151801792676797</v>
      </c>
    </row>
    <row r="9360" spans="27:30" x14ac:dyDescent="0.3">
      <c r="AA9360" s="37">
        <v>9340</v>
      </c>
      <c r="AB9360" s="37">
        <v>1.7793917927364404</v>
      </c>
      <c r="AC9360" s="37">
        <v>2.9491584932573938</v>
      </c>
      <c r="AD9360" s="37">
        <v>3.3754383847925777</v>
      </c>
    </row>
    <row r="9361" spans="27:30" x14ac:dyDescent="0.3">
      <c r="AA9361" s="37">
        <v>9341</v>
      </c>
      <c r="AB9361" s="37">
        <v>1.8918986345727615</v>
      </c>
      <c r="AC9361" s="37">
        <v>2.7131141584069431</v>
      </c>
      <c r="AD9361" s="37">
        <v>3.4172144257897528</v>
      </c>
    </row>
    <row r="9362" spans="27:30" x14ac:dyDescent="0.3">
      <c r="AA9362" s="37">
        <v>9342</v>
      </c>
      <c r="AB9362" s="37">
        <v>1.8044236041670134</v>
      </c>
      <c r="AC9362" s="37">
        <v>2.9004377236880714</v>
      </c>
      <c r="AD9362" s="37">
        <v>3.1205557694563621</v>
      </c>
    </row>
    <row r="9363" spans="27:30" x14ac:dyDescent="0.3">
      <c r="AA9363" s="37">
        <v>9343</v>
      </c>
      <c r="AB9363" s="37">
        <v>1.7349178747828309</v>
      </c>
      <c r="AC9363" s="37">
        <v>2.9788717957752051</v>
      </c>
      <c r="AD9363" s="37">
        <v>3.448418772575383</v>
      </c>
    </row>
    <row r="9364" spans="27:30" x14ac:dyDescent="0.3">
      <c r="AA9364" s="37">
        <v>9344</v>
      </c>
      <c r="AB9364" s="37">
        <v>1.8004047746353313</v>
      </c>
      <c r="AC9364" s="37">
        <v>2.9962221617168021</v>
      </c>
      <c r="AD9364" s="37">
        <v>3.2909020750728484</v>
      </c>
    </row>
    <row r="9365" spans="27:30" x14ac:dyDescent="0.3">
      <c r="AA9365" s="37">
        <v>9345</v>
      </c>
      <c r="AB9365" s="37">
        <v>1.8413956560271469</v>
      </c>
      <c r="AC9365" s="37">
        <v>2.8759606011147141</v>
      </c>
      <c r="AD9365" s="37">
        <v>3.2865410117277229</v>
      </c>
    </row>
    <row r="9366" spans="27:30" x14ac:dyDescent="0.3">
      <c r="AA9366" s="37">
        <v>9346</v>
      </c>
      <c r="AB9366" s="37">
        <v>1.8071867550032017</v>
      </c>
      <c r="AC9366" s="37">
        <v>2.7935364775789915</v>
      </c>
      <c r="AD9366" s="37">
        <v>3.3479771006262804</v>
      </c>
    </row>
    <row r="9367" spans="27:30" x14ac:dyDescent="0.3">
      <c r="AA9367" s="37">
        <v>9347</v>
      </c>
      <c r="AB9367" s="37">
        <v>1.8516429413627655</v>
      </c>
      <c r="AC9367" s="37">
        <v>2.8277964219782343</v>
      </c>
      <c r="AD9367" s="37">
        <v>3.1541010348841771</v>
      </c>
    </row>
    <row r="9368" spans="27:30" x14ac:dyDescent="0.3">
      <c r="AA9368" s="37">
        <v>9348</v>
      </c>
      <c r="AB9368" s="37">
        <v>1.7526514331941612</v>
      </c>
      <c r="AC9368" s="37">
        <v>2.7081802002983801</v>
      </c>
      <c r="AD9368" s="37">
        <v>3.3461227163314007</v>
      </c>
    </row>
    <row r="9369" spans="27:30" x14ac:dyDescent="0.3">
      <c r="AA9369" s="37">
        <v>9349</v>
      </c>
      <c r="AB9369" s="37">
        <v>1.7992665541341175</v>
      </c>
      <c r="AC9369" s="37">
        <v>2.8262022891699479</v>
      </c>
      <c r="AD9369" s="37">
        <v>3.2096423984820817</v>
      </c>
    </row>
    <row r="9370" spans="27:30" x14ac:dyDescent="0.3">
      <c r="AA9370" s="37">
        <v>9350</v>
      </c>
      <c r="AB9370" s="37">
        <v>1.8564192633494556</v>
      </c>
      <c r="AC9370" s="37">
        <v>2.7580360899111382</v>
      </c>
      <c r="AD9370" s="37">
        <v>3.5020655008694668</v>
      </c>
    </row>
    <row r="9371" spans="27:30" x14ac:dyDescent="0.3">
      <c r="AA9371" s="37">
        <v>9351</v>
      </c>
      <c r="AB9371" s="37">
        <v>1.8238173398401922</v>
      </c>
      <c r="AC9371" s="37">
        <v>2.9179202575181193</v>
      </c>
      <c r="AD9371" s="37">
        <v>3.2776896997833971</v>
      </c>
    </row>
    <row r="9372" spans="27:30" x14ac:dyDescent="0.3">
      <c r="AA9372" s="37">
        <v>9352</v>
      </c>
      <c r="AB9372" s="37">
        <v>2.0143241165556645</v>
      </c>
      <c r="AC9372" s="37">
        <v>2.9892499508211454</v>
      </c>
      <c r="AD9372" s="37">
        <v>3.3468929094539823</v>
      </c>
    </row>
    <row r="9373" spans="27:30" x14ac:dyDescent="0.3">
      <c r="AA9373" s="37">
        <v>9353</v>
      </c>
      <c r="AB9373" s="37">
        <v>1.8313629070823825</v>
      </c>
      <c r="AC9373" s="37">
        <v>2.7472490218884511</v>
      </c>
      <c r="AD9373" s="37">
        <v>3.3992316238954117</v>
      </c>
    </row>
    <row r="9374" spans="27:30" x14ac:dyDescent="0.3">
      <c r="AA9374" s="37">
        <v>9354</v>
      </c>
      <c r="AB9374" s="37">
        <v>1.9649422694812164</v>
      </c>
      <c r="AC9374" s="37">
        <v>2.7887177165523078</v>
      </c>
      <c r="AD9374" s="37">
        <v>3.0976166722270602</v>
      </c>
    </row>
    <row r="9375" spans="27:30" x14ac:dyDescent="0.3">
      <c r="AA9375" s="37">
        <v>9355</v>
      </c>
      <c r="AB9375" s="37">
        <v>1.7848636696009343</v>
      </c>
      <c r="AC9375" s="37">
        <v>3.0563524720414561</v>
      </c>
      <c r="AD9375" s="37">
        <v>3.4140508419377014</v>
      </c>
    </row>
    <row r="9376" spans="27:30" x14ac:dyDescent="0.3">
      <c r="AA9376" s="37">
        <v>9356</v>
      </c>
      <c r="AB9376" s="37">
        <v>1.7843440733841518</v>
      </c>
      <c r="AC9376" s="37">
        <v>2.8139996358381762</v>
      </c>
      <c r="AD9376" s="37">
        <v>3.3132093500162987</v>
      </c>
    </row>
    <row r="9377" spans="27:30" x14ac:dyDescent="0.3">
      <c r="AA9377" s="37">
        <v>9357</v>
      </c>
      <c r="AB9377" s="37">
        <v>1.9439573212473302</v>
      </c>
      <c r="AC9377" s="37">
        <v>2.8182180953298537</v>
      </c>
      <c r="AD9377" s="37">
        <v>3.2663497912280222</v>
      </c>
    </row>
    <row r="9378" spans="27:30" x14ac:dyDescent="0.3">
      <c r="AA9378" s="37">
        <v>9358</v>
      </c>
      <c r="AB9378" s="37">
        <v>1.694519298785617</v>
      </c>
      <c r="AC9378" s="37">
        <v>2.7869934399360345</v>
      </c>
      <c r="AD9378" s="37">
        <v>3.273032389613459</v>
      </c>
    </row>
    <row r="9379" spans="27:30" x14ac:dyDescent="0.3">
      <c r="AA9379" s="37">
        <v>9359</v>
      </c>
      <c r="AB9379" s="37">
        <v>1.8703900269408524</v>
      </c>
      <c r="AC9379" s="37">
        <v>2.7996643189819879</v>
      </c>
      <c r="AD9379" s="37">
        <v>3.2751323666255221</v>
      </c>
    </row>
    <row r="9380" spans="27:30" x14ac:dyDescent="0.3">
      <c r="AA9380" s="37">
        <v>9360</v>
      </c>
      <c r="AB9380" s="37">
        <v>1.763991096563253</v>
      </c>
      <c r="AC9380" s="37">
        <v>2.9177736395644542</v>
      </c>
      <c r="AD9380" s="37">
        <v>3.5296007667925435</v>
      </c>
    </row>
    <row r="9381" spans="27:30" x14ac:dyDescent="0.3">
      <c r="AA9381" s="37">
        <v>9361</v>
      </c>
      <c r="AB9381" s="37">
        <v>1.8437889463626551</v>
      </c>
      <c r="AC9381" s="37">
        <v>2.7964033936212203</v>
      </c>
      <c r="AD9381" s="37">
        <v>3.3962647931808019</v>
      </c>
    </row>
    <row r="9382" spans="27:30" x14ac:dyDescent="0.3">
      <c r="AA9382" s="37">
        <v>9362</v>
      </c>
      <c r="AB9382" s="37">
        <v>1.7512210056977784</v>
      </c>
      <c r="AC9382" s="37">
        <v>2.8159250189505771</v>
      </c>
      <c r="AD9382" s="37">
        <v>3.3143422638690883</v>
      </c>
    </row>
    <row r="9383" spans="27:30" x14ac:dyDescent="0.3">
      <c r="AA9383" s="37">
        <v>9363</v>
      </c>
      <c r="AB9383" s="37">
        <v>1.7348123519661176</v>
      </c>
      <c r="AC9383" s="37">
        <v>2.7807292048235199</v>
      </c>
      <c r="AD9383" s="37">
        <v>3.426228375195191</v>
      </c>
    </row>
    <row r="9384" spans="27:30" x14ac:dyDescent="0.3">
      <c r="AA9384" s="37">
        <v>9364</v>
      </c>
      <c r="AB9384" s="37">
        <v>1.712227863006599</v>
      </c>
      <c r="AC9384" s="37">
        <v>2.8939790618398118</v>
      </c>
      <c r="AD9384" s="37">
        <v>3.4237937867449975</v>
      </c>
    </row>
    <row r="9385" spans="27:30" x14ac:dyDescent="0.3">
      <c r="AA9385" s="37">
        <v>9365</v>
      </c>
      <c r="AB9385" s="37">
        <v>1.8208863606409877</v>
      </c>
      <c r="AC9385" s="37">
        <v>3.1960670423241093</v>
      </c>
      <c r="AD9385" s="37">
        <v>3.5901919556624238</v>
      </c>
    </row>
    <row r="9386" spans="27:30" x14ac:dyDescent="0.3">
      <c r="AA9386" s="37">
        <v>9366</v>
      </c>
      <c r="AB9386" s="37">
        <v>1.7809013605511697</v>
      </c>
      <c r="AC9386" s="37">
        <v>2.8511741505759032</v>
      </c>
      <c r="AD9386" s="37">
        <v>3.2669057927543625</v>
      </c>
    </row>
    <row r="9387" spans="27:30" x14ac:dyDescent="0.3">
      <c r="AA9387" s="37">
        <v>9367</v>
      </c>
      <c r="AB9387" s="37">
        <v>1.8161935817467001</v>
      </c>
      <c r="AC9387" s="37">
        <v>2.8662880443310139</v>
      </c>
      <c r="AD9387" s="37">
        <v>3.1508066279951206</v>
      </c>
    </row>
    <row r="9388" spans="27:30" x14ac:dyDescent="0.3">
      <c r="AA9388" s="37">
        <v>9368</v>
      </c>
      <c r="AB9388" s="37">
        <v>1.7764473205859475</v>
      </c>
      <c r="AC9388" s="37">
        <v>2.8618369167250925</v>
      </c>
      <c r="AD9388" s="37">
        <v>3.3199044396574005</v>
      </c>
    </row>
    <row r="9389" spans="27:30" x14ac:dyDescent="0.3">
      <c r="AA9389" s="37">
        <v>9369</v>
      </c>
      <c r="AB9389" s="37">
        <v>1.9890922231541552</v>
      </c>
      <c r="AC9389" s="37">
        <v>2.7485800945899364</v>
      </c>
      <c r="AD9389" s="37">
        <v>3.3753591762504151</v>
      </c>
    </row>
    <row r="9390" spans="27:30" x14ac:dyDescent="0.3">
      <c r="AA9390" s="37">
        <v>9370</v>
      </c>
      <c r="AB9390" s="37">
        <v>1.8343355868887719</v>
      </c>
      <c r="AC9390" s="37">
        <v>3.0698277267298928</v>
      </c>
      <c r="AD9390" s="37">
        <v>3.4433150081079424</v>
      </c>
    </row>
    <row r="9391" spans="27:30" x14ac:dyDescent="0.3">
      <c r="AA9391" s="37">
        <v>9371</v>
      </c>
      <c r="AB9391" s="37">
        <v>1.7839080683509654</v>
      </c>
      <c r="AC9391" s="37">
        <v>2.8160881928463688</v>
      </c>
      <c r="AD9391" s="37">
        <v>3.3486604513639198</v>
      </c>
    </row>
    <row r="9392" spans="27:30" x14ac:dyDescent="0.3">
      <c r="AA9392" s="37">
        <v>9372</v>
      </c>
      <c r="AB9392" s="37">
        <v>1.8733613097935091</v>
      </c>
      <c r="AC9392" s="37">
        <v>2.7992217730427109</v>
      </c>
      <c r="AD9392" s="37">
        <v>3.2953083014513842</v>
      </c>
    </row>
    <row r="9393" spans="27:30" x14ac:dyDescent="0.3">
      <c r="AA9393" s="37">
        <v>9373</v>
      </c>
      <c r="AB9393" s="37">
        <v>1.7738483167266883</v>
      </c>
      <c r="AC9393" s="37">
        <v>2.8296928515590305</v>
      </c>
      <c r="AD9393" s="37">
        <v>3.4404194177686609</v>
      </c>
    </row>
    <row r="9394" spans="27:30" x14ac:dyDescent="0.3">
      <c r="AA9394" s="37">
        <v>9374</v>
      </c>
      <c r="AB9394" s="37">
        <v>1.8424582619670509</v>
      </c>
      <c r="AC9394" s="37">
        <v>2.9008340398628185</v>
      </c>
      <c r="AD9394" s="37">
        <v>3.6657857389842721</v>
      </c>
    </row>
    <row r="9395" spans="27:30" x14ac:dyDescent="0.3">
      <c r="AA9395" s="37">
        <v>9375</v>
      </c>
      <c r="AB9395" s="37">
        <v>1.7489224671549883</v>
      </c>
      <c r="AC9395" s="37">
        <v>2.8455870570803583</v>
      </c>
      <c r="AD9395" s="37">
        <v>3.3315990067177421</v>
      </c>
    </row>
    <row r="9396" spans="27:30" x14ac:dyDescent="0.3">
      <c r="AA9396" s="37">
        <v>9376</v>
      </c>
      <c r="AB9396" s="37">
        <v>1.7477276963656312</v>
      </c>
      <c r="AC9396" s="37">
        <v>2.7417682118768645</v>
      </c>
      <c r="AD9396" s="37">
        <v>3.5401826812782087</v>
      </c>
    </row>
    <row r="9397" spans="27:30" x14ac:dyDescent="0.3">
      <c r="AA9397" s="37">
        <v>9377</v>
      </c>
      <c r="AB9397" s="37">
        <v>1.84278661147245</v>
      </c>
      <c r="AC9397" s="37">
        <v>2.8711251980419759</v>
      </c>
      <c r="AD9397" s="37">
        <v>3.3530944431804972</v>
      </c>
    </row>
    <row r="9398" spans="27:30" x14ac:dyDescent="0.3">
      <c r="AA9398" s="37">
        <v>9378</v>
      </c>
      <c r="AB9398" s="37">
        <v>1.8498265231673163</v>
      </c>
      <c r="AC9398" s="37">
        <v>2.9685184293540594</v>
      </c>
      <c r="AD9398" s="37">
        <v>3.435174279048649</v>
      </c>
    </row>
    <row r="9399" spans="27:30" x14ac:dyDescent="0.3">
      <c r="AA9399" s="37">
        <v>9379</v>
      </c>
      <c r="AB9399" s="37">
        <v>1.795277549475143</v>
      </c>
      <c r="AC9399" s="37">
        <v>2.891864525647506</v>
      </c>
      <c r="AD9399" s="37">
        <v>3.1749342182062672</v>
      </c>
    </row>
    <row r="9400" spans="27:30" x14ac:dyDescent="0.3">
      <c r="AA9400" s="37">
        <v>9380</v>
      </c>
      <c r="AB9400" s="37">
        <v>1.8299918761196161</v>
      </c>
      <c r="AC9400" s="37">
        <v>2.7349000772670786</v>
      </c>
      <c r="AD9400" s="37">
        <v>3.2012279168209314</v>
      </c>
    </row>
    <row r="9401" spans="27:30" x14ac:dyDescent="0.3">
      <c r="AA9401" s="37">
        <v>9381</v>
      </c>
      <c r="AB9401" s="37">
        <v>1.829633784076002</v>
      </c>
      <c r="AC9401" s="37">
        <v>3.0469240349399409</v>
      </c>
      <c r="AD9401" s="37">
        <v>3.2142704410281819</v>
      </c>
    </row>
    <row r="9402" spans="27:30" x14ac:dyDescent="0.3">
      <c r="AA9402" s="37">
        <v>9382</v>
      </c>
      <c r="AB9402" s="37">
        <v>1.8373109907180389</v>
      </c>
      <c r="AC9402" s="37">
        <v>2.8459448353563173</v>
      </c>
      <c r="AD9402" s="37">
        <v>3.2405195334089241</v>
      </c>
    </row>
    <row r="9403" spans="27:30" x14ac:dyDescent="0.3">
      <c r="AA9403" s="37">
        <v>9383</v>
      </c>
      <c r="AB9403" s="37">
        <v>1.7688934465299169</v>
      </c>
      <c r="AC9403" s="37">
        <v>2.8623343597415425</v>
      </c>
      <c r="AD9403" s="37">
        <v>3.3689145463514651</v>
      </c>
    </row>
    <row r="9404" spans="27:30" x14ac:dyDescent="0.3">
      <c r="AA9404" s="37">
        <v>9384</v>
      </c>
      <c r="AB9404" s="37">
        <v>1.7849051739104569</v>
      </c>
      <c r="AC9404" s="37">
        <v>2.9240645479395497</v>
      </c>
      <c r="AD9404" s="37">
        <v>3.2591676631203281</v>
      </c>
    </row>
    <row r="9405" spans="27:30" x14ac:dyDescent="0.3">
      <c r="AA9405" s="37">
        <v>9385</v>
      </c>
      <c r="AB9405" s="37">
        <v>1.7606977809991726</v>
      </c>
      <c r="AC9405" s="37">
        <v>2.7989360611865099</v>
      </c>
      <c r="AD9405" s="37">
        <v>3.3011668759479709</v>
      </c>
    </row>
    <row r="9406" spans="27:30" x14ac:dyDescent="0.3">
      <c r="AA9406" s="37">
        <v>9386</v>
      </c>
      <c r="AB9406" s="37">
        <v>1.8511439745096685</v>
      </c>
      <c r="AC9406" s="37">
        <v>2.8023575930722733</v>
      </c>
      <c r="AD9406" s="37">
        <v>3.2040357528323686</v>
      </c>
    </row>
    <row r="9407" spans="27:30" x14ac:dyDescent="0.3">
      <c r="AA9407" s="37">
        <v>9387</v>
      </c>
      <c r="AB9407" s="37">
        <v>1.9087477902211778</v>
      </c>
      <c r="AC9407" s="37">
        <v>2.9062079812236976</v>
      </c>
      <c r="AD9407" s="37">
        <v>3.4281901892186779</v>
      </c>
    </row>
    <row r="9408" spans="27:30" x14ac:dyDescent="0.3">
      <c r="AA9408" s="37">
        <v>9388</v>
      </c>
      <c r="AB9408" s="37">
        <v>1.7914566026009184</v>
      </c>
      <c r="AC9408" s="37">
        <v>2.9852295392934658</v>
      </c>
      <c r="AD9408" s="37">
        <v>3.4654721009287948</v>
      </c>
    </row>
    <row r="9409" spans="27:30" x14ac:dyDescent="0.3">
      <c r="AA9409" s="37">
        <v>9389</v>
      </c>
      <c r="AB9409" s="37">
        <v>1.7765732371915732</v>
      </c>
      <c r="AC9409" s="37">
        <v>2.9202645725494709</v>
      </c>
      <c r="AD9409" s="37">
        <v>3.3299747838651439</v>
      </c>
    </row>
    <row r="9410" spans="27:30" x14ac:dyDescent="0.3">
      <c r="AA9410" s="37">
        <v>9390</v>
      </c>
      <c r="AB9410" s="37">
        <v>1.7732144589026355</v>
      </c>
      <c r="AC9410" s="37">
        <v>2.7936945133556192</v>
      </c>
      <c r="AD9410" s="37">
        <v>3.0706919155771506</v>
      </c>
    </row>
    <row r="9411" spans="27:30" x14ac:dyDescent="0.3">
      <c r="AA9411" s="37">
        <v>9391</v>
      </c>
      <c r="AB9411" s="37">
        <v>1.8404512089339413</v>
      </c>
      <c r="AC9411" s="37">
        <v>2.9686315659373603</v>
      </c>
      <c r="AD9411" s="37">
        <v>3.6182440074265401</v>
      </c>
    </row>
    <row r="9412" spans="27:30" x14ac:dyDescent="0.3">
      <c r="AA9412" s="37">
        <v>9392</v>
      </c>
      <c r="AB9412" s="37">
        <v>1.7740668727247721</v>
      </c>
      <c r="AC9412" s="37">
        <v>2.7346646900638012</v>
      </c>
      <c r="AD9412" s="37">
        <v>3.4378043567743322</v>
      </c>
    </row>
    <row r="9413" spans="27:30" x14ac:dyDescent="0.3">
      <c r="AA9413" s="37">
        <v>9393</v>
      </c>
      <c r="AB9413" s="37">
        <v>1.7867084402110525</v>
      </c>
      <c r="AC9413" s="37">
        <v>2.8880162777875737</v>
      </c>
      <c r="AD9413" s="37">
        <v>3.2467359491778769</v>
      </c>
    </row>
    <row r="9414" spans="27:30" x14ac:dyDescent="0.3">
      <c r="AA9414" s="37">
        <v>9394</v>
      </c>
      <c r="AB9414" s="37">
        <v>1.8865609961275238</v>
      </c>
      <c r="AC9414" s="37">
        <v>2.787970309266238</v>
      </c>
      <c r="AD9414" s="37">
        <v>3.2899405401032671</v>
      </c>
    </row>
    <row r="9415" spans="27:30" x14ac:dyDescent="0.3">
      <c r="AA9415" s="37">
        <v>9395</v>
      </c>
      <c r="AB9415" s="37">
        <v>1.8404480916523778</v>
      </c>
      <c r="AC9415" s="37">
        <v>2.9257961216265511</v>
      </c>
      <c r="AD9415" s="37">
        <v>3.2690445939546371</v>
      </c>
    </row>
    <row r="9416" spans="27:30" x14ac:dyDescent="0.3">
      <c r="AA9416" s="37">
        <v>9396</v>
      </c>
      <c r="AB9416" s="37">
        <v>1.6620264295076672</v>
      </c>
      <c r="AC9416" s="37">
        <v>2.9001772592624242</v>
      </c>
      <c r="AD9416" s="37">
        <v>3.233279900735293</v>
      </c>
    </row>
    <row r="9417" spans="27:30" x14ac:dyDescent="0.3">
      <c r="AA9417" s="37">
        <v>9397</v>
      </c>
      <c r="AB9417" s="37">
        <v>1.9110308919678756</v>
      </c>
      <c r="AC9417" s="37">
        <v>2.7291470300580776</v>
      </c>
      <c r="AD9417" s="37">
        <v>3.4474027538619154</v>
      </c>
    </row>
    <row r="9418" spans="27:30" x14ac:dyDescent="0.3">
      <c r="AA9418" s="37">
        <v>9398</v>
      </c>
      <c r="AB9418" s="37">
        <v>1.7835284866610948</v>
      </c>
      <c r="AC9418" s="37">
        <v>3.0002484123766244</v>
      </c>
      <c r="AD9418" s="37">
        <v>3.4906796486532676</v>
      </c>
    </row>
    <row r="9419" spans="27:30" x14ac:dyDescent="0.3">
      <c r="AA9419" s="37">
        <v>9399</v>
      </c>
      <c r="AB9419" s="37">
        <v>1.7879781389327687</v>
      </c>
      <c r="AC9419" s="37">
        <v>2.9678280995718667</v>
      </c>
      <c r="AD9419" s="37">
        <v>3.1532968151174723</v>
      </c>
    </row>
    <row r="9420" spans="27:30" x14ac:dyDescent="0.3">
      <c r="AA9420" s="37">
        <v>9400</v>
      </c>
      <c r="AB9420" s="37">
        <v>1.7228510046828407</v>
      </c>
      <c r="AC9420" s="37">
        <v>2.922074530098</v>
      </c>
      <c r="AD9420" s="37">
        <v>3.3096495239540817</v>
      </c>
    </row>
    <row r="9421" spans="27:30" x14ac:dyDescent="0.3">
      <c r="AA9421" s="37">
        <v>9401</v>
      </c>
      <c r="AB9421" s="37">
        <v>1.7201179547666967</v>
      </c>
      <c r="AC9421" s="37">
        <v>2.961203895150728</v>
      </c>
      <c r="AD9421" s="37">
        <v>3.3733551434471378</v>
      </c>
    </row>
    <row r="9422" spans="27:30" x14ac:dyDescent="0.3">
      <c r="AA9422" s="37">
        <v>9402</v>
      </c>
      <c r="AB9422" s="37">
        <v>1.686027419908116</v>
      </c>
      <c r="AC9422" s="37">
        <v>2.8256357669178853</v>
      </c>
      <c r="AD9422" s="37">
        <v>3.2836535195240906</v>
      </c>
    </row>
    <row r="9423" spans="27:30" x14ac:dyDescent="0.3">
      <c r="AA9423" s="37">
        <v>9403</v>
      </c>
      <c r="AB9423" s="37">
        <v>1.8624579557836403</v>
      </c>
      <c r="AC9423" s="37">
        <v>2.8321496215695321</v>
      </c>
      <c r="AD9423" s="37">
        <v>3.5544066837984793</v>
      </c>
    </row>
    <row r="9424" spans="27:30" x14ac:dyDescent="0.3">
      <c r="AA9424" s="37">
        <v>9404</v>
      </c>
      <c r="AB9424" s="37">
        <v>1.8732938991657859</v>
      </c>
      <c r="AC9424" s="37">
        <v>2.9041046692001093</v>
      </c>
      <c r="AD9424" s="37">
        <v>3.1992718761197794</v>
      </c>
    </row>
    <row r="9425" spans="27:30" x14ac:dyDescent="0.3">
      <c r="AA9425" s="37">
        <v>9405</v>
      </c>
      <c r="AB9425" s="37">
        <v>1.8459660238024163</v>
      </c>
      <c r="AC9425" s="37">
        <v>2.7914356575251742</v>
      </c>
      <c r="AD9425" s="37">
        <v>3.3026811918943419</v>
      </c>
    </row>
    <row r="9426" spans="27:30" x14ac:dyDescent="0.3">
      <c r="AA9426" s="37">
        <v>9406</v>
      </c>
      <c r="AB9426" s="37">
        <v>1.8998787591868409</v>
      </c>
      <c r="AC9426" s="37">
        <v>2.79892549463885</v>
      </c>
      <c r="AD9426" s="37">
        <v>3.4962232089077112</v>
      </c>
    </row>
    <row r="9427" spans="27:30" x14ac:dyDescent="0.3">
      <c r="AA9427" s="37">
        <v>9407</v>
      </c>
      <c r="AB9427" s="37">
        <v>1.7644647403327121</v>
      </c>
      <c r="AC9427" s="37">
        <v>2.9019115484134583</v>
      </c>
      <c r="AD9427" s="37">
        <v>3.4754340687950029</v>
      </c>
    </row>
    <row r="9428" spans="27:30" x14ac:dyDescent="0.3">
      <c r="AA9428" s="37">
        <v>9408</v>
      </c>
      <c r="AB9428" s="37">
        <v>1.8113108225557926</v>
      </c>
      <c r="AC9428" s="37">
        <v>2.7824793967657016</v>
      </c>
      <c r="AD9428" s="37">
        <v>3.1888788944844748</v>
      </c>
    </row>
    <row r="9429" spans="27:30" x14ac:dyDescent="0.3">
      <c r="AA9429" s="37">
        <v>9409</v>
      </c>
      <c r="AB9429" s="37">
        <v>1.8116018529733253</v>
      </c>
      <c r="AC9429" s="37">
        <v>2.7190285285314415</v>
      </c>
      <c r="AD9429" s="37">
        <v>3.5531607320187883</v>
      </c>
    </row>
    <row r="9430" spans="27:30" x14ac:dyDescent="0.3">
      <c r="AA9430" s="37">
        <v>9410</v>
      </c>
      <c r="AB9430" s="37">
        <v>1.8235683537598193</v>
      </c>
      <c r="AC9430" s="37">
        <v>2.8346393473763234</v>
      </c>
      <c r="AD9430" s="37">
        <v>3.2624923404532704</v>
      </c>
    </row>
    <row r="9431" spans="27:30" x14ac:dyDescent="0.3">
      <c r="AA9431" s="37">
        <v>9411</v>
      </c>
      <c r="AB9431" s="37">
        <v>1.7410276006834635</v>
      </c>
      <c r="AC9431" s="37">
        <v>2.6295932877679999</v>
      </c>
      <c r="AD9431" s="37">
        <v>3.4798207309855527</v>
      </c>
    </row>
    <row r="9432" spans="27:30" x14ac:dyDescent="0.3">
      <c r="AA9432" s="37">
        <v>9412</v>
      </c>
      <c r="AB9432" s="37">
        <v>1.9687647069369649</v>
      </c>
      <c r="AC9432" s="37">
        <v>2.8857475191394539</v>
      </c>
      <c r="AD9432" s="37">
        <v>3.3289909729911362</v>
      </c>
    </row>
    <row r="9433" spans="27:30" x14ac:dyDescent="0.3">
      <c r="AA9433" s="37">
        <v>9413</v>
      </c>
      <c r="AB9433" s="37">
        <v>1.9147860880547272</v>
      </c>
      <c r="AC9433" s="37">
        <v>2.8548402186877624</v>
      </c>
      <c r="AD9433" s="37">
        <v>3.4539229562541984</v>
      </c>
    </row>
    <row r="9434" spans="27:30" x14ac:dyDescent="0.3">
      <c r="AA9434" s="37">
        <v>9414</v>
      </c>
      <c r="AB9434" s="37">
        <v>1.8272132847017308</v>
      </c>
      <c r="AC9434" s="37">
        <v>2.7680481292128221</v>
      </c>
      <c r="AD9434" s="37">
        <v>3.2069993052305645</v>
      </c>
    </row>
    <row r="9435" spans="27:30" x14ac:dyDescent="0.3">
      <c r="AA9435" s="37">
        <v>9415</v>
      </c>
      <c r="AB9435" s="37">
        <v>1.6836893692685591</v>
      </c>
      <c r="AC9435" s="37">
        <v>2.8414587576070653</v>
      </c>
      <c r="AD9435" s="37">
        <v>3.444842582638068</v>
      </c>
    </row>
    <row r="9436" spans="27:30" x14ac:dyDescent="0.3">
      <c r="AA9436" s="37">
        <v>9416</v>
      </c>
      <c r="AB9436" s="37">
        <v>1.7836024063926046</v>
      </c>
      <c r="AC9436" s="37">
        <v>3.050158764210662</v>
      </c>
      <c r="AD9436" s="37">
        <v>3.3627868469546676</v>
      </c>
    </row>
    <row r="9437" spans="27:30" x14ac:dyDescent="0.3">
      <c r="AA9437" s="37">
        <v>9417</v>
      </c>
      <c r="AB9437" s="37">
        <v>1.8430832194616715</v>
      </c>
      <c r="AC9437" s="37">
        <v>2.9137446038250623</v>
      </c>
      <c r="AD9437" s="37">
        <v>3.1854970233722422</v>
      </c>
    </row>
    <row r="9438" spans="27:30" x14ac:dyDescent="0.3">
      <c r="AA9438" s="37">
        <v>9418</v>
      </c>
      <c r="AB9438" s="37">
        <v>1.7626154376676815</v>
      </c>
      <c r="AC9438" s="37">
        <v>2.780035351714889</v>
      </c>
      <c r="AD9438" s="37">
        <v>3.3309837318071729</v>
      </c>
    </row>
    <row r="9439" spans="27:30" x14ac:dyDescent="0.3">
      <c r="AA9439" s="37">
        <v>9419</v>
      </c>
      <c r="AB9439" s="37">
        <v>1.707653848036994</v>
      </c>
      <c r="AC9439" s="37">
        <v>2.8304903614044141</v>
      </c>
      <c r="AD9439" s="37">
        <v>3.4673701808460149</v>
      </c>
    </row>
    <row r="9440" spans="27:30" x14ac:dyDescent="0.3">
      <c r="AA9440" s="37">
        <v>9420</v>
      </c>
      <c r="AB9440" s="37">
        <v>1.7832968038792909</v>
      </c>
      <c r="AC9440" s="37">
        <v>2.7871509943036323</v>
      </c>
      <c r="AD9440" s="37">
        <v>3.1255418734137375</v>
      </c>
    </row>
    <row r="9441" spans="27:30" x14ac:dyDescent="0.3">
      <c r="AA9441" s="37">
        <v>9421</v>
      </c>
      <c r="AB9441" s="37">
        <v>1.6870651156114369</v>
      </c>
      <c r="AC9441" s="37">
        <v>2.7617416268560184</v>
      </c>
      <c r="AD9441" s="37">
        <v>3.5239582429215806</v>
      </c>
    </row>
    <row r="9442" spans="27:30" x14ac:dyDescent="0.3">
      <c r="AA9442" s="37">
        <v>9422</v>
      </c>
      <c r="AB9442" s="37">
        <v>1.7327599987798568</v>
      </c>
      <c r="AC9442" s="37">
        <v>2.7811755834206515</v>
      </c>
      <c r="AD9442" s="37">
        <v>3.2391709271013158</v>
      </c>
    </row>
    <row r="9443" spans="27:30" x14ac:dyDescent="0.3">
      <c r="AA9443" s="37">
        <v>9423</v>
      </c>
      <c r="AB9443" s="37">
        <v>1.8759740760730717</v>
      </c>
      <c r="AC9443" s="37">
        <v>2.9075425383361817</v>
      </c>
      <c r="AD9443" s="37">
        <v>3.2629454274623235</v>
      </c>
    </row>
    <row r="9444" spans="27:30" x14ac:dyDescent="0.3">
      <c r="AA9444" s="37">
        <v>9424</v>
      </c>
      <c r="AB9444" s="37">
        <v>1.7933339229819409</v>
      </c>
      <c r="AC9444" s="37">
        <v>2.9349782262200104</v>
      </c>
      <c r="AD9444" s="37">
        <v>3.2649359653436161</v>
      </c>
    </row>
    <row r="9445" spans="27:30" x14ac:dyDescent="0.3">
      <c r="AA9445" s="37">
        <v>9425</v>
      </c>
      <c r="AB9445" s="37">
        <v>1.8540467922074511</v>
      </c>
      <c r="AC9445" s="37">
        <v>2.9290619597839034</v>
      </c>
      <c r="AD9445" s="37">
        <v>3.2500541622595147</v>
      </c>
    </row>
    <row r="9446" spans="27:30" x14ac:dyDescent="0.3">
      <c r="AA9446" s="37">
        <v>9426</v>
      </c>
      <c r="AB9446" s="37">
        <v>1.7901889164197964</v>
      </c>
      <c r="AC9446" s="37">
        <v>2.9710055521984722</v>
      </c>
      <c r="AD9446" s="37">
        <v>3.2064136359660229</v>
      </c>
    </row>
    <row r="9447" spans="27:30" x14ac:dyDescent="0.3">
      <c r="AA9447" s="37">
        <v>9427</v>
      </c>
      <c r="AB9447" s="37">
        <v>1.7758650411765093</v>
      </c>
      <c r="AC9447" s="37">
        <v>2.831032950061235</v>
      </c>
      <c r="AD9447" s="37">
        <v>3.3895899149686155</v>
      </c>
    </row>
    <row r="9448" spans="27:30" x14ac:dyDescent="0.3">
      <c r="AA9448" s="37">
        <v>9428</v>
      </c>
      <c r="AB9448" s="37">
        <v>1.8642512364732418</v>
      </c>
      <c r="AC9448" s="37">
        <v>2.8080696267201586</v>
      </c>
      <c r="AD9448" s="37">
        <v>3.4384110456381167</v>
      </c>
    </row>
    <row r="9449" spans="27:30" x14ac:dyDescent="0.3">
      <c r="AA9449" s="37">
        <v>9429</v>
      </c>
      <c r="AB9449" s="37">
        <v>1.6743151085133148</v>
      </c>
      <c r="AC9449" s="37">
        <v>2.8418420157683042</v>
      </c>
      <c r="AD9449" s="37">
        <v>3.5488461874040906</v>
      </c>
    </row>
    <row r="9450" spans="27:30" x14ac:dyDescent="0.3">
      <c r="AA9450" s="37">
        <v>9430</v>
      </c>
      <c r="AB9450" s="37">
        <v>1.8751751569807784</v>
      </c>
      <c r="AC9450" s="37">
        <v>2.8840305437297675</v>
      </c>
      <c r="AD9450" s="37">
        <v>3.5356332276988085</v>
      </c>
    </row>
    <row r="9451" spans="27:30" x14ac:dyDescent="0.3">
      <c r="AA9451" s="37">
        <v>9431</v>
      </c>
      <c r="AB9451" s="37">
        <v>1.7614134971221032</v>
      </c>
      <c r="AC9451" s="37">
        <v>2.6533062641354062</v>
      </c>
      <c r="AD9451" s="37">
        <v>3.3976670285323149</v>
      </c>
    </row>
    <row r="9452" spans="27:30" x14ac:dyDescent="0.3">
      <c r="AA9452" s="37">
        <v>9432</v>
      </c>
      <c r="AB9452" s="37">
        <v>1.85437598922147</v>
      </c>
      <c r="AC9452" s="37">
        <v>2.6947358387631666</v>
      </c>
      <c r="AD9452" s="37">
        <v>3.4003002902043993</v>
      </c>
    </row>
    <row r="9453" spans="27:30" x14ac:dyDescent="0.3">
      <c r="AA9453" s="37">
        <v>9433</v>
      </c>
      <c r="AB9453" s="37">
        <v>1.8537013695103071</v>
      </c>
      <c r="AC9453" s="37">
        <v>2.8586982587322924</v>
      </c>
      <c r="AD9453" s="37">
        <v>3.3873684139773488</v>
      </c>
    </row>
    <row r="9454" spans="27:30" x14ac:dyDescent="0.3">
      <c r="AA9454" s="37">
        <v>9434</v>
      </c>
      <c r="AB9454" s="37">
        <v>1.7866800173442348</v>
      </c>
      <c r="AC9454" s="37">
        <v>2.8477040855284912</v>
      </c>
      <c r="AD9454" s="37">
        <v>3.1760374235265711</v>
      </c>
    </row>
    <row r="9455" spans="27:30" x14ac:dyDescent="0.3">
      <c r="AA9455" s="37">
        <v>9435</v>
      </c>
      <c r="AB9455" s="37">
        <v>1.9436889276604052</v>
      </c>
      <c r="AC9455" s="37">
        <v>2.9251765227233761</v>
      </c>
      <c r="AD9455" s="37">
        <v>3.2615808490178453</v>
      </c>
    </row>
    <row r="9456" spans="27:30" x14ac:dyDescent="0.3">
      <c r="AA9456" s="37">
        <v>9436</v>
      </c>
      <c r="AB9456" s="37">
        <v>1.8368650073327188</v>
      </c>
      <c r="AC9456" s="37">
        <v>3.0341319952419603</v>
      </c>
      <c r="AD9456" s="37">
        <v>3.2711843442515387</v>
      </c>
    </row>
    <row r="9457" spans="27:30" x14ac:dyDescent="0.3">
      <c r="AA9457" s="37">
        <v>9437</v>
      </c>
      <c r="AB9457" s="37">
        <v>1.7777298399346695</v>
      </c>
      <c r="AC9457" s="37">
        <v>2.9235606834797454</v>
      </c>
      <c r="AD9457" s="37">
        <v>3.5215513409323491</v>
      </c>
    </row>
    <row r="9458" spans="27:30" x14ac:dyDescent="0.3">
      <c r="AA9458" s="37">
        <v>9438</v>
      </c>
      <c r="AB9458" s="37">
        <v>1.8102235348255187</v>
      </c>
      <c r="AC9458" s="37">
        <v>2.7924912649123237</v>
      </c>
      <c r="AD9458" s="37">
        <v>3.2952001140378457</v>
      </c>
    </row>
    <row r="9459" spans="27:30" x14ac:dyDescent="0.3">
      <c r="AA9459" s="37">
        <v>9439</v>
      </c>
      <c r="AB9459" s="37">
        <v>1.8397125534195586</v>
      </c>
      <c r="AC9459" s="37">
        <v>2.854731218008054</v>
      </c>
      <c r="AD9459" s="37">
        <v>3.4054610584552716</v>
      </c>
    </row>
    <row r="9460" spans="27:30" x14ac:dyDescent="0.3">
      <c r="AA9460" s="37">
        <v>9440</v>
      </c>
      <c r="AB9460" s="37">
        <v>1.8261363483247524</v>
      </c>
      <c r="AC9460" s="37">
        <v>2.7492613116808085</v>
      </c>
      <c r="AD9460" s="37">
        <v>3.3300718580877158</v>
      </c>
    </row>
    <row r="9461" spans="27:30" x14ac:dyDescent="0.3">
      <c r="AA9461" s="37">
        <v>9441</v>
      </c>
      <c r="AB9461" s="37">
        <v>1.7164254692461529</v>
      </c>
      <c r="AC9461" s="37">
        <v>2.863246428889922</v>
      </c>
      <c r="AD9461" s="37">
        <v>3.4799250434208631</v>
      </c>
    </row>
    <row r="9462" spans="27:30" x14ac:dyDescent="0.3">
      <c r="AA9462" s="37">
        <v>9442</v>
      </c>
      <c r="AB9462" s="37">
        <v>1.7815935085430952</v>
      </c>
      <c r="AC9462" s="37">
        <v>2.6930704887355414</v>
      </c>
      <c r="AD9462" s="37">
        <v>3.2730099717429435</v>
      </c>
    </row>
    <row r="9463" spans="27:30" x14ac:dyDescent="0.3">
      <c r="AA9463" s="37">
        <v>9443</v>
      </c>
      <c r="AB9463" s="37">
        <v>1.7433233252303095</v>
      </c>
      <c r="AC9463" s="37">
        <v>2.7561869607632161</v>
      </c>
      <c r="AD9463" s="37">
        <v>3.5614333468719876</v>
      </c>
    </row>
    <row r="9464" spans="27:30" x14ac:dyDescent="0.3">
      <c r="AA9464" s="37">
        <v>9444</v>
      </c>
      <c r="AB9464" s="37">
        <v>1.7538113484236311</v>
      </c>
      <c r="AC9464" s="37">
        <v>2.9431002969138089</v>
      </c>
      <c r="AD9464" s="37">
        <v>3.507570371728562</v>
      </c>
    </row>
    <row r="9465" spans="27:30" x14ac:dyDescent="0.3">
      <c r="AA9465" s="37">
        <v>9445</v>
      </c>
      <c r="AB9465" s="37">
        <v>1.8028932169787153</v>
      </c>
      <c r="AC9465" s="37">
        <v>3.0246670998715723</v>
      </c>
      <c r="AD9465" s="37">
        <v>3.2824829236953406</v>
      </c>
    </row>
    <row r="9466" spans="27:30" x14ac:dyDescent="0.3">
      <c r="AA9466" s="37">
        <v>9446</v>
      </c>
      <c r="AB9466" s="37">
        <v>1.9185868684344183</v>
      </c>
      <c r="AC9466" s="37">
        <v>2.9090997846142859</v>
      </c>
      <c r="AD9466" s="37">
        <v>3.1728234063571739</v>
      </c>
    </row>
    <row r="9467" spans="27:30" x14ac:dyDescent="0.3">
      <c r="AA9467" s="37">
        <v>9447</v>
      </c>
      <c r="AB9467" s="37">
        <v>1.8119256428057053</v>
      </c>
      <c r="AC9467" s="37">
        <v>2.8546545304101456</v>
      </c>
      <c r="AD9467" s="37">
        <v>3.3024020763142126</v>
      </c>
    </row>
    <row r="9468" spans="27:30" x14ac:dyDescent="0.3">
      <c r="AA9468" s="37">
        <v>9448</v>
      </c>
      <c r="AB9468" s="37">
        <v>1.78407449415828</v>
      </c>
      <c r="AC9468" s="37">
        <v>2.6447422513017411</v>
      </c>
      <c r="AD9468" s="37">
        <v>3.4517195009891193</v>
      </c>
    </row>
    <row r="9469" spans="27:30" x14ac:dyDescent="0.3">
      <c r="AA9469" s="37">
        <v>9449</v>
      </c>
      <c r="AB9469" s="37">
        <v>1.8210924269808968</v>
      </c>
      <c r="AC9469" s="37">
        <v>2.6667662166932398</v>
      </c>
      <c r="AD9469" s="37">
        <v>3.310785509304353</v>
      </c>
    </row>
    <row r="9470" spans="27:30" x14ac:dyDescent="0.3">
      <c r="AA9470" s="37">
        <v>9450</v>
      </c>
      <c r="AB9470" s="37">
        <v>1.7611023616645289</v>
      </c>
      <c r="AC9470" s="37">
        <v>2.8882723605797733</v>
      </c>
      <c r="AD9470" s="37">
        <v>3.4668455359096342</v>
      </c>
    </row>
    <row r="9471" spans="27:30" x14ac:dyDescent="0.3">
      <c r="AA9471" s="37">
        <v>9451</v>
      </c>
      <c r="AB9471" s="37">
        <v>1.796261645985503</v>
      </c>
      <c r="AC9471" s="37">
        <v>3.1106924731489931</v>
      </c>
      <c r="AD9471" s="37">
        <v>3.0917302826762825</v>
      </c>
    </row>
    <row r="9472" spans="27:30" x14ac:dyDescent="0.3">
      <c r="AA9472" s="37">
        <v>9452</v>
      </c>
      <c r="AB9472" s="37">
        <v>1.849878266795161</v>
      </c>
      <c r="AC9472" s="37">
        <v>2.7770462466348245</v>
      </c>
      <c r="AD9472" s="37">
        <v>3.4286309158504906</v>
      </c>
    </row>
    <row r="9473" spans="27:30" x14ac:dyDescent="0.3">
      <c r="AA9473" s="37">
        <v>9453</v>
      </c>
      <c r="AB9473" s="37">
        <v>1.8527515035506694</v>
      </c>
      <c r="AC9473" s="37">
        <v>2.8373018648056241</v>
      </c>
      <c r="AD9473" s="37">
        <v>3.3959383579743365</v>
      </c>
    </row>
    <row r="9474" spans="27:30" x14ac:dyDescent="0.3">
      <c r="AA9474" s="37">
        <v>9454</v>
      </c>
      <c r="AB9474" s="37">
        <v>1.7533682169011164</v>
      </c>
      <c r="AC9474" s="37">
        <v>3.0537268587781199</v>
      </c>
      <c r="AD9474" s="37">
        <v>3.4518264588302556</v>
      </c>
    </row>
    <row r="9475" spans="27:30" x14ac:dyDescent="0.3">
      <c r="AA9475" s="37">
        <v>9455</v>
      </c>
      <c r="AB9475" s="37">
        <v>1.823995493940491</v>
      </c>
      <c r="AC9475" s="37">
        <v>3.1020939030461108</v>
      </c>
      <c r="AD9475" s="37">
        <v>3.2033543327266956</v>
      </c>
    </row>
    <row r="9476" spans="27:30" x14ac:dyDescent="0.3">
      <c r="AA9476" s="37">
        <v>9456</v>
      </c>
      <c r="AB9476" s="37">
        <v>1.8554885819427742</v>
      </c>
      <c r="AC9476" s="37">
        <v>2.9498873893865367</v>
      </c>
      <c r="AD9476" s="37">
        <v>3.0942315498237352</v>
      </c>
    </row>
    <row r="9477" spans="27:30" x14ac:dyDescent="0.3">
      <c r="AA9477" s="37">
        <v>9457</v>
      </c>
      <c r="AB9477" s="37">
        <v>1.7930571622551152</v>
      </c>
      <c r="AC9477" s="37">
        <v>2.7069941274980942</v>
      </c>
      <c r="AD9477" s="37">
        <v>3.279313956818938</v>
      </c>
    </row>
    <row r="9478" spans="27:30" x14ac:dyDescent="0.3">
      <c r="AA9478" s="37">
        <v>9458</v>
      </c>
      <c r="AB9478" s="37">
        <v>1.7048357186345411</v>
      </c>
      <c r="AC9478" s="37">
        <v>2.8563886374577452</v>
      </c>
      <c r="AD9478" s="37">
        <v>3.3835062842396817</v>
      </c>
    </row>
    <row r="9479" spans="27:30" x14ac:dyDescent="0.3">
      <c r="AA9479" s="37">
        <v>9459</v>
      </c>
      <c r="AB9479" s="37">
        <v>1.8503687576159888</v>
      </c>
      <c r="AC9479" s="37">
        <v>2.8115932263072776</v>
      </c>
      <c r="AD9479" s="37">
        <v>3.3705927814688095</v>
      </c>
    </row>
    <row r="9480" spans="27:30" x14ac:dyDescent="0.3">
      <c r="AA9480" s="37">
        <v>9460</v>
      </c>
      <c r="AB9480" s="37">
        <v>1.7829376276377884</v>
      </c>
      <c r="AC9480" s="37">
        <v>2.8033727648870035</v>
      </c>
      <c r="AD9480" s="37">
        <v>3.3545659427254013</v>
      </c>
    </row>
    <row r="9481" spans="27:30" x14ac:dyDescent="0.3">
      <c r="AA9481" s="37">
        <v>9461</v>
      </c>
      <c r="AB9481" s="37">
        <v>1.9074055170829971</v>
      </c>
      <c r="AC9481" s="37">
        <v>2.8772945459251695</v>
      </c>
      <c r="AD9481" s="37">
        <v>3.5490128082092638</v>
      </c>
    </row>
    <row r="9482" spans="27:30" x14ac:dyDescent="0.3">
      <c r="AA9482" s="37">
        <v>9462</v>
      </c>
      <c r="AB9482" s="37">
        <v>1.8532297824319695</v>
      </c>
      <c r="AC9482" s="37">
        <v>2.8682368592753869</v>
      </c>
      <c r="AD9482" s="37">
        <v>3.287722189274711</v>
      </c>
    </row>
    <row r="9483" spans="27:30" x14ac:dyDescent="0.3">
      <c r="AA9483" s="37">
        <v>9463</v>
      </c>
      <c r="AB9483" s="37">
        <v>1.8139645659561008</v>
      </c>
      <c r="AC9483" s="37">
        <v>2.8724972021716626</v>
      </c>
      <c r="AD9483" s="37">
        <v>3.3860108030662492</v>
      </c>
    </row>
    <row r="9484" spans="27:30" x14ac:dyDescent="0.3">
      <c r="AA9484" s="37">
        <v>9464</v>
      </c>
      <c r="AB9484" s="37">
        <v>1.7971906861189537</v>
      </c>
      <c r="AC9484" s="37">
        <v>2.7502711717758976</v>
      </c>
      <c r="AD9484" s="37">
        <v>3.2871026191994095</v>
      </c>
    </row>
    <row r="9485" spans="27:30" x14ac:dyDescent="0.3">
      <c r="AA9485" s="37">
        <v>9465</v>
      </c>
      <c r="AB9485" s="37">
        <v>1.8231776916717242</v>
      </c>
      <c r="AC9485" s="37">
        <v>2.8142691551886689</v>
      </c>
      <c r="AD9485" s="37">
        <v>3.390556416515893</v>
      </c>
    </row>
    <row r="9486" spans="27:30" x14ac:dyDescent="0.3">
      <c r="AA9486" s="37">
        <v>9466</v>
      </c>
      <c r="AB9486" s="37">
        <v>1.7580064668054389</v>
      </c>
      <c r="AC9486" s="37">
        <v>2.8137555152458531</v>
      </c>
      <c r="AD9486" s="37">
        <v>3.4090525160651413</v>
      </c>
    </row>
    <row r="9487" spans="27:30" x14ac:dyDescent="0.3">
      <c r="AA9487" s="37">
        <v>9467</v>
      </c>
      <c r="AB9487" s="37">
        <v>1.8601304496042586</v>
      </c>
      <c r="AC9487" s="37">
        <v>2.8531704306958354</v>
      </c>
      <c r="AD9487" s="37">
        <v>3.1976716413451536</v>
      </c>
    </row>
    <row r="9488" spans="27:30" x14ac:dyDescent="0.3">
      <c r="AA9488" s="37">
        <v>9468</v>
      </c>
      <c r="AB9488" s="37">
        <v>1.8454828031204951</v>
      </c>
      <c r="AC9488" s="37">
        <v>2.8361317281392568</v>
      </c>
      <c r="AD9488" s="37">
        <v>3.196318801975619</v>
      </c>
    </row>
    <row r="9489" spans="27:30" x14ac:dyDescent="0.3">
      <c r="AA9489" s="37">
        <v>9469</v>
      </c>
      <c r="AB9489" s="37">
        <v>1.8115882798853049</v>
      </c>
      <c r="AC9489" s="37">
        <v>2.856795374602306</v>
      </c>
      <c r="AD9489" s="37">
        <v>3.001460022685805</v>
      </c>
    </row>
    <row r="9490" spans="27:30" x14ac:dyDescent="0.3">
      <c r="AA9490" s="37">
        <v>9470</v>
      </c>
      <c r="AB9490" s="37">
        <v>1.6580447255866029</v>
      </c>
      <c r="AC9490" s="37">
        <v>2.7643274587420787</v>
      </c>
      <c r="AD9490" s="37">
        <v>3.1818587868623083</v>
      </c>
    </row>
    <row r="9491" spans="27:30" x14ac:dyDescent="0.3">
      <c r="AA9491" s="37">
        <v>9471</v>
      </c>
      <c r="AB9491" s="37">
        <v>1.6915309514766088</v>
      </c>
      <c r="AC9491" s="37">
        <v>2.6741323249668718</v>
      </c>
      <c r="AD9491" s="37">
        <v>3.4823972840827979</v>
      </c>
    </row>
    <row r="9492" spans="27:30" x14ac:dyDescent="0.3">
      <c r="AA9492" s="37">
        <v>9472</v>
      </c>
      <c r="AB9492" s="37">
        <v>1.8946305989220369</v>
      </c>
      <c r="AC9492" s="37">
        <v>2.9689230202181389</v>
      </c>
      <c r="AD9492" s="37">
        <v>3.3470034108941289</v>
      </c>
    </row>
    <row r="9493" spans="27:30" x14ac:dyDescent="0.3">
      <c r="AA9493" s="37">
        <v>9473</v>
      </c>
      <c r="AB9493" s="37">
        <v>1.8655476343242334</v>
      </c>
      <c r="AC9493" s="37">
        <v>2.8945780295805146</v>
      </c>
      <c r="AD9493" s="37">
        <v>3.293193158713132</v>
      </c>
    </row>
    <row r="9494" spans="27:30" x14ac:dyDescent="0.3">
      <c r="AA9494" s="37">
        <v>9474</v>
      </c>
      <c r="AB9494" s="37">
        <v>1.7934368575167994</v>
      </c>
      <c r="AC9494" s="37">
        <v>2.9862512192847728</v>
      </c>
      <c r="AD9494" s="37">
        <v>3.294774258462295</v>
      </c>
    </row>
    <row r="9495" spans="27:30" x14ac:dyDescent="0.3">
      <c r="AA9495" s="37">
        <v>9475</v>
      </c>
      <c r="AB9495" s="37">
        <v>1.8480106422357876</v>
      </c>
      <c r="AC9495" s="37">
        <v>2.8139338989308653</v>
      </c>
      <c r="AD9495" s="37">
        <v>3.4469587707866967</v>
      </c>
    </row>
    <row r="9496" spans="27:30" x14ac:dyDescent="0.3">
      <c r="AA9496" s="37">
        <v>9476</v>
      </c>
      <c r="AB9496" s="37">
        <v>1.8831242231732095</v>
      </c>
      <c r="AC9496" s="37">
        <v>2.8983696984348408</v>
      </c>
      <c r="AD9496" s="37">
        <v>3.3469238819566862</v>
      </c>
    </row>
    <row r="9497" spans="27:30" x14ac:dyDescent="0.3">
      <c r="AA9497" s="37">
        <v>9477</v>
      </c>
      <c r="AB9497" s="37">
        <v>1.7916333651137233</v>
      </c>
      <c r="AC9497" s="37">
        <v>2.8350397708900226</v>
      </c>
      <c r="AD9497" s="37">
        <v>3.3696059201200224</v>
      </c>
    </row>
    <row r="9498" spans="27:30" x14ac:dyDescent="0.3">
      <c r="AA9498" s="37">
        <v>9478</v>
      </c>
      <c r="AB9498" s="37">
        <v>1.7666446116939269</v>
      </c>
      <c r="AC9498" s="37">
        <v>2.8352877503898082</v>
      </c>
      <c r="AD9498" s="37">
        <v>3.3926745815076074</v>
      </c>
    </row>
    <row r="9499" spans="27:30" x14ac:dyDescent="0.3">
      <c r="AA9499" s="37">
        <v>9479</v>
      </c>
      <c r="AB9499" s="37">
        <v>1.7846913148993464</v>
      </c>
      <c r="AC9499" s="37">
        <v>2.8990958777214355</v>
      </c>
      <c r="AD9499" s="37">
        <v>3.3700278760665272</v>
      </c>
    </row>
    <row r="9500" spans="27:30" x14ac:dyDescent="0.3">
      <c r="AA9500" s="37">
        <v>9480</v>
      </c>
      <c r="AB9500" s="37">
        <v>1.8946974324913619</v>
      </c>
      <c r="AC9500" s="37">
        <v>2.624716660867604</v>
      </c>
      <c r="AD9500" s="37">
        <v>3.1436398903361016</v>
      </c>
    </row>
    <row r="9501" spans="27:30" x14ac:dyDescent="0.3">
      <c r="AA9501" s="37">
        <v>9481</v>
      </c>
      <c r="AB9501" s="37">
        <v>1.7337879296860856</v>
      </c>
      <c r="AC9501" s="37">
        <v>3.0050890029127975</v>
      </c>
      <c r="AD9501" s="37">
        <v>3.5732266347715256</v>
      </c>
    </row>
    <row r="9502" spans="27:30" x14ac:dyDescent="0.3">
      <c r="AA9502" s="37">
        <v>9482</v>
      </c>
      <c r="AB9502" s="37">
        <v>1.8681569876952324</v>
      </c>
      <c r="AC9502" s="37">
        <v>2.8840711493578648</v>
      </c>
      <c r="AD9502" s="37">
        <v>3.3399584791293044</v>
      </c>
    </row>
    <row r="9503" spans="27:30" x14ac:dyDescent="0.3">
      <c r="AA9503" s="37">
        <v>9483</v>
      </c>
      <c r="AB9503" s="37">
        <v>1.8246492798641298</v>
      </c>
      <c r="AC9503" s="37">
        <v>3.0069698327754253</v>
      </c>
      <c r="AD9503" s="37">
        <v>3.3803914621673883</v>
      </c>
    </row>
    <row r="9504" spans="27:30" x14ac:dyDescent="0.3">
      <c r="AA9504" s="37">
        <v>9484</v>
      </c>
      <c r="AB9504" s="37">
        <v>1.8032369629178908</v>
      </c>
      <c r="AC9504" s="37">
        <v>2.8106863801365845</v>
      </c>
      <c r="AD9504" s="37">
        <v>3.4102096207551167</v>
      </c>
    </row>
    <row r="9505" spans="27:30" x14ac:dyDescent="0.3">
      <c r="AA9505" s="37">
        <v>9485</v>
      </c>
      <c r="AB9505" s="37">
        <v>1.7441453041177775</v>
      </c>
      <c r="AC9505" s="37">
        <v>2.8901735281315895</v>
      </c>
      <c r="AD9505" s="37">
        <v>3.363748614306286</v>
      </c>
    </row>
    <row r="9506" spans="27:30" x14ac:dyDescent="0.3">
      <c r="AA9506" s="37">
        <v>9486</v>
      </c>
      <c r="AB9506" s="37">
        <v>1.806896285467644</v>
      </c>
      <c r="AC9506" s="37">
        <v>2.8500077088612485</v>
      </c>
      <c r="AD9506" s="37">
        <v>3.5980542547878356</v>
      </c>
    </row>
    <row r="9507" spans="27:30" x14ac:dyDescent="0.3">
      <c r="AA9507" s="37">
        <v>9487</v>
      </c>
      <c r="AB9507" s="37">
        <v>1.8949094182353399</v>
      </c>
      <c r="AC9507" s="37">
        <v>2.776800692176931</v>
      </c>
      <c r="AD9507" s="37">
        <v>3.1498342069173439</v>
      </c>
    </row>
    <row r="9508" spans="27:30" x14ac:dyDescent="0.3">
      <c r="AA9508" s="37">
        <v>9488</v>
      </c>
      <c r="AB9508" s="37">
        <v>1.8449414424094877</v>
      </c>
      <c r="AC9508" s="37">
        <v>2.7058747207495299</v>
      </c>
      <c r="AD9508" s="37">
        <v>3.2600981172857924</v>
      </c>
    </row>
    <row r="9509" spans="27:30" x14ac:dyDescent="0.3">
      <c r="AA9509" s="37">
        <v>9489</v>
      </c>
      <c r="AB9509" s="37">
        <v>1.8294394697686838</v>
      </c>
      <c r="AC9509" s="37">
        <v>2.8120796437395281</v>
      </c>
      <c r="AD9509" s="37">
        <v>3.2309151120278341</v>
      </c>
    </row>
    <row r="9510" spans="27:30" x14ac:dyDescent="0.3">
      <c r="AA9510" s="37">
        <v>9490</v>
      </c>
      <c r="AB9510" s="37">
        <v>1.7676050890926189</v>
      </c>
      <c r="AC9510" s="37">
        <v>2.7730998529171744</v>
      </c>
      <c r="AD9510" s="37">
        <v>3.3631740333829194</v>
      </c>
    </row>
    <row r="9511" spans="27:30" x14ac:dyDescent="0.3">
      <c r="AA9511" s="37">
        <v>9491</v>
      </c>
      <c r="AB9511" s="37">
        <v>1.7801661449853599</v>
      </c>
      <c r="AC9511" s="37">
        <v>2.8336699824604401</v>
      </c>
      <c r="AD9511" s="37">
        <v>3.3537053754125812</v>
      </c>
    </row>
    <row r="9512" spans="27:30" x14ac:dyDescent="0.3">
      <c r="AA9512" s="37">
        <v>9492</v>
      </c>
      <c r="AB9512" s="37">
        <v>1.8156421589948735</v>
      </c>
      <c r="AC9512" s="37">
        <v>2.9027433886585876</v>
      </c>
      <c r="AD9512" s="37">
        <v>3.3326538941924153</v>
      </c>
    </row>
    <row r="9513" spans="27:30" x14ac:dyDescent="0.3">
      <c r="AA9513" s="37">
        <v>9493</v>
      </c>
      <c r="AB9513" s="37">
        <v>1.6795265920890914</v>
      </c>
      <c r="AC9513" s="37">
        <v>2.9754137120028084</v>
      </c>
      <c r="AD9513" s="37">
        <v>3.3980574568183153</v>
      </c>
    </row>
    <row r="9514" spans="27:30" x14ac:dyDescent="0.3">
      <c r="AA9514" s="37">
        <v>9494</v>
      </c>
      <c r="AB9514" s="37">
        <v>1.8774924494504726</v>
      </c>
      <c r="AC9514" s="37">
        <v>2.8991431827077547</v>
      </c>
      <c r="AD9514" s="37">
        <v>3.3077218593098849</v>
      </c>
    </row>
    <row r="9515" spans="27:30" x14ac:dyDescent="0.3">
      <c r="AA9515" s="37">
        <v>9495</v>
      </c>
      <c r="AB9515" s="37">
        <v>1.7218823899932965</v>
      </c>
      <c r="AC9515" s="37">
        <v>2.6220283625683787</v>
      </c>
      <c r="AD9515" s="37">
        <v>3.2049708158476058</v>
      </c>
    </row>
    <row r="9516" spans="27:30" x14ac:dyDescent="0.3">
      <c r="AA9516" s="37">
        <v>9496</v>
      </c>
      <c r="AB9516" s="37">
        <v>1.8935921342562454</v>
      </c>
      <c r="AC9516" s="37">
        <v>2.9945203005915499</v>
      </c>
      <c r="AD9516" s="37">
        <v>3.0865250378988107</v>
      </c>
    </row>
    <row r="9517" spans="27:30" x14ac:dyDescent="0.3">
      <c r="AA9517" s="37">
        <v>9497</v>
      </c>
      <c r="AB9517" s="37">
        <v>1.8655299664453768</v>
      </c>
      <c r="AC9517" s="37">
        <v>2.7738305300612778</v>
      </c>
      <c r="AD9517" s="37">
        <v>3.4015939698971778</v>
      </c>
    </row>
    <row r="9518" spans="27:30" x14ac:dyDescent="0.3">
      <c r="AA9518" s="37">
        <v>9498</v>
      </c>
      <c r="AB9518" s="37">
        <v>1.7313578509028393</v>
      </c>
      <c r="AC9518" s="37">
        <v>2.9255053902728059</v>
      </c>
      <c r="AD9518" s="37">
        <v>3.3236907547245065</v>
      </c>
    </row>
    <row r="9519" spans="27:30" x14ac:dyDescent="0.3">
      <c r="AA9519" s="37">
        <v>9499</v>
      </c>
      <c r="AB9519" s="37">
        <v>1.7742154278757711</v>
      </c>
      <c r="AC9519" s="37">
        <v>2.6886881795829294</v>
      </c>
      <c r="AD9519" s="37">
        <v>3.15135751956654</v>
      </c>
    </row>
    <row r="9520" spans="27:30" x14ac:dyDescent="0.3">
      <c r="AA9520" s="37">
        <v>9500</v>
      </c>
      <c r="AB9520" s="37">
        <v>1.8371519742335967</v>
      </c>
      <c r="AC9520" s="37">
        <v>2.9213661739561272</v>
      </c>
      <c r="AD9520" s="37">
        <v>3.4230522889999309</v>
      </c>
    </row>
    <row r="9521" spans="27:30" x14ac:dyDescent="0.3">
      <c r="AA9521" s="37">
        <v>9501</v>
      </c>
      <c r="AB9521" s="37">
        <v>1.868284173266231</v>
      </c>
      <c r="AC9521" s="37">
        <v>2.9813424401079995</v>
      </c>
      <c r="AD9521" s="37">
        <v>3.2062101170538799</v>
      </c>
    </row>
    <row r="9522" spans="27:30" x14ac:dyDescent="0.3">
      <c r="AA9522" s="37">
        <v>9502</v>
      </c>
      <c r="AB9522" s="37">
        <v>1.7987841711041064</v>
      </c>
      <c r="AC9522" s="37">
        <v>2.7672973736042237</v>
      </c>
      <c r="AD9522" s="37">
        <v>3.3458902926544805</v>
      </c>
    </row>
    <row r="9523" spans="27:30" x14ac:dyDescent="0.3">
      <c r="AA9523" s="37">
        <v>9503</v>
      </c>
      <c r="AB9523" s="37">
        <v>1.8247661446541834</v>
      </c>
      <c r="AC9523" s="37">
        <v>2.8214457751160142</v>
      </c>
      <c r="AD9523" s="37">
        <v>3.4461803722065705</v>
      </c>
    </row>
    <row r="9524" spans="27:30" x14ac:dyDescent="0.3">
      <c r="AA9524" s="37">
        <v>9504</v>
      </c>
      <c r="AB9524" s="37">
        <v>1.8020489299147007</v>
      </c>
      <c r="AC9524" s="37">
        <v>2.9417323770539041</v>
      </c>
      <c r="AD9524" s="37">
        <v>3.268166375392576</v>
      </c>
    </row>
    <row r="9525" spans="27:30" x14ac:dyDescent="0.3">
      <c r="AA9525" s="37">
        <v>9505</v>
      </c>
      <c r="AB9525" s="37">
        <v>1.7968635250170955</v>
      </c>
      <c r="AC9525" s="37">
        <v>2.7800361403366853</v>
      </c>
      <c r="AD9525" s="37">
        <v>3.4531104169170508</v>
      </c>
    </row>
    <row r="9526" spans="27:30" x14ac:dyDescent="0.3">
      <c r="AA9526" s="37">
        <v>9506</v>
      </c>
      <c r="AB9526" s="37">
        <v>1.7766057602678735</v>
      </c>
      <c r="AC9526" s="37">
        <v>2.9414132498404584</v>
      </c>
      <c r="AD9526" s="37">
        <v>3.3919870206314013</v>
      </c>
    </row>
    <row r="9527" spans="27:30" x14ac:dyDescent="0.3">
      <c r="AA9527" s="37">
        <v>9507</v>
      </c>
      <c r="AB9527" s="37">
        <v>1.7262497338938236</v>
      </c>
      <c r="AC9527" s="37">
        <v>2.6695614441222828</v>
      </c>
      <c r="AD9527" s="37">
        <v>3.5684440457565625</v>
      </c>
    </row>
    <row r="9528" spans="27:30" x14ac:dyDescent="0.3">
      <c r="AA9528" s="37">
        <v>9508</v>
      </c>
      <c r="AB9528" s="37">
        <v>1.9432536794654343</v>
      </c>
      <c r="AC9528" s="37">
        <v>2.8970150988512087</v>
      </c>
      <c r="AD9528" s="37">
        <v>3.1693410394712398</v>
      </c>
    </row>
    <row r="9529" spans="27:30" x14ac:dyDescent="0.3">
      <c r="AA9529" s="37">
        <v>9509</v>
      </c>
      <c r="AB9529" s="37">
        <v>1.8601045483215082</v>
      </c>
      <c r="AC9529" s="37">
        <v>2.9152875580354798</v>
      </c>
      <c r="AD9529" s="37">
        <v>3.342504037456369</v>
      </c>
    </row>
    <row r="9530" spans="27:30" x14ac:dyDescent="0.3">
      <c r="AA9530" s="37">
        <v>9510</v>
      </c>
      <c r="AB9530" s="37">
        <v>1.8039444273965752</v>
      </c>
      <c r="AC9530" s="37">
        <v>2.847290984133676</v>
      </c>
      <c r="AD9530" s="37">
        <v>3.4221753161290955</v>
      </c>
    </row>
    <row r="9531" spans="27:30" x14ac:dyDescent="0.3">
      <c r="AA9531" s="37">
        <v>9511</v>
      </c>
      <c r="AB9531" s="37">
        <v>1.7141114438795282</v>
      </c>
      <c r="AC9531" s="37">
        <v>2.9429358523761202</v>
      </c>
      <c r="AD9531" s="37">
        <v>3.252466664089436</v>
      </c>
    </row>
    <row r="9532" spans="27:30" x14ac:dyDescent="0.3">
      <c r="AA9532" s="37">
        <v>9512</v>
      </c>
      <c r="AB9532" s="37">
        <v>1.8181314252232224</v>
      </c>
      <c r="AC9532" s="37">
        <v>3.0641648991655535</v>
      </c>
      <c r="AD9532" s="37">
        <v>3.2331824652121619</v>
      </c>
    </row>
    <row r="9533" spans="27:30" x14ac:dyDescent="0.3">
      <c r="AA9533" s="37">
        <v>9513</v>
      </c>
      <c r="AB9533" s="37">
        <v>1.810412266933985</v>
      </c>
      <c r="AC9533" s="37">
        <v>2.7277980870612164</v>
      </c>
      <c r="AD9533" s="37">
        <v>3.4212996989118549</v>
      </c>
    </row>
    <row r="9534" spans="27:30" x14ac:dyDescent="0.3">
      <c r="AA9534" s="37">
        <v>9514</v>
      </c>
      <c r="AB9534" s="37">
        <v>1.7899688614745122</v>
      </c>
      <c r="AC9534" s="37">
        <v>2.886519072949326</v>
      </c>
      <c r="AD9534" s="37">
        <v>3.4532185286149866</v>
      </c>
    </row>
    <row r="9535" spans="27:30" x14ac:dyDescent="0.3">
      <c r="AA9535" s="37">
        <v>9515</v>
      </c>
      <c r="AB9535" s="37">
        <v>1.8095325085883585</v>
      </c>
      <c r="AC9535" s="37">
        <v>2.7953437563807624</v>
      </c>
      <c r="AD9535" s="37">
        <v>3.3325362176794542</v>
      </c>
    </row>
    <row r="9536" spans="27:30" x14ac:dyDescent="0.3">
      <c r="AA9536" s="37">
        <v>9516</v>
      </c>
      <c r="AB9536" s="37">
        <v>1.7455802228408952</v>
      </c>
      <c r="AC9536" s="37">
        <v>2.8060772336369677</v>
      </c>
      <c r="AD9536" s="37">
        <v>3.4025691838421195</v>
      </c>
    </row>
    <row r="9537" spans="27:30" x14ac:dyDescent="0.3">
      <c r="AA9537" s="37">
        <v>9517</v>
      </c>
      <c r="AB9537" s="37">
        <v>1.6950308521009232</v>
      </c>
      <c r="AC9537" s="37">
        <v>2.5900731237455985</v>
      </c>
      <c r="AD9537" s="37">
        <v>3.4183640623694891</v>
      </c>
    </row>
    <row r="9538" spans="27:30" x14ac:dyDescent="0.3">
      <c r="AA9538" s="37">
        <v>9518</v>
      </c>
      <c r="AB9538" s="37">
        <v>1.7498680824643718</v>
      </c>
      <c r="AC9538" s="37">
        <v>2.7206444026066112</v>
      </c>
      <c r="AD9538" s="37">
        <v>3.4421980844289028</v>
      </c>
    </row>
    <row r="9539" spans="27:30" x14ac:dyDescent="0.3">
      <c r="AA9539" s="37">
        <v>9519</v>
      </c>
      <c r="AB9539" s="37">
        <v>1.7753654618251258</v>
      </c>
      <c r="AC9539" s="37">
        <v>2.9172646151078858</v>
      </c>
      <c r="AD9539" s="37">
        <v>3.2283214189785436</v>
      </c>
    </row>
    <row r="9540" spans="27:30" x14ac:dyDescent="0.3">
      <c r="AA9540" s="37">
        <v>9520</v>
      </c>
      <c r="AB9540" s="37">
        <v>1.7930416052410114</v>
      </c>
      <c r="AC9540" s="37">
        <v>2.8789509372030886</v>
      </c>
      <c r="AD9540" s="37">
        <v>3.398172175247804</v>
      </c>
    </row>
    <row r="9541" spans="27:30" x14ac:dyDescent="0.3">
      <c r="AA9541" s="37">
        <v>9521</v>
      </c>
      <c r="AB9541" s="37">
        <v>1.7839131104250079</v>
      </c>
      <c r="AC9541" s="37">
        <v>3.1282933909095729</v>
      </c>
      <c r="AD9541" s="37">
        <v>3.3447923103905688</v>
      </c>
    </row>
    <row r="9542" spans="27:30" x14ac:dyDescent="0.3">
      <c r="AA9542" s="37">
        <v>9522</v>
      </c>
      <c r="AB9542" s="37">
        <v>1.7019373632527779</v>
      </c>
      <c r="AC9542" s="37">
        <v>2.9039075044445521</v>
      </c>
      <c r="AD9542" s="37">
        <v>3.1196476103572093</v>
      </c>
    </row>
    <row r="9543" spans="27:30" x14ac:dyDescent="0.3">
      <c r="AA9543" s="37">
        <v>9523</v>
      </c>
      <c r="AB9543" s="37">
        <v>1.8124723761966515</v>
      </c>
      <c r="AC9543" s="37">
        <v>2.9162638601086845</v>
      </c>
      <c r="AD9543" s="37">
        <v>3.1853156693440163</v>
      </c>
    </row>
    <row r="9544" spans="27:30" x14ac:dyDescent="0.3">
      <c r="AA9544" s="37">
        <v>9524</v>
      </c>
      <c r="AB9544" s="37">
        <v>1.7428502655695266</v>
      </c>
      <c r="AC9544" s="37">
        <v>2.8484391140730807</v>
      </c>
      <c r="AD9544" s="37">
        <v>3.3013854617264875</v>
      </c>
    </row>
    <row r="9545" spans="27:30" x14ac:dyDescent="0.3">
      <c r="AA9545" s="37">
        <v>9525</v>
      </c>
      <c r="AB9545" s="37">
        <v>1.7762012515536572</v>
      </c>
      <c r="AC9545" s="37">
        <v>2.8567609605758424</v>
      </c>
      <c r="AD9545" s="37">
        <v>3.2858304415743325</v>
      </c>
    </row>
    <row r="9546" spans="27:30" x14ac:dyDescent="0.3">
      <c r="AA9546" s="37">
        <v>9526</v>
      </c>
      <c r="AB9546" s="37">
        <v>1.8389154695446974</v>
      </c>
      <c r="AC9546" s="37">
        <v>2.6756341775085173</v>
      </c>
      <c r="AD9546" s="37">
        <v>3.3635670191509082</v>
      </c>
    </row>
    <row r="9547" spans="27:30" x14ac:dyDescent="0.3">
      <c r="AA9547" s="37">
        <v>9527</v>
      </c>
      <c r="AB9547" s="37">
        <v>1.8084597652678995</v>
      </c>
      <c r="AC9547" s="37">
        <v>2.8836954907683325</v>
      </c>
      <c r="AD9547" s="37">
        <v>3.4575260904791358</v>
      </c>
    </row>
    <row r="9548" spans="27:30" x14ac:dyDescent="0.3">
      <c r="AA9548" s="37">
        <v>9528</v>
      </c>
      <c r="AB9548" s="37">
        <v>1.7423125564833197</v>
      </c>
      <c r="AC9548" s="37">
        <v>2.8069225228386099</v>
      </c>
      <c r="AD9548" s="37">
        <v>3.4205946921619002</v>
      </c>
    </row>
    <row r="9549" spans="27:30" x14ac:dyDescent="0.3">
      <c r="AA9549" s="37">
        <v>9529</v>
      </c>
      <c r="AB9549" s="37">
        <v>1.8314073954257042</v>
      </c>
      <c r="AC9549" s="37">
        <v>2.9216283124423081</v>
      </c>
      <c r="AD9549" s="37">
        <v>3.3144707842110832</v>
      </c>
    </row>
    <row r="9550" spans="27:30" x14ac:dyDescent="0.3">
      <c r="AA9550" s="37">
        <v>9530</v>
      </c>
      <c r="AB9550" s="37">
        <v>1.7176200079479158</v>
      </c>
      <c r="AC9550" s="37">
        <v>2.7419043499744422</v>
      </c>
      <c r="AD9550" s="37">
        <v>3.1906791724454631</v>
      </c>
    </row>
    <row r="9551" spans="27:30" x14ac:dyDescent="0.3">
      <c r="AA9551" s="37">
        <v>9531</v>
      </c>
      <c r="AB9551" s="37">
        <v>1.8162721486128253</v>
      </c>
      <c r="AC9551" s="37">
        <v>2.9038877381831383</v>
      </c>
      <c r="AD9551" s="37">
        <v>3.3041354799109399</v>
      </c>
    </row>
    <row r="9552" spans="27:30" x14ac:dyDescent="0.3">
      <c r="AA9552" s="37">
        <v>9532</v>
      </c>
      <c r="AB9552" s="37">
        <v>1.7384561181250053</v>
      </c>
      <c r="AC9552" s="37">
        <v>2.7902443373087249</v>
      </c>
      <c r="AD9552" s="37">
        <v>3.4607740421123467</v>
      </c>
    </row>
    <row r="9553" spans="27:30" x14ac:dyDescent="0.3">
      <c r="AA9553" s="37">
        <v>9533</v>
      </c>
      <c r="AB9553" s="37">
        <v>1.7736909724714043</v>
      </c>
      <c r="AC9553" s="37">
        <v>2.8215141017855685</v>
      </c>
      <c r="AD9553" s="37">
        <v>3.5688806096275485</v>
      </c>
    </row>
    <row r="9554" spans="27:30" x14ac:dyDescent="0.3">
      <c r="AA9554" s="37">
        <v>9534</v>
      </c>
      <c r="AB9554" s="37">
        <v>1.7851743386418095</v>
      </c>
      <c r="AC9554" s="37">
        <v>2.9760532250803067</v>
      </c>
      <c r="AD9554" s="37">
        <v>3.4920333393856828</v>
      </c>
    </row>
    <row r="9555" spans="27:30" x14ac:dyDescent="0.3">
      <c r="AA9555" s="37">
        <v>9535</v>
      </c>
      <c r="AB9555" s="37">
        <v>1.7793055643757314</v>
      </c>
      <c r="AC9555" s="37">
        <v>2.8389714356090021</v>
      </c>
      <c r="AD9555" s="37">
        <v>3.3002923599173859</v>
      </c>
    </row>
    <row r="9556" spans="27:30" x14ac:dyDescent="0.3">
      <c r="AA9556" s="37">
        <v>9536</v>
      </c>
      <c r="AB9556" s="37">
        <v>1.8269579080603122</v>
      </c>
      <c r="AC9556" s="37">
        <v>2.8195932819457652</v>
      </c>
      <c r="AD9556" s="37">
        <v>3.355083848671002</v>
      </c>
    </row>
    <row r="9557" spans="27:30" x14ac:dyDescent="0.3">
      <c r="AA9557" s="37">
        <v>9537</v>
      </c>
      <c r="AB9557" s="37">
        <v>1.8743024423128276</v>
      </c>
      <c r="AC9557" s="37">
        <v>2.7513629890776494</v>
      </c>
      <c r="AD9557" s="37">
        <v>3.2084461771576263</v>
      </c>
    </row>
    <row r="9558" spans="27:30" x14ac:dyDescent="0.3">
      <c r="AA9558" s="37">
        <v>9538</v>
      </c>
      <c r="AB9558" s="37">
        <v>1.7078639652955432</v>
      </c>
      <c r="AC9558" s="37">
        <v>2.7818869234005863</v>
      </c>
      <c r="AD9558" s="37">
        <v>3.3814816356827748</v>
      </c>
    </row>
    <row r="9559" spans="27:30" x14ac:dyDescent="0.3">
      <c r="AA9559" s="37">
        <v>9539</v>
      </c>
      <c r="AB9559" s="37">
        <v>1.7728693295916649</v>
      </c>
      <c r="AC9559" s="37">
        <v>2.8577228622639823</v>
      </c>
      <c r="AD9559" s="37">
        <v>3.4674620415339272</v>
      </c>
    </row>
    <row r="9560" spans="27:30" x14ac:dyDescent="0.3">
      <c r="AA9560" s="37">
        <v>9540</v>
      </c>
      <c r="AB9560" s="37">
        <v>1.8559048325139575</v>
      </c>
      <c r="AC9560" s="37">
        <v>2.8481869985008639</v>
      </c>
      <c r="AD9560" s="37">
        <v>3.2454139963838053</v>
      </c>
    </row>
    <row r="9561" spans="27:30" x14ac:dyDescent="0.3">
      <c r="AA9561" s="37">
        <v>9541</v>
      </c>
      <c r="AB9561" s="37">
        <v>1.7535914528417149</v>
      </c>
      <c r="AC9561" s="37">
        <v>2.8560600247793428</v>
      </c>
      <c r="AD9561" s="37">
        <v>3.2470811348866753</v>
      </c>
    </row>
    <row r="9562" spans="27:30" x14ac:dyDescent="0.3">
      <c r="AA9562" s="37">
        <v>9542</v>
      </c>
      <c r="AB9562" s="37">
        <v>1.7953667823505934</v>
      </c>
      <c r="AC9562" s="37">
        <v>2.8697225936092905</v>
      </c>
      <c r="AD9562" s="37">
        <v>3.1351907109231925</v>
      </c>
    </row>
    <row r="9563" spans="27:30" x14ac:dyDescent="0.3">
      <c r="AA9563" s="37">
        <v>9543</v>
      </c>
      <c r="AB9563" s="37">
        <v>1.7535057307865547</v>
      </c>
      <c r="AC9563" s="37">
        <v>2.7591654956832881</v>
      </c>
      <c r="AD9563" s="37">
        <v>3.5348007491041149</v>
      </c>
    </row>
    <row r="9564" spans="27:30" x14ac:dyDescent="0.3">
      <c r="AA9564" s="37">
        <v>9544</v>
      </c>
      <c r="AB9564" s="37">
        <v>1.7997690097115862</v>
      </c>
      <c r="AC9564" s="37">
        <v>2.8087773759680501</v>
      </c>
      <c r="AD9564" s="37">
        <v>3.3290511011106312</v>
      </c>
    </row>
    <row r="9565" spans="27:30" x14ac:dyDescent="0.3">
      <c r="AA9565" s="37">
        <v>9545</v>
      </c>
      <c r="AB9565" s="37">
        <v>1.8141175310862165</v>
      </c>
      <c r="AC9565" s="37">
        <v>2.8333480016404762</v>
      </c>
      <c r="AD9565" s="37">
        <v>3.4759621598200821</v>
      </c>
    </row>
    <row r="9566" spans="27:30" x14ac:dyDescent="0.3">
      <c r="AA9566" s="37">
        <v>9546</v>
      </c>
      <c r="AB9566" s="37">
        <v>1.782259361361239</v>
      </c>
      <c r="AC9566" s="37">
        <v>2.7719864098774831</v>
      </c>
      <c r="AD9566" s="37">
        <v>3.5982404503873013</v>
      </c>
    </row>
    <row r="9567" spans="27:30" x14ac:dyDescent="0.3">
      <c r="AA9567" s="37">
        <v>9547</v>
      </c>
      <c r="AB9567" s="37">
        <v>1.6218140913491559</v>
      </c>
      <c r="AC9567" s="37">
        <v>2.8887233999651962</v>
      </c>
      <c r="AD9567" s="37">
        <v>3.2860253510078588</v>
      </c>
    </row>
    <row r="9568" spans="27:30" x14ac:dyDescent="0.3">
      <c r="AA9568" s="37">
        <v>9548</v>
      </c>
      <c r="AB9568" s="37">
        <v>1.6997295462413244</v>
      </c>
      <c r="AC9568" s="37">
        <v>2.7897402875590669</v>
      </c>
      <c r="AD9568" s="37">
        <v>3.5278736020399006</v>
      </c>
    </row>
    <row r="9569" spans="27:30" x14ac:dyDescent="0.3">
      <c r="AA9569" s="37">
        <v>9549</v>
      </c>
      <c r="AB9569" s="37">
        <v>1.7889220260021805</v>
      </c>
      <c r="AC9569" s="37">
        <v>2.9513322927384698</v>
      </c>
      <c r="AD9569" s="37">
        <v>3.2620745186679003</v>
      </c>
    </row>
    <row r="9570" spans="27:30" x14ac:dyDescent="0.3">
      <c r="AA9570" s="37">
        <v>9550</v>
      </c>
      <c r="AB9570" s="37">
        <v>1.870071368138317</v>
      </c>
      <c r="AC9570" s="37">
        <v>2.8579366004814712</v>
      </c>
      <c r="AD9570" s="37">
        <v>3.4687543335998821</v>
      </c>
    </row>
    <row r="9571" spans="27:30" x14ac:dyDescent="0.3">
      <c r="AA9571" s="37">
        <v>9551</v>
      </c>
      <c r="AB9571" s="37">
        <v>1.8409719348294586</v>
      </c>
      <c r="AC9571" s="37">
        <v>2.8549451344728891</v>
      </c>
      <c r="AD9571" s="37">
        <v>3.3774336056334966</v>
      </c>
    </row>
    <row r="9572" spans="27:30" x14ac:dyDescent="0.3">
      <c r="AA9572" s="37">
        <v>9552</v>
      </c>
      <c r="AB9572" s="37">
        <v>1.801255250576125</v>
      </c>
      <c r="AC9572" s="37">
        <v>2.8438666663243026</v>
      </c>
      <c r="AD9572" s="37">
        <v>3.1447316838104613</v>
      </c>
    </row>
    <row r="9573" spans="27:30" x14ac:dyDescent="0.3">
      <c r="AA9573" s="37">
        <v>9553</v>
      </c>
      <c r="AB9573" s="37">
        <v>1.7569161633567445</v>
      </c>
      <c r="AC9573" s="37">
        <v>2.5608596217504056</v>
      </c>
      <c r="AD9573" s="37">
        <v>3.372350680044272</v>
      </c>
    </row>
    <row r="9574" spans="27:30" x14ac:dyDescent="0.3">
      <c r="AA9574" s="37">
        <v>9554</v>
      </c>
      <c r="AB9574" s="37">
        <v>1.7406905849336456</v>
      </c>
      <c r="AC9574" s="37">
        <v>2.9122846350726346</v>
      </c>
      <c r="AD9574" s="37">
        <v>3.3381971369873882</v>
      </c>
    </row>
    <row r="9575" spans="27:30" x14ac:dyDescent="0.3">
      <c r="AA9575" s="37">
        <v>9555</v>
      </c>
      <c r="AB9575" s="37">
        <v>1.758904699088121</v>
      </c>
      <c r="AC9575" s="37">
        <v>2.8871850832094137</v>
      </c>
      <c r="AD9575" s="37">
        <v>3.3486070674009039</v>
      </c>
    </row>
    <row r="9576" spans="27:30" x14ac:dyDescent="0.3">
      <c r="AA9576" s="37">
        <v>9556</v>
      </c>
      <c r="AB9576" s="37">
        <v>1.8974039648721024</v>
      </c>
      <c r="AC9576" s="37">
        <v>2.8611547339576955</v>
      </c>
      <c r="AD9576" s="37">
        <v>3.4340268991014469</v>
      </c>
    </row>
    <row r="9577" spans="27:30" x14ac:dyDescent="0.3">
      <c r="AA9577" s="37">
        <v>9557</v>
      </c>
      <c r="AB9577" s="37">
        <v>1.777116872414598</v>
      </c>
      <c r="AC9577" s="37">
        <v>3.00333269002742</v>
      </c>
      <c r="AD9577" s="37">
        <v>3.3998829117625706</v>
      </c>
    </row>
    <row r="9578" spans="27:30" x14ac:dyDescent="0.3">
      <c r="AA9578" s="37">
        <v>9558</v>
      </c>
      <c r="AB9578" s="37">
        <v>1.6709774221858049</v>
      </c>
      <c r="AC9578" s="37">
        <v>2.8483763512750677</v>
      </c>
      <c r="AD9578" s="37">
        <v>3.3515800532750339</v>
      </c>
    </row>
    <row r="9579" spans="27:30" x14ac:dyDescent="0.3">
      <c r="AA9579" s="37">
        <v>9559</v>
      </c>
      <c r="AB9579" s="37">
        <v>1.8689678942746195</v>
      </c>
      <c r="AC9579" s="37">
        <v>2.9019763750629655</v>
      </c>
      <c r="AD9579" s="37">
        <v>3.3841282143367493</v>
      </c>
    </row>
    <row r="9580" spans="27:30" x14ac:dyDescent="0.3">
      <c r="AA9580" s="37">
        <v>9560</v>
      </c>
      <c r="AB9580" s="37">
        <v>1.7952891841041125</v>
      </c>
      <c r="AC9580" s="37">
        <v>2.9431096637791327</v>
      </c>
      <c r="AD9580" s="37">
        <v>3.3576380873777469</v>
      </c>
    </row>
    <row r="9581" spans="27:30" x14ac:dyDescent="0.3">
      <c r="AA9581" s="37">
        <v>9561</v>
      </c>
      <c r="AB9581" s="37">
        <v>1.7563280061122759</v>
      </c>
      <c r="AC9581" s="37">
        <v>2.8309662965906988</v>
      </c>
      <c r="AD9581" s="37">
        <v>3.3382020914690527</v>
      </c>
    </row>
    <row r="9582" spans="27:30" x14ac:dyDescent="0.3">
      <c r="AA9582" s="37">
        <v>9562</v>
      </c>
      <c r="AB9582" s="37">
        <v>1.7783161715437041</v>
      </c>
      <c r="AC9582" s="37">
        <v>2.9251174827572552</v>
      </c>
      <c r="AD9582" s="37">
        <v>3.4533867718266902</v>
      </c>
    </row>
    <row r="9583" spans="27:30" x14ac:dyDescent="0.3">
      <c r="AA9583" s="37">
        <v>9563</v>
      </c>
      <c r="AB9583" s="37">
        <v>1.8579503815886986</v>
      </c>
      <c r="AC9583" s="37">
        <v>2.8501005301762277</v>
      </c>
      <c r="AD9583" s="37">
        <v>3.4107117044471349</v>
      </c>
    </row>
    <row r="9584" spans="27:30" x14ac:dyDescent="0.3">
      <c r="AA9584" s="37">
        <v>9564</v>
      </c>
      <c r="AB9584" s="37">
        <v>1.8249590906794511</v>
      </c>
      <c r="AC9584" s="37">
        <v>2.763985520165023</v>
      </c>
      <c r="AD9584" s="37">
        <v>3.0842016653626856</v>
      </c>
    </row>
    <row r="9585" spans="27:30" x14ac:dyDescent="0.3">
      <c r="AA9585" s="37">
        <v>9565</v>
      </c>
      <c r="AB9585" s="37">
        <v>1.7845638347221109</v>
      </c>
      <c r="AC9585" s="37">
        <v>3.0272581517402513</v>
      </c>
      <c r="AD9585" s="37">
        <v>3.4887477678598913</v>
      </c>
    </row>
    <row r="9586" spans="27:30" x14ac:dyDescent="0.3">
      <c r="AA9586" s="37">
        <v>9566</v>
      </c>
      <c r="AB9586" s="37">
        <v>1.7787933246496641</v>
      </c>
      <c r="AC9586" s="37">
        <v>2.8966946376756533</v>
      </c>
      <c r="AD9586" s="37">
        <v>3.246865137393367</v>
      </c>
    </row>
    <row r="9587" spans="27:30" x14ac:dyDescent="0.3">
      <c r="AA9587" s="37">
        <v>9567</v>
      </c>
      <c r="AB9587" s="37">
        <v>1.8941664094018311</v>
      </c>
      <c r="AC9587" s="37">
        <v>2.9867359835329874</v>
      </c>
      <c r="AD9587" s="37">
        <v>3.3150859633920686</v>
      </c>
    </row>
    <row r="9588" spans="27:30" x14ac:dyDescent="0.3">
      <c r="AA9588" s="37">
        <v>9568</v>
      </c>
      <c r="AB9588" s="37">
        <v>1.8346887226266864</v>
      </c>
      <c r="AC9588" s="37">
        <v>2.8483845449331509</v>
      </c>
      <c r="AD9588" s="37">
        <v>3.1717486917071764</v>
      </c>
    </row>
    <row r="9589" spans="27:30" x14ac:dyDescent="0.3">
      <c r="AA9589" s="37">
        <v>9569</v>
      </c>
      <c r="AB9589" s="37">
        <v>1.9394755684874518</v>
      </c>
      <c r="AC9589" s="37">
        <v>2.7989862084902839</v>
      </c>
      <c r="AD9589" s="37">
        <v>3.317431715348734</v>
      </c>
    </row>
    <row r="9590" spans="27:30" x14ac:dyDescent="0.3">
      <c r="AA9590" s="37">
        <v>9570</v>
      </c>
      <c r="AB9590" s="37">
        <v>1.7535437627873469</v>
      </c>
      <c r="AC9590" s="37">
        <v>2.9349431328541185</v>
      </c>
      <c r="AD9590" s="37">
        <v>3.1794477831197336</v>
      </c>
    </row>
    <row r="9591" spans="27:30" x14ac:dyDescent="0.3">
      <c r="AA9591" s="37">
        <v>9571</v>
      </c>
      <c r="AB9591" s="37">
        <v>1.8050727637814781</v>
      </c>
      <c r="AC9591" s="37">
        <v>2.7553905154644829</v>
      </c>
      <c r="AD9591" s="37">
        <v>3.363593366876537</v>
      </c>
    </row>
    <row r="9592" spans="27:30" x14ac:dyDescent="0.3">
      <c r="AA9592" s="37">
        <v>9572</v>
      </c>
      <c r="AB9592" s="37">
        <v>1.746105683619531</v>
      </c>
      <c r="AC9592" s="37">
        <v>2.9156794733687912</v>
      </c>
      <c r="AD9592" s="37">
        <v>3.4725203684173738</v>
      </c>
    </row>
    <row r="9593" spans="27:30" x14ac:dyDescent="0.3">
      <c r="AA9593" s="37">
        <v>9573</v>
      </c>
      <c r="AB9593" s="37">
        <v>1.8192128063890682</v>
      </c>
      <c r="AC9593" s="37">
        <v>2.9088960498168301</v>
      </c>
      <c r="AD9593" s="37">
        <v>3.3614801729924184</v>
      </c>
    </row>
    <row r="9594" spans="27:30" x14ac:dyDescent="0.3">
      <c r="AA9594" s="37">
        <v>9574</v>
      </c>
      <c r="AB9594" s="37">
        <v>1.7421381622690859</v>
      </c>
      <c r="AC9594" s="37">
        <v>2.9732996393151385</v>
      </c>
      <c r="AD9594" s="37">
        <v>3.3256080265772732</v>
      </c>
    </row>
    <row r="9595" spans="27:30" x14ac:dyDescent="0.3">
      <c r="AA9595" s="37">
        <v>9575</v>
      </c>
      <c r="AB9595" s="37">
        <v>1.7416786469053422</v>
      </c>
      <c r="AC9595" s="37">
        <v>2.7191805726818825</v>
      </c>
      <c r="AD9595" s="37">
        <v>3.3040546835776681</v>
      </c>
    </row>
    <row r="9596" spans="27:30" x14ac:dyDescent="0.3">
      <c r="AA9596" s="37">
        <v>9576</v>
      </c>
      <c r="AB9596" s="37">
        <v>1.8045779296916948</v>
      </c>
      <c r="AC9596" s="37">
        <v>2.7911092603804031</v>
      </c>
      <c r="AD9596" s="37">
        <v>3.1961654340625554</v>
      </c>
    </row>
    <row r="9597" spans="27:30" x14ac:dyDescent="0.3">
      <c r="AA9597" s="37">
        <v>9577</v>
      </c>
      <c r="AB9597" s="37">
        <v>1.8272291711224273</v>
      </c>
      <c r="AC9597" s="37">
        <v>2.9306967715685102</v>
      </c>
      <c r="AD9597" s="37">
        <v>3.1944660144704531</v>
      </c>
    </row>
    <row r="9598" spans="27:30" x14ac:dyDescent="0.3">
      <c r="AA9598" s="37">
        <v>9578</v>
      </c>
      <c r="AB9598" s="37">
        <v>1.7648992999271769</v>
      </c>
      <c r="AC9598" s="37">
        <v>2.8903763293182489</v>
      </c>
      <c r="AD9598" s="37">
        <v>3.4073054610173701</v>
      </c>
    </row>
    <row r="9599" spans="27:30" x14ac:dyDescent="0.3">
      <c r="AA9599" s="37">
        <v>9579</v>
      </c>
      <c r="AB9599" s="37">
        <v>1.8303622876635941</v>
      </c>
      <c r="AC9599" s="37">
        <v>2.746759548242764</v>
      </c>
      <c r="AD9599" s="37">
        <v>3.432354607458354</v>
      </c>
    </row>
    <row r="9600" spans="27:30" x14ac:dyDescent="0.3">
      <c r="AA9600" s="37">
        <v>9580</v>
      </c>
      <c r="AB9600" s="37">
        <v>1.7915759677977299</v>
      </c>
      <c r="AC9600" s="37">
        <v>2.8814874638873613</v>
      </c>
      <c r="AD9600" s="37">
        <v>3.4318410821665828</v>
      </c>
    </row>
    <row r="9601" spans="27:30" x14ac:dyDescent="0.3">
      <c r="AA9601" s="37">
        <v>9581</v>
      </c>
      <c r="AB9601" s="37">
        <v>1.8634698323403611</v>
      </c>
      <c r="AC9601" s="37">
        <v>2.7745112381505574</v>
      </c>
      <c r="AD9601" s="37">
        <v>3.2905875929691497</v>
      </c>
    </row>
    <row r="9602" spans="27:30" x14ac:dyDescent="0.3">
      <c r="AA9602" s="37">
        <v>9582</v>
      </c>
      <c r="AB9602" s="37">
        <v>1.7714422033178949</v>
      </c>
      <c r="AC9602" s="37">
        <v>2.9091945380754862</v>
      </c>
      <c r="AD9602" s="37">
        <v>3.3351918010764412</v>
      </c>
    </row>
    <row r="9603" spans="27:30" x14ac:dyDescent="0.3">
      <c r="AA9603" s="37">
        <v>9583</v>
      </c>
      <c r="AB9603" s="37">
        <v>1.8226093588304129</v>
      </c>
      <c r="AC9603" s="37">
        <v>2.8716511955337802</v>
      </c>
      <c r="AD9603" s="37">
        <v>3.1349585921402428</v>
      </c>
    </row>
    <row r="9604" spans="27:30" x14ac:dyDescent="0.3">
      <c r="AA9604" s="37">
        <v>9584</v>
      </c>
      <c r="AB9604" s="37">
        <v>1.7510513930250406</v>
      </c>
      <c r="AC9604" s="37">
        <v>2.7826739806914293</v>
      </c>
      <c r="AD9604" s="37">
        <v>3.4441318723850496</v>
      </c>
    </row>
    <row r="9605" spans="27:30" x14ac:dyDescent="0.3">
      <c r="AA9605" s="37">
        <v>9585</v>
      </c>
      <c r="AB9605" s="37">
        <v>1.8386042364069068</v>
      </c>
      <c r="AC9605" s="37">
        <v>2.9756815523432634</v>
      </c>
      <c r="AD9605" s="37">
        <v>3.2884452483912527</v>
      </c>
    </row>
    <row r="9606" spans="27:30" x14ac:dyDescent="0.3">
      <c r="AA9606" s="37">
        <v>9586</v>
      </c>
      <c r="AB9606" s="37">
        <v>1.8347002440431481</v>
      </c>
      <c r="AC9606" s="37">
        <v>3.041229567505749</v>
      </c>
      <c r="AD9606" s="37">
        <v>3.468900483476248</v>
      </c>
    </row>
    <row r="9607" spans="27:30" x14ac:dyDescent="0.3">
      <c r="AA9607" s="37">
        <v>9587</v>
      </c>
      <c r="AB9607" s="37">
        <v>1.7387900609518638</v>
      </c>
      <c r="AC9607" s="37">
        <v>3.0156635659327233</v>
      </c>
      <c r="AD9607" s="37">
        <v>3.224700629016235</v>
      </c>
    </row>
    <row r="9608" spans="27:30" x14ac:dyDescent="0.3">
      <c r="AA9608" s="37">
        <v>9588</v>
      </c>
      <c r="AB9608" s="37">
        <v>1.896383407053186</v>
      </c>
      <c r="AC9608" s="37">
        <v>2.8185123735521214</v>
      </c>
      <c r="AD9608" s="37">
        <v>3.4289559400710523</v>
      </c>
    </row>
    <row r="9609" spans="27:30" x14ac:dyDescent="0.3">
      <c r="AA9609" s="37">
        <v>9589</v>
      </c>
      <c r="AB9609" s="37">
        <v>1.7976922393464638</v>
      </c>
      <c r="AC9609" s="37">
        <v>2.9121083213526844</v>
      </c>
      <c r="AD9609" s="37">
        <v>3.3775329924426702</v>
      </c>
    </row>
    <row r="9610" spans="27:30" x14ac:dyDescent="0.3">
      <c r="AA9610" s="37">
        <v>9590</v>
      </c>
      <c r="AB9610" s="37">
        <v>1.7092279758996947</v>
      </c>
      <c r="AC9610" s="37">
        <v>2.623515851323432</v>
      </c>
      <c r="AD9610" s="37">
        <v>3.4362750507683355</v>
      </c>
    </row>
    <row r="9611" spans="27:30" x14ac:dyDescent="0.3">
      <c r="AA9611" s="37">
        <v>9591</v>
      </c>
      <c r="AB9611" s="37">
        <v>1.8140762781518209</v>
      </c>
      <c r="AC9611" s="37">
        <v>2.8076531415413348</v>
      </c>
      <c r="AD9611" s="37">
        <v>3.3565376013814174</v>
      </c>
    </row>
    <row r="9612" spans="27:30" x14ac:dyDescent="0.3">
      <c r="AA9612" s="37">
        <v>9592</v>
      </c>
      <c r="AB9612" s="37">
        <v>1.9033812571581215</v>
      </c>
      <c r="AC9612" s="37">
        <v>2.8027427668860994</v>
      </c>
      <c r="AD9612" s="37">
        <v>3.6465121521218617</v>
      </c>
    </row>
    <row r="9613" spans="27:30" x14ac:dyDescent="0.3">
      <c r="AA9613" s="37">
        <v>9593</v>
      </c>
      <c r="AB9613" s="37">
        <v>1.770107471718215</v>
      </c>
      <c r="AC9613" s="37">
        <v>3.0829002229238669</v>
      </c>
      <c r="AD9613" s="37">
        <v>3.3542562860437148</v>
      </c>
    </row>
    <row r="9614" spans="27:30" x14ac:dyDescent="0.3">
      <c r="AA9614" s="37">
        <v>9594</v>
      </c>
      <c r="AB9614" s="37">
        <v>1.7555605829508008</v>
      </c>
      <c r="AC9614" s="37">
        <v>2.6672671491373885</v>
      </c>
      <c r="AD9614" s="37">
        <v>3.2509116933472515</v>
      </c>
    </row>
    <row r="9615" spans="27:30" x14ac:dyDescent="0.3">
      <c r="AA9615" s="37">
        <v>9595</v>
      </c>
      <c r="AB9615" s="37">
        <v>1.6196318465017856</v>
      </c>
      <c r="AC9615" s="37">
        <v>2.6049344889244805</v>
      </c>
      <c r="AD9615" s="37">
        <v>3.3902986571127389</v>
      </c>
    </row>
    <row r="9616" spans="27:30" x14ac:dyDescent="0.3">
      <c r="AA9616" s="37">
        <v>9596</v>
      </c>
      <c r="AB9616" s="37">
        <v>1.7745742674332907</v>
      </c>
      <c r="AC9616" s="37">
        <v>2.8070418596607154</v>
      </c>
      <c r="AD9616" s="37">
        <v>3.3518924063739606</v>
      </c>
    </row>
    <row r="9617" spans="27:30" x14ac:dyDescent="0.3">
      <c r="AA9617" s="37">
        <v>9597</v>
      </c>
      <c r="AB9617" s="37">
        <v>1.7977030511812508</v>
      </c>
      <c r="AC9617" s="37">
        <v>2.7439009548007727</v>
      </c>
      <c r="AD9617" s="37">
        <v>3.3267156325464904</v>
      </c>
    </row>
    <row r="9618" spans="27:30" x14ac:dyDescent="0.3">
      <c r="AA9618" s="37">
        <v>9598</v>
      </c>
      <c r="AB9618" s="37">
        <v>1.6737657238283263</v>
      </c>
      <c r="AC9618" s="37">
        <v>3.0192792290685215</v>
      </c>
      <c r="AD9618" s="37">
        <v>3.2428669789335611</v>
      </c>
    </row>
    <row r="9619" spans="27:30" x14ac:dyDescent="0.3">
      <c r="AA9619" s="37">
        <v>9599</v>
      </c>
      <c r="AB9619" s="37">
        <v>1.8667937521485631</v>
      </c>
      <c r="AC9619" s="37">
        <v>2.7982071328169678</v>
      </c>
      <c r="AD9619" s="37">
        <v>3.3942383025541969</v>
      </c>
    </row>
    <row r="9620" spans="27:30" x14ac:dyDescent="0.3">
      <c r="AA9620" s="37">
        <v>9600</v>
      </c>
      <c r="AB9620" s="37">
        <v>1.8659883033418472</v>
      </c>
      <c r="AC9620" s="37">
        <v>2.9986832693148298</v>
      </c>
      <c r="AD9620" s="37">
        <v>3.4599811317530458</v>
      </c>
    </row>
    <row r="9621" spans="27:30" x14ac:dyDescent="0.3">
      <c r="AA9621" s="37">
        <v>9601</v>
      </c>
      <c r="AB9621" s="37">
        <v>1.7752223826277549</v>
      </c>
      <c r="AC9621" s="37">
        <v>2.7021877984930822</v>
      </c>
      <c r="AD9621" s="37">
        <v>3.567571305654865</v>
      </c>
    </row>
    <row r="9622" spans="27:30" x14ac:dyDescent="0.3">
      <c r="AA9622" s="37">
        <v>9602</v>
      </c>
      <c r="AB9622" s="37">
        <v>1.8143698196564455</v>
      </c>
      <c r="AC9622" s="37">
        <v>2.9562889399622474</v>
      </c>
      <c r="AD9622" s="37">
        <v>3.5352618805221812</v>
      </c>
    </row>
    <row r="9623" spans="27:30" x14ac:dyDescent="0.3">
      <c r="AA9623" s="37">
        <v>9603</v>
      </c>
      <c r="AB9623" s="37">
        <v>1.7554553171456708</v>
      </c>
      <c r="AC9623" s="37">
        <v>2.9904457124724848</v>
      </c>
      <c r="AD9623" s="37">
        <v>3.3133563382740565</v>
      </c>
    </row>
    <row r="9624" spans="27:30" x14ac:dyDescent="0.3">
      <c r="AA9624" s="37">
        <v>9604</v>
      </c>
      <c r="AB9624" s="37">
        <v>1.7439280968264856</v>
      </c>
      <c r="AC9624" s="37">
        <v>2.7853382908896318</v>
      </c>
      <c r="AD9624" s="37">
        <v>3.4501078315188054</v>
      </c>
    </row>
    <row r="9625" spans="27:30" x14ac:dyDescent="0.3">
      <c r="AA9625" s="37">
        <v>9605</v>
      </c>
      <c r="AB9625" s="37">
        <v>1.769821779869668</v>
      </c>
      <c r="AC9625" s="37">
        <v>2.6796790180484957</v>
      </c>
      <c r="AD9625" s="37">
        <v>3.2272031824771803</v>
      </c>
    </row>
    <row r="9626" spans="27:30" x14ac:dyDescent="0.3">
      <c r="AA9626" s="37">
        <v>9606</v>
      </c>
      <c r="AB9626" s="37">
        <v>1.8148684202345173</v>
      </c>
      <c r="AC9626" s="37">
        <v>2.8334386429759784</v>
      </c>
      <c r="AD9626" s="37">
        <v>3.183022440485503</v>
      </c>
    </row>
    <row r="9627" spans="27:30" x14ac:dyDescent="0.3">
      <c r="AA9627" s="37">
        <v>9607</v>
      </c>
      <c r="AB9627" s="37">
        <v>1.8278372388368722</v>
      </c>
      <c r="AC9627" s="37">
        <v>2.9438742551929273</v>
      </c>
      <c r="AD9627" s="37">
        <v>3.2795143068425756</v>
      </c>
    </row>
    <row r="9628" spans="27:30" x14ac:dyDescent="0.3">
      <c r="AA9628" s="37">
        <v>9608</v>
      </c>
      <c r="AB9628" s="37">
        <v>1.8712893471794818</v>
      </c>
      <c r="AC9628" s="37">
        <v>2.8441406005715337</v>
      </c>
      <c r="AD9628" s="37">
        <v>3.3880602813149205</v>
      </c>
    </row>
    <row r="9629" spans="27:30" x14ac:dyDescent="0.3">
      <c r="AA9629" s="37">
        <v>9609</v>
      </c>
      <c r="AB9629" s="37">
        <v>1.7884309922834296</v>
      </c>
      <c r="AC9629" s="37">
        <v>2.6699074671655665</v>
      </c>
      <c r="AD9629" s="37">
        <v>3.2145419471473975</v>
      </c>
    </row>
    <row r="9630" spans="27:30" x14ac:dyDescent="0.3">
      <c r="AA9630" s="37">
        <v>9610</v>
      </c>
      <c r="AB9630" s="37">
        <v>1.8645371620016966</v>
      </c>
      <c r="AC9630" s="37">
        <v>2.921410315296451</v>
      </c>
      <c r="AD9630" s="37">
        <v>3.4485268956221748</v>
      </c>
    </row>
    <row r="9631" spans="27:30" x14ac:dyDescent="0.3">
      <c r="AA9631" s="37">
        <v>9611</v>
      </c>
      <c r="AB9631" s="37">
        <v>1.7796329921476561</v>
      </c>
      <c r="AC9631" s="37">
        <v>2.9670982530108505</v>
      </c>
      <c r="AD9631" s="37">
        <v>3.1974364620424507</v>
      </c>
    </row>
    <row r="9632" spans="27:30" x14ac:dyDescent="0.3">
      <c r="AA9632" s="37">
        <v>9612</v>
      </c>
      <c r="AB9632" s="37">
        <v>1.8439234989076212</v>
      </c>
      <c r="AC9632" s="37">
        <v>2.9803973661037171</v>
      </c>
      <c r="AD9632" s="37">
        <v>3.453326659082284</v>
      </c>
    </row>
    <row r="9633" spans="27:30" x14ac:dyDescent="0.3">
      <c r="AA9633" s="37">
        <v>9613</v>
      </c>
      <c r="AB9633" s="37">
        <v>1.7548706614611227</v>
      </c>
      <c r="AC9633" s="37">
        <v>2.6333781302736505</v>
      </c>
      <c r="AD9633" s="37">
        <v>3.4251244264240763</v>
      </c>
    </row>
    <row r="9634" spans="27:30" x14ac:dyDescent="0.3">
      <c r="AA9634" s="37">
        <v>9614</v>
      </c>
      <c r="AB9634" s="37">
        <v>1.833611662704951</v>
      </c>
      <c r="AC9634" s="37">
        <v>2.7168270999202604</v>
      </c>
      <c r="AD9634" s="37">
        <v>3.2662583729881387</v>
      </c>
    </row>
    <row r="9635" spans="27:30" x14ac:dyDescent="0.3">
      <c r="AA9635" s="37">
        <v>9615</v>
      </c>
      <c r="AB9635" s="37">
        <v>1.7342297294329714</v>
      </c>
      <c r="AC9635" s="37">
        <v>2.9135903673993857</v>
      </c>
      <c r="AD9635" s="37">
        <v>3.0629512260432024</v>
      </c>
    </row>
    <row r="9636" spans="27:30" x14ac:dyDescent="0.3">
      <c r="AA9636" s="37">
        <v>9616</v>
      </c>
      <c r="AB9636" s="37">
        <v>1.8464375665778237</v>
      </c>
      <c r="AC9636" s="37">
        <v>2.9803858135660333</v>
      </c>
      <c r="AD9636" s="37">
        <v>3.2820948709786242</v>
      </c>
    </row>
    <row r="9637" spans="27:30" x14ac:dyDescent="0.3">
      <c r="AA9637" s="37">
        <v>9617</v>
      </c>
      <c r="AB9637" s="37">
        <v>1.7014616619905285</v>
      </c>
      <c r="AC9637" s="37">
        <v>3.0358502895575699</v>
      </c>
      <c r="AD9637" s="37">
        <v>3.4626915004087895</v>
      </c>
    </row>
    <row r="9638" spans="27:30" x14ac:dyDescent="0.3">
      <c r="AA9638" s="37">
        <v>9618</v>
      </c>
      <c r="AB9638" s="37">
        <v>1.7016942751953723</v>
      </c>
      <c r="AC9638" s="37">
        <v>2.7518032339399685</v>
      </c>
      <c r="AD9638" s="37">
        <v>3.2593470961998956</v>
      </c>
    </row>
    <row r="9639" spans="27:30" x14ac:dyDescent="0.3">
      <c r="AA9639" s="37">
        <v>9619</v>
      </c>
      <c r="AB9639" s="37">
        <v>1.7392760985046185</v>
      </c>
      <c r="AC9639" s="37">
        <v>2.6203713809816973</v>
      </c>
      <c r="AD9639" s="37">
        <v>3.3283287555617518</v>
      </c>
    </row>
    <row r="9640" spans="27:30" x14ac:dyDescent="0.3">
      <c r="AA9640" s="37">
        <v>9620</v>
      </c>
      <c r="AB9640" s="37">
        <v>1.7185353993486088</v>
      </c>
      <c r="AC9640" s="37">
        <v>2.7719968350824518</v>
      </c>
      <c r="AD9640" s="37">
        <v>3.4768844438846114</v>
      </c>
    </row>
    <row r="9641" spans="27:30" x14ac:dyDescent="0.3">
      <c r="AA9641" s="37">
        <v>9621</v>
      </c>
      <c r="AB9641" s="37">
        <v>1.8864538857974382</v>
      </c>
      <c r="AC9641" s="37">
        <v>2.8113818797562593</v>
      </c>
      <c r="AD9641" s="37">
        <v>3.6767081872118537</v>
      </c>
    </row>
    <row r="9642" spans="27:30" x14ac:dyDescent="0.3">
      <c r="AA9642" s="37">
        <v>9622</v>
      </c>
      <c r="AB9642" s="37">
        <v>1.9081848676524011</v>
      </c>
      <c r="AC9642" s="37">
        <v>2.8265750761888628</v>
      </c>
      <c r="AD9642" s="37">
        <v>3.2415267618005443</v>
      </c>
    </row>
    <row r="9643" spans="27:30" x14ac:dyDescent="0.3">
      <c r="AA9643" s="37">
        <v>9623</v>
      </c>
      <c r="AB9643" s="37">
        <v>1.947135654707999</v>
      </c>
      <c r="AC9643" s="37">
        <v>2.9494683279030225</v>
      </c>
      <c r="AD9643" s="37">
        <v>3.3328239666243178</v>
      </c>
    </row>
    <row r="9644" spans="27:30" x14ac:dyDescent="0.3">
      <c r="AA9644" s="37">
        <v>9624</v>
      </c>
      <c r="AB9644" s="37">
        <v>1.8104064765568331</v>
      </c>
      <c r="AC9644" s="37">
        <v>2.6932631044151112</v>
      </c>
      <c r="AD9644" s="37">
        <v>3.4382742428782977</v>
      </c>
    </row>
    <row r="9645" spans="27:30" x14ac:dyDescent="0.3">
      <c r="AA9645" s="37">
        <v>9625</v>
      </c>
      <c r="AB9645" s="37">
        <v>1.8926416729777538</v>
      </c>
      <c r="AC9645" s="37">
        <v>3.0022323933213126</v>
      </c>
      <c r="AD9645" s="37">
        <v>3.1689858407167573</v>
      </c>
    </row>
    <row r="9646" spans="27:30" x14ac:dyDescent="0.3">
      <c r="AA9646" s="37">
        <v>9626</v>
      </c>
      <c r="AB9646" s="37">
        <v>1.8175997906950823</v>
      </c>
      <c r="AC9646" s="37">
        <v>2.6775244504830096</v>
      </c>
      <c r="AD9646" s="37">
        <v>3.2165521381929705</v>
      </c>
    </row>
    <row r="9647" spans="27:30" x14ac:dyDescent="0.3">
      <c r="AA9647" s="37">
        <v>9627</v>
      </c>
      <c r="AB9647" s="37">
        <v>1.7659538578577822</v>
      </c>
      <c r="AC9647" s="37">
        <v>2.6691110092425019</v>
      </c>
      <c r="AD9647" s="37">
        <v>3.2231307430911924</v>
      </c>
    </row>
    <row r="9648" spans="27:30" x14ac:dyDescent="0.3">
      <c r="AA9648" s="37">
        <v>9628</v>
      </c>
      <c r="AB9648" s="37">
        <v>1.7498823223406492</v>
      </c>
      <c r="AC9648" s="37">
        <v>2.8432794227864475</v>
      </c>
      <c r="AD9648" s="37">
        <v>3.4276538189546888</v>
      </c>
    </row>
    <row r="9649" spans="27:30" x14ac:dyDescent="0.3">
      <c r="AA9649" s="37">
        <v>9629</v>
      </c>
      <c r="AB9649" s="37">
        <v>1.7958548489998614</v>
      </c>
      <c r="AC9649" s="37">
        <v>2.9306435341441675</v>
      </c>
      <c r="AD9649" s="37">
        <v>3.3095209070893556</v>
      </c>
    </row>
    <row r="9650" spans="27:30" x14ac:dyDescent="0.3">
      <c r="AA9650" s="37">
        <v>9630</v>
      </c>
      <c r="AB9650" s="37">
        <v>1.6966964405408629</v>
      </c>
      <c r="AC9650" s="37">
        <v>2.7153084808395378</v>
      </c>
      <c r="AD9650" s="37">
        <v>3.1611034287051503</v>
      </c>
    </row>
    <row r="9651" spans="27:30" x14ac:dyDescent="0.3">
      <c r="AA9651" s="37">
        <v>9631</v>
      </c>
      <c r="AB9651" s="37">
        <v>1.8791675968859556</v>
      </c>
      <c r="AC9651" s="37">
        <v>2.9992401979689629</v>
      </c>
      <c r="AD9651" s="37">
        <v>3.3717276904751112</v>
      </c>
    </row>
    <row r="9652" spans="27:30" x14ac:dyDescent="0.3">
      <c r="AA9652" s="37">
        <v>9632</v>
      </c>
      <c r="AB9652" s="37">
        <v>1.7155787984486892</v>
      </c>
      <c r="AC9652" s="37">
        <v>2.8223749509646008</v>
      </c>
      <c r="AD9652" s="37">
        <v>3.1513718767128003</v>
      </c>
    </row>
    <row r="9653" spans="27:30" x14ac:dyDescent="0.3">
      <c r="AA9653" s="37">
        <v>9633</v>
      </c>
      <c r="AB9653" s="37">
        <v>1.7568218102765343</v>
      </c>
      <c r="AC9653" s="37">
        <v>2.6541148316373295</v>
      </c>
      <c r="AD9653" s="37">
        <v>3.1854629108593193</v>
      </c>
    </row>
    <row r="9654" spans="27:30" x14ac:dyDescent="0.3">
      <c r="AA9654" s="37">
        <v>9634</v>
      </c>
      <c r="AB9654" s="37">
        <v>1.7905327486483689</v>
      </c>
      <c r="AC9654" s="37">
        <v>2.8234279754301865</v>
      </c>
      <c r="AD9654" s="37">
        <v>3.2965230074535339</v>
      </c>
    </row>
    <row r="9655" spans="27:30" x14ac:dyDescent="0.3">
      <c r="AA9655" s="37">
        <v>9635</v>
      </c>
      <c r="AB9655" s="37">
        <v>1.7982610621530279</v>
      </c>
      <c r="AC9655" s="37">
        <v>2.8868367602957972</v>
      </c>
      <c r="AD9655" s="37">
        <v>3.2100243844106466</v>
      </c>
    </row>
    <row r="9656" spans="27:30" x14ac:dyDescent="0.3">
      <c r="AA9656" s="37">
        <v>9636</v>
      </c>
      <c r="AB9656" s="37">
        <v>1.8237832014495641</v>
      </c>
      <c r="AC9656" s="37">
        <v>2.9068729046682114</v>
      </c>
      <c r="AD9656" s="37">
        <v>3.1289047790683422</v>
      </c>
    </row>
    <row r="9657" spans="27:30" x14ac:dyDescent="0.3">
      <c r="AA9657" s="37">
        <v>9637</v>
      </c>
      <c r="AB9657" s="37">
        <v>1.7419809688904464</v>
      </c>
      <c r="AC9657" s="37">
        <v>2.8623878396162907</v>
      </c>
      <c r="AD9657" s="37">
        <v>3.2570953972402816</v>
      </c>
    </row>
    <row r="9658" spans="27:30" x14ac:dyDescent="0.3">
      <c r="AA9658" s="37">
        <v>9638</v>
      </c>
      <c r="AB9658" s="37">
        <v>1.7739155601738921</v>
      </c>
      <c r="AC9658" s="37">
        <v>2.8684782532679081</v>
      </c>
      <c r="AD9658" s="37">
        <v>3.3571482444033003</v>
      </c>
    </row>
    <row r="9659" spans="27:30" x14ac:dyDescent="0.3">
      <c r="AA9659" s="37">
        <v>9639</v>
      </c>
      <c r="AB9659" s="37">
        <v>1.7360620606637793</v>
      </c>
      <c r="AC9659" s="37">
        <v>3.0117243575298569</v>
      </c>
      <c r="AD9659" s="37">
        <v>3.5239509097386414</v>
      </c>
    </row>
    <row r="9660" spans="27:30" x14ac:dyDescent="0.3">
      <c r="AA9660" s="37">
        <v>9640</v>
      </c>
      <c r="AB9660" s="37">
        <v>1.8269706396377541</v>
      </c>
      <c r="AC9660" s="37">
        <v>2.8807529001156276</v>
      </c>
      <c r="AD9660" s="37">
        <v>3.212198445742366</v>
      </c>
    </row>
    <row r="9661" spans="27:30" x14ac:dyDescent="0.3">
      <c r="AA9661" s="37">
        <v>9641</v>
      </c>
      <c r="AB9661" s="37">
        <v>1.8529139005395245</v>
      </c>
      <c r="AC9661" s="37">
        <v>2.9201620428482982</v>
      </c>
      <c r="AD9661" s="37">
        <v>3.2168292907046419</v>
      </c>
    </row>
    <row r="9662" spans="27:30" x14ac:dyDescent="0.3">
      <c r="AA9662" s="37">
        <v>9642</v>
      </c>
      <c r="AB9662" s="37">
        <v>1.8920612366658154</v>
      </c>
      <c r="AC9662" s="37">
        <v>3.1632916108413287</v>
      </c>
      <c r="AD9662" s="37">
        <v>3.1444561836969696</v>
      </c>
    </row>
    <row r="9663" spans="27:30" x14ac:dyDescent="0.3">
      <c r="AA9663" s="37">
        <v>9643</v>
      </c>
      <c r="AB9663" s="37">
        <v>1.7061600882066705</v>
      </c>
      <c r="AC9663" s="37">
        <v>2.8607108734713491</v>
      </c>
      <c r="AD9663" s="37">
        <v>3.2006389964564579</v>
      </c>
    </row>
    <row r="9664" spans="27:30" x14ac:dyDescent="0.3">
      <c r="AA9664" s="37">
        <v>9644</v>
      </c>
      <c r="AB9664" s="37">
        <v>1.858287662412754</v>
      </c>
      <c r="AC9664" s="37">
        <v>2.8943684584745779</v>
      </c>
      <c r="AD9664" s="37">
        <v>3.4752096079538224</v>
      </c>
    </row>
    <row r="9665" spans="27:30" x14ac:dyDescent="0.3">
      <c r="AA9665" s="37">
        <v>9645</v>
      </c>
      <c r="AB9665" s="37">
        <v>1.8630356503156149</v>
      </c>
      <c r="AC9665" s="37">
        <v>2.7702109391500191</v>
      </c>
      <c r="AD9665" s="37">
        <v>3.2112361426153839</v>
      </c>
    </row>
    <row r="9666" spans="27:30" x14ac:dyDescent="0.3">
      <c r="AA9666" s="37">
        <v>9646</v>
      </c>
      <c r="AB9666" s="37">
        <v>1.7977051288704982</v>
      </c>
      <c r="AC9666" s="37">
        <v>2.8897400292411106</v>
      </c>
      <c r="AD9666" s="37">
        <v>3.5111696944587591</v>
      </c>
    </row>
    <row r="9667" spans="27:30" x14ac:dyDescent="0.3">
      <c r="AA9667" s="37">
        <v>9647</v>
      </c>
      <c r="AB9667" s="37">
        <v>1.8348675221562349</v>
      </c>
      <c r="AC9667" s="37">
        <v>2.8537180450033284</v>
      </c>
      <c r="AD9667" s="37">
        <v>3.2906150181104765</v>
      </c>
    </row>
    <row r="9668" spans="27:30" x14ac:dyDescent="0.3">
      <c r="AA9668" s="37">
        <v>9648</v>
      </c>
      <c r="AB9668" s="37">
        <v>1.8385492560801373</v>
      </c>
      <c r="AC9668" s="37">
        <v>2.8846118941923611</v>
      </c>
      <c r="AD9668" s="37">
        <v>3.3414780649365334</v>
      </c>
    </row>
    <row r="9669" spans="27:30" x14ac:dyDescent="0.3">
      <c r="AA9669" s="37">
        <v>9649</v>
      </c>
      <c r="AB9669" s="37">
        <v>1.8483922982629142</v>
      </c>
      <c r="AC9669" s="37">
        <v>2.6771542272699915</v>
      </c>
      <c r="AD9669" s="37">
        <v>3.2313981708301829</v>
      </c>
    </row>
    <row r="9670" spans="27:30" x14ac:dyDescent="0.3">
      <c r="AA9670" s="37">
        <v>9650</v>
      </c>
      <c r="AB9670" s="37">
        <v>1.762923973482347</v>
      </c>
      <c r="AC9670" s="37">
        <v>2.7902947812718142</v>
      </c>
      <c r="AD9670" s="37">
        <v>3.4455252569421431</v>
      </c>
    </row>
    <row r="9671" spans="27:30" x14ac:dyDescent="0.3">
      <c r="AA9671" s="37">
        <v>9651</v>
      </c>
      <c r="AB9671" s="37">
        <v>1.7854633266550208</v>
      </c>
      <c r="AC9671" s="37">
        <v>2.9164645923337651</v>
      </c>
      <c r="AD9671" s="37">
        <v>3.298253290760635</v>
      </c>
    </row>
    <row r="9672" spans="27:30" x14ac:dyDescent="0.3">
      <c r="AA9672" s="37">
        <v>9652</v>
      </c>
      <c r="AB9672" s="37">
        <v>1.8731352607295746</v>
      </c>
      <c r="AC9672" s="37">
        <v>3.0081965449885493</v>
      </c>
      <c r="AD9672" s="37">
        <v>3.5222303678142461</v>
      </c>
    </row>
    <row r="9673" spans="27:30" x14ac:dyDescent="0.3">
      <c r="AA9673" s="37">
        <v>9653</v>
      </c>
      <c r="AB9673" s="37">
        <v>1.8537843267710201</v>
      </c>
      <c r="AC9673" s="37">
        <v>2.8306647331380494</v>
      </c>
      <c r="AD9673" s="37">
        <v>3.5301218813214588</v>
      </c>
    </row>
    <row r="9674" spans="27:30" x14ac:dyDescent="0.3">
      <c r="AA9674" s="37">
        <v>9654</v>
      </c>
      <c r="AB9674" s="37">
        <v>1.7932060544101922</v>
      </c>
      <c r="AC9674" s="37">
        <v>2.7392964571307767</v>
      </c>
      <c r="AD9674" s="37">
        <v>3.2687393608085911</v>
      </c>
    </row>
    <row r="9675" spans="27:30" x14ac:dyDescent="0.3">
      <c r="AA9675" s="37">
        <v>9655</v>
      </c>
      <c r="AB9675" s="37">
        <v>1.8079666260903937</v>
      </c>
      <c r="AC9675" s="37">
        <v>2.9047288404065759</v>
      </c>
      <c r="AD9675" s="37">
        <v>3.3568499324285495</v>
      </c>
    </row>
    <row r="9676" spans="27:30" x14ac:dyDescent="0.3">
      <c r="AA9676" s="37">
        <v>9656</v>
      </c>
      <c r="AB9676" s="37">
        <v>1.7886607133833599</v>
      </c>
      <c r="AC9676" s="37">
        <v>2.7405612700088651</v>
      </c>
      <c r="AD9676" s="37">
        <v>3.4189823324131265</v>
      </c>
    </row>
    <row r="9677" spans="27:30" x14ac:dyDescent="0.3">
      <c r="AA9677" s="37">
        <v>9657</v>
      </c>
      <c r="AB9677" s="37">
        <v>1.8362364485872684</v>
      </c>
      <c r="AC9677" s="37">
        <v>2.820862419211887</v>
      </c>
      <c r="AD9677" s="37">
        <v>3.1831737263141178</v>
      </c>
    </row>
    <row r="9678" spans="27:30" x14ac:dyDescent="0.3">
      <c r="AA9678" s="37">
        <v>9658</v>
      </c>
      <c r="AB9678" s="37">
        <v>1.7826872883540863</v>
      </c>
      <c r="AC9678" s="37">
        <v>2.8548022476613593</v>
      </c>
      <c r="AD9678" s="37">
        <v>3.2177052871558427</v>
      </c>
    </row>
    <row r="9679" spans="27:30" x14ac:dyDescent="0.3">
      <c r="AA9679" s="37">
        <v>9659</v>
      </c>
      <c r="AB9679" s="37">
        <v>1.819963713932109</v>
      </c>
      <c r="AC9679" s="37">
        <v>2.8231436508488823</v>
      </c>
      <c r="AD9679" s="37">
        <v>3.3319395599625907</v>
      </c>
    </row>
    <row r="9680" spans="27:30" x14ac:dyDescent="0.3">
      <c r="AA9680" s="37">
        <v>9660</v>
      </c>
      <c r="AB9680" s="37">
        <v>1.6794199702136947</v>
      </c>
      <c r="AC9680" s="37">
        <v>2.7306795447435381</v>
      </c>
      <c r="AD9680" s="37">
        <v>3.1486163200021795</v>
      </c>
    </row>
    <row r="9681" spans="27:30" x14ac:dyDescent="0.3">
      <c r="AA9681" s="37">
        <v>9661</v>
      </c>
      <c r="AB9681" s="37">
        <v>1.8174102078546388</v>
      </c>
      <c r="AC9681" s="37">
        <v>2.7706429278411604</v>
      </c>
      <c r="AD9681" s="37">
        <v>3.4788771734894799</v>
      </c>
    </row>
    <row r="9682" spans="27:30" x14ac:dyDescent="0.3">
      <c r="AA9682" s="37">
        <v>9662</v>
      </c>
      <c r="AB9682" s="37">
        <v>1.7517827127442009</v>
      </c>
      <c r="AC9682" s="37">
        <v>2.8574135053034779</v>
      </c>
      <c r="AD9682" s="37">
        <v>3.3679172146718503</v>
      </c>
    </row>
    <row r="9683" spans="27:30" x14ac:dyDescent="0.3">
      <c r="AA9683" s="37">
        <v>9663</v>
      </c>
      <c r="AB9683" s="37">
        <v>1.7824172320753595</v>
      </c>
      <c r="AC9683" s="37">
        <v>3.0141891755534043</v>
      </c>
      <c r="AD9683" s="37">
        <v>3.4505681693276484</v>
      </c>
    </row>
    <row r="9684" spans="27:30" x14ac:dyDescent="0.3">
      <c r="AA9684" s="37">
        <v>9664</v>
      </c>
      <c r="AB9684" s="37">
        <v>1.7735550323379434</v>
      </c>
      <c r="AC9684" s="37">
        <v>2.6506074892616724</v>
      </c>
      <c r="AD9684" s="37">
        <v>3.0764090606775163</v>
      </c>
    </row>
    <row r="9685" spans="27:30" x14ac:dyDescent="0.3">
      <c r="AA9685" s="37">
        <v>9665</v>
      </c>
      <c r="AB9685" s="37">
        <v>1.7850680713958309</v>
      </c>
      <c r="AC9685" s="37">
        <v>2.84719066516623</v>
      </c>
      <c r="AD9685" s="37">
        <v>3.3432059633550875</v>
      </c>
    </row>
    <row r="9686" spans="27:30" x14ac:dyDescent="0.3">
      <c r="AA9686" s="37">
        <v>9666</v>
      </c>
      <c r="AB9686" s="37">
        <v>1.775938644475352</v>
      </c>
      <c r="AC9686" s="37">
        <v>2.9716744307315328</v>
      </c>
      <c r="AD9686" s="37">
        <v>3.2482039028817704</v>
      </c>
    </row>
    <row r="9687" spans="27:30" x14ac:dyDescent="0.3">
      <c r="AA9687" s="37">
        <v>9667</v>
      </c>
      <c r="AB9687" s="37">
        <v>1.8328489206118728</v>
      </c>
      <c r="AC9687" s="37">
        <v>2.8495124002714673</v>
      </c>
      <c r="AD9687" s="37">
        <v>3.2439286171023101</v>
      </c>
    </row>
    <row r="9688" spans="27:30" x14ac:dyDescent="0.3">
      <c r="AA9688" s="37">
        <v>9668</v>
      </c>
      <c r="AB9688" s="37">
        <v>1.824492258148146</v>
      </c>
      <c r="AC9688" s="37">
        <v>2.8298059269081546</v>
      </c>
      <c r="AD9688" s="37">
        <v>3.3874572577190816</v>
      </c>
    </row>
    <row r="9689" spans="27:30" x14ac:dyDescent="0.3">
      <c r="AA9689" s="37">
        <v>9669</v>
      </c>
      <c r="AB9689" s="37">
        <v>1.7378582055938112</v>
      </c>
      <c r="AC9689" s="37">
        <v>2.7864611863456612</v>
      </c>
      <c r="AD9689" s="37">
        <v>3.0903321453088952</v>
      </c>
    </row>
    <row r="9690" spans="27:30" x14ac:dyDescent="0.3">
      <c r="AA9690" s="37">
        <v>9670</v>
      </c>
      <c r="AB9690" s="37">
        <v>1.810772142796695</v>
      </c>
      <c r="AC9690" s="37">
        <v>2.8705195773236323</v>
      </c>
      <c r="AD9690" s="37">
        <v>3.5076111758473103</v>
      </c>
    </row>
    <row r="9691" spans="27:30" x14ac:dyDescent="0.3">
      <c r="AA9691" s="37">
        <v>9671</v>
      </c>
      <c r="AB9691" s="37">
        <v>1.815167130697618</v>
      </c>
      <c r="AC9691" s="37">
        <v>2.9010784356365904</v>
      </c>
      <c r="AD9691" s="37">
        <v>3.3644904743042989</v>
      </c>
    </row>
    <row r="9692" spans="27:30" x14ac:dyDescent="0.3">
      <c r="AA9692" s="37">
        <v>9672</v>
      </c>
      <c r="AB9692" s="37">
        <v>1.7572286799980497</v>
      </c>
      <c r="AC9692" s="37">
        <v>2.8474151781232462</v>
      </c>
      <c r="AD9692" s="37">
        <v>3.3166613818321387</v>
      </c>
    </row>
    <row r="9693" spans="27:30" x14ac:dyDescent="0.3">
      <c r="AA9693" s="37">
        <v>9673</v>
      </c>
      <c r="AB9693" s="37">
        <v>1.7388961175222077</v>
      </c>
      <c r="AC9693" s="37">
        <v>2.8095140323308869</v>
      </c>
      <c r="AD9693" s="37">
        <v>3.4384009856831477</v>
      </c>
    </row>
    <row r="9694" spans="27:30" x14ac:dyDescent="0.3">
      <c r="AA9694" s="37">
        <v>9674</v>
      </c>
      <c r="AB9694" s="37">
        <v>1.911337914014998</v>
      </c>
      <c r="AC9694" s="37">
        <v>2.6542399784180772</v>
      </c>
      <c r="AD9694" s="37">
        <v>3.4713801913109084</v>
      </c>
    </row>
    <row r="9695" spans="27:30" x14ac:dyDescent="0.3">
      <c r="AA9695" s="37">
        <v>9675</v>
      </c>
      <c r="AB9695" s="37">
        <v>1.8379755975269503</v>
      </c>
      <c r="AC9695" s="37">
        <v>2.9300893202850968</v>
      </c>
      <c r="AD9695" s="37">
        <v>3.4215233879488083</v>
      </c>
    </row>
    <row r="9696" spans="27:30" x14ac:dyDescent="0.3">
      <c r="AA9696" s="37">
        <v>9676</v>
      </c>
      <c r="AB9696" s="37">
        <v>1.9174797117684881</v>
      </c>
      <c r="AC9696" s="37">
        <v>2.7887411376033611</v>
      </c>
      <c r="AD9696" s="37">
        <v>3.3624960122578238</v>
      </c>
    </row>
    <row r="9697" spans="27:30" x14ac:dyDescent="0.3">
      <c r="AA9697" s="37">
        <v>9677</v>
      </c>
      <c r="AB9697" s="37">
        <v>1.7792542363048782</v>
      </c>
      <c r="AC9697" s="37">
        <v>2.9757536775006241</v>
      </c>
      <c r="AD9697" s="37">
        <v>3.4443058301717651</v>
      </c>
    </row>
    <row r="9698" spans="27:30" x14ac:dyDescent="0.3">
      <c r="AA9698" s="37">
        <v>9678</v>
      </c>
      <c r="AB9698" s="37">
        <v>1.795182267385502</v>
      </c>
      <c r="AC9698" s="37">
        <v>2.9436887324785115</v>
      </c>
      <c r="AD9698" s="37">
        <v>3.4816944805349981</v>
      </c>
    </row>
    <row r="9699" spans="27:30" x14ac:dyDescent="0.3">
      <c r="AA9699" s="37">
        <v>9679</v>
      </c>
      <c r="AB9699" s="37">
        <v>1.7100740325659551</v>
      </c>
      <c r="AC9699" s="37">
        <v>2.9065473738452607</v>
      </c>
      <c r="AD9699" s="37">
        <v>3.4510959233261524</v>
      </c>
    </row>
    <row r="9700" spans="27:30" x14ac:dyDescent="0.3">
      <c r="AA9700" s="37">
        <v>9680</v>
      </c>
      <c r="AB9700" s="37">
        <v>1.831051649211954</v>
      </c>
      <c r="AC9700" s="37">
        <v>2.8118398912445643</v>
      </c>
      <c r="AD9700" s="37">
        <v>3.083175195747673</v>
      </c>
    </row>
    <row r="9701" spans="27:30" x14ac:dyDescent="0.3">
      <c r="AA9701" s="37">
        <v>9681</v>
      </c>
      <c r="AB9701" s="37">
        <v>1.7595418957950315</v>
      </c>
      <c r="AC9701" s="37">
        <v>2.8746207000845456</v>
      </c>
      <c r="AD9701" s="37">
        <v>3.4002777771227852</v>
      </c>
    </row>
    <row r="9702" spans="27:30" x14ac:dyDescent="0.3">
      <c r="AA9702" s="37">
        <v>9682</v>
      </c>
      <c r="AB9702" s="37">
        <v>1.6673572072623348</v>
      </c>
      <c r="AC9702" s="37">
        <v>3.0017985501863982</v>
      </c>
      <c r="AD9702" s="37">
        <v>3.3355994449312312</v>
      </c>
    </row>
    <row r="9703" spans="27:30" x14ac:dyDescent="0.3">
      <c r="AA9703" s="37">
        <v>9683</v>
      </c>
      <c r="AB9703" s="37">
        <v>1.7672482090067891</v>
      </c>
      <c r="AC9703" s="37">
        <v>2.8158545217819149</v>
      </c>
      <c r="AD9703" s="37">
        <v>3.2073598458347736</v>
      </c>
    </row>
    <row r="9704" spans="27:30" x14ac:dyDescent="0.3">
      <c r="AA9704" s="37">
        <v>9684</v>
      </c>
      <c r="AB9704" s="37">
        <v>1.777946730372721</v>
      </c>
      <c r="AC9704" s="37">
        <v>2.7636454393078504</v>
      </c>
      <c r="AD9704" s="37">
        <v>3.3372967281643859</v>
      </c>
    </row>
    <row r="9705" spans="27:30" x14ac:dyDescent="0.3">
      <c r="AA9705" s="37">
        <v>9685</v>
      </c>
      <c r="AB9705" s="37">
        <v>1.6851111275651796</v>
      </c>
      <c r="AC9705" s="37">
        <v>2.80828338158874</v>
      </c>
      <c r="AD9705" s="37">
        <v>3.2721345823291847</v>
      </c>
    </row>
    <row r="9706" spans="27:30" x14ac:dyDescent="0.3">
      <c r="AA9706" s="37">
        <v>9686</v>
      </c>
      <c r="AB9706" s="37">
        <v>1.6927000191312385</v>
      </c>
      <c r="AC9706" s="37">
        <v>2.8272485959112212</v>
      </c>
      <c r="AD9706" s="37">
        <v>3.4303042832011492</v>
      </c>
    </row>
    <row r="9707" spans="27:30" x14ac:dyDescent="0.3">
      <c r="AA9707" s="37">
        <v>9687</v>
      </c>
      <c r="AB9707" s="37">
        <v>1.8702392456824772</v>
      </c>
      <c r="AC9707" s="37">
        <v>2.7959399728944256</v>
      </c>
      <c r="AD9707" s="37">
        <v>3.188253460614944</v>
      </c>
    </row>
    <row r="9708" spans="27:30" x14ac:dyDescent="0.3">
      <c r="AA9708" s="37">
        <v>9688</v>
      </c>
      <c r="AB9708" s="37">
        <v>1.8207824797961349</v>
      </c>
      <c r="AC9708" s="37">
        <v>2.850913444245244</v>
      </c>
      <c r="AD9708" s="37">
        <v>3.177414375844585</v>
      </c>
    </row>
    <row r="9709" spans="27:30" x14ac:dyDescent="0.3">
      <c r="AA9709" s="37">
        <v>9689</v>
      </c>
      <c r="AB9709" s="37">
        <v>1.6723467492924176</v>
      </c>
      <c r="AC9709" s="37">
        <v>2.7314738939496861</v>
      </c>
      <c r="AD9709" s="37">
        <v>3.3409172804354106</v>
      </c>
    </row>
    <row r="9710" spans="27:30" x14ac:dyDescent="0.3">
      <c r="AA9710" s="37">
        <v>9690</v>
      </c>
      <c r="AB9710" s="37">
        <v>1.7942122351840526</v>
      </c>
      <c r="AC9710" s="37">
        <v>2.9722581442505542</v>
      </c>
      <c r="AD9710" s="37">
        <v>3.3379460318101049</v>
      </c>
    </row>
    <row r="9711" spans="27:30" x14ac:dyDescent="0.3">
      <c r="AA9711" s="37">
        <v>9691</v>
      </c>
      <c r="AB9711" s="37">
        <v>1.8202661492192134</v>
      </c>
      <c r="AC9711" s="37">
        <v>3.0625093648295425</v>
      </c>
      <c r="AD9711" s="37">
        <v>3.2473484330890101</v>
      </c>
    </row>
    <row r="9712" spans="27:30" x14ac:dyDescent="0.3">
      <c r="AA9712" s="37">
        <v>9692</v>
      </c>
      <c r="AB9712" s="37">
        <v>1.8668884773410599</v>
      </c>
      <c r="AC9712" s="37">
        <v>2.8618791349070958</v>
      </c>
      <c r="AD9712" s="37">
        <v>3.2615399776033813</v>
      </c>
    </row>
    <row r="9713" spans="27:30" x14ac:dyDescent="0.3">
      <c r="AA9713" s="37">
        <v>9693</v>
      </c>
      <c r="AB9713" s="37">
        <v>1.8318611878558078</v>
      </c>
      <c r="AC9713" s="37">
        <v>2.8236823452850546</v>
      </c>
      <c r="AD9713" s="37">
        <v>3.3489821604676404</v>
      </c>
    </row>
    <row r="9714" spans="27:30" x14ac:dyDescent="0.3">
      <c r="AA9714" s="37">
        <v>9694</v>
      </c>
      <c r="AB9714" s="37">
        <v>1.7844334706216336</v>
      </c>
      <c r="AC9714" s="37">
        <v>2.8726846911972204</v>
      </c>
      <c r="AD9714" s="37">
        <v>3.2496879271236505</v>
      </c>
    </row>
    <row r="9715" spans="27:30" x14ac:dyDescent="0.3">
      <c r="AA9715" s="37">
        <v>9695</v>
      </c>
      <c r="AB9715" s="37">
        <v>1.7906811354178951</v>
      </c>
      <c r="AC9715" s="37">
        <v>2.8885561667811763</v>
      </c>
      <c r="AD9715" s="37">
        <v>3.613675855974412</v>
      </c>
    </row>
    <row r="9716" spans="27:30" x14ac:dyDescent="0.3">
      <c r="AA9716" s="37">
        <v>9696</v>
      </c>
      <c r="AB9716" s="37">
        <v>1.6793782806993609</v>
      </c>
      <c r="AC9716" s="37">
        <v>2.9830549952927718</v>
      </c>
      <c r="AD9716" s="37">
        <v>3.3681523806497826</v>
      </c>
    </row>
    <row r="9717" spans="27:30" x14ac:dyDescent="0.3">
      <c r="AA9717" s="37">
        <v>9697</v>
      </c>
      <c r="AB9717" s="37">
        <v>1.7102146182791413</v>
      </c>
      <c r="AC9717" s="37">
        <v>2.7659598438576678</v>
      </c>
      <c r="AD9717" s="37">
        <v>3.2818563450478546</v>
      </c>
    </row>
    <row r="9718" spans="27:30" x14ac:dyDescent="0.3">
      <c r="AA9718" s="37">
        <v>9698</v>
      </c>
      <c r="AB9718" s="37">
        <v>1.7435093094106147</v>
      </c>
      <c r="AC9718" s="37">
        <v>2.9247405056128279</v>
      </c>
      <c r="AD9718" s="37">
        <v>3.1365853921062983</v>
      </c>
    </row>
    <row r="9719" spans="27:30" x14ac:dyDescent="0.3">
      <c r="AA9719" s="37">
        <v>9699</v>
      </c>
      <c r="AB9719" s="37">
        <v>1.8373501536688699</v>
      </c>
      <c r="AC9719" s="37">
        <v>2.7117299774718671</v>
      </c>
      <c r="AD9719" s="37">
        <v>3.3707031894763921</v>
      </c>
    </row>
    <row r="9720" spans="27:30" x14ac:dyDescent="0.3">
      <c r="AA9720" s="37">
        <v>9700</v>
      </c>
      <c r="AB9720" s="37">
        <v>1.727991530135184</v>
      </c>
      <c r="AC9720" s="37">
        <v>2.721621088137347</v>
      </c>
      <c r="AD9720" s="37">
        <v>3.5345717615351187</v>
      </c>
    </row>
    <row r="9721" spans="27:30" x14ac:dyDescent="0.3">
      <c r="AA9721" s="37">
        <v>9701</v>
      </c>
      <c r="AB9721" s="37">
        <v>1.8496714912764338</v>
      </c>
      <c r="AC9721" s="37">
        <v>2.8464235453805871</v>
      </c>
      <c r="AD9721" s="37">
        <v>3.3651776090699039</v>
      </c>
    </row>
    <row r="9722" spans="27:30" x14ac:dyDescent="0.3">
      <c r="AA9722" s="37">
        <v>9702</v>
      </c>
      <c r="AB9722" s="37">
        <v>1.7251240622909141</v>
      </c>
      <c r="AC9722" s="37">
        <v>2.9006467566025402</v>
      </c>
      <c r="AD9722" s="37">
        <v>3.3602162551455215</v>
      </c>
    </row>
    <row r="9723" spans="27:30" x14ac:dyDescent="0.3">
      <c r="AA9723" s="37">
        <v>9703</v>
      </c>
      <c r="AB9723" s="37">
        <v>1.8428295132949137</v>
      </c>
      <c r="AC9723" s="37">
        <v>2.7662492907344807</v>
      </c>
      <c r="AD9723" s="37">
        <v>3.2444234179065785</v>
      </c>
    </row>
    <row r="9724" spans="27:30" x14ac:dyDescent="0.3">
      <c r="AA9724" s="37">
        <v>9704</v>
      </c>
      <c r="AB9724" s="37">
        <v>1.7441728966879455</v>
      </c>
      <c r="AC9724" s="37">
        <v>3.0150674565417996</v>
      </c>
      <c r="AD9724" s="37">
        <v>3.4584206613255679</v>
      </c>
    </row>
    <row r="9725" spans="27:30" x14ac:dyDescent="0.3">
      <c r="AA9725" s="37">
        <v>9705</v>
      </c>
      <c r="AB9725" s="37">
        <v>1.8127356296880623</v>
      </c>
      <c r="AC9725" s="37">
        <v>2.9150182822164368</v>
      </c>
      <c r="AD9725" s="37">
        <v>3.125874172415807</v>
      </c>
    </row>
    <row r="9726" spans="27:30" x14ac:dyDescent="0.3">
      <c r="AA9726" s="37">
        <v>9706</v>
      </c>
      <c r="AB9726" s="37">
        <v>1.7981078869330245</v>
      </c>
      <c r="AC9726" s="37">
        <v>2.7847241818831314</v>
      </c>
      <c r="AD9726" s="37">
        <v>3.2111331728008747</v>
      </c>
    </row>
    <row r="9727" spans="27:30" x14ac:dyDescent="0.3">
      <c r="AA9727" s="37">
        <v>9707</v>
      </c>
      <c r="AB9727" s="37">
        <v>1.777488113522171</v>
      </c>
      <c r="AC9727" s="37">
        <v>2.862150215087695</v>
      </c>
      <c r="AD9727" s="37">
        <v>3.3688088904338165</v>
      </c>
    </row>
    <row r="9728" spans="27:30" x14ac:dyDescent="0.3">
      <c r="AA9728" s="37">
        <v>9708</v>
      </c>
      <c r="AB9728" s="37">
        <v>1.7707582608945871</v>
      </c>
      <c r="AC9728" s="37">
        <v>3.0220637876877725</v>
      </c>
      <c r="AD9728" s="37">
        <v>3.4271340963467609</v>
      </c>
    </row>
    <row r="9729" spans="27:30" x14ac:dyDescent="0.3">
      <c r="AA9729" s="37">
        <v>9709</v>
      </c>
      <c r="AB9729" s="37">
        <v>1.8539956117382053</v>
      </c>
      <c r="AC9729" s="37">
        <v>2.8931468125237867</v>
      </c>
      <c r="AD9729" s="37">
        <v>3.261216187599953</v>
      </c>
    </row>
    <row r="9730" spans="27:30" x14ac:dyDescent="0.3">
      <c r="AA9730" s="37">
        <v>9710</v>
      </c>
      <c r="AB9730" s="37">
        <v>1.6931394255442418</v>
      </c>
      <c r="AC9730" s="37">
        <v>2.8236482901323749</v>
      </c>
      <c r="AD9730" s="37">
        <v>3.4864330739273321</v>
      </c>
    </row>
    <row r="9731" spans="27:30" x14ac:dyDescent="0.3">
      <c r="AA9731" s="37">
        <v>9711</v>
      </c>
      <c r="AB9731" s="37">
        <v>1.8349979849561888</v>
      </c>
      <c r="AC9731" s="37">
        <v>2.7845881546639162</v>
      </c>
      <c r="AD9731" s="37">
        <v>3.3048296192821374</v>
      </c>
    </row>
    <row r="9732" spans="27:30" x14ac:dyDescent="0.3">
      <c r="AA9732" s="37">
        <v>9712</v>
      </c>
      <c r="AB9732" s="37">
        <v>1.7978458482398423</v>
      </c>
      <c r="AC9732" s="37">
        <v>2.7395473363168112</v>
      </c>
      <c r="AD9732" s="37">
        <v>3.318123928240345</v>
      </c>
    </row>
    <row r="9733" spans="27:30" x14ac:dyDescent="0.3">
      <c r="AA9733" s="37">
        <v>9713</v>
      </c>
      <c r="AB9733" s="37">
        <v>1.7673779536479117</v>
      </c>
      <c r="AC9733" s="37">
        <v>2.6286377446091258</v>
      </c>
      <c r="AD9733" s="37">
        <v>3.5986506443232664</v>
      </c>
    </row>
    <row r="9734" spans="27:30" x14ac:dyDescent="0.3">
      <c r="AA9734" s="37">
        <v>9714</v>
      </c>
      <c r="AB9734" s="37">
        <v>1.7576577494279497</v>
      </c>
      <c r="AC9734" s="37">
        <v>2.9479933779315144</v>
      </c>
      <c r="AD9734" s="37">
        <v>3.3030014399645498</v>
      </c>
    </row>
    <row r="9735" spans="27:30" x14ac:dyDescent="0.3">
      <c r="AA9735" s="37">
        <v>9715</v>
      </c>
      <c r="AB9735" s="37">
        <v>1.7448535893035326</v>
      </c>
      <c r="AC9735" s="37">
        <v>2.7980494433274088</v>
      </c>
      <c r="AD9735" s="37">
        <v>3.3924209962454674</v>
      </c>
    </row>
    <row r="9736" spans="27:30" x14ac:dyDescent="0.3">
      <c r="AA9736" s="37">
        <v>9716</v>
      </c>
      <c r="AB9736" s="37">
        <v>1.8510960945876882</v>
      </c>
      <c r="AC9736" s="37">
        <v>2.6835304854381428</v>
      </c>
      <c r="AD9736" s="37">
        <v>3.2338485218736803</v>
      </c>
    </row>
    <row r="9737" spans="27:30" x14ac:dyDescent="0.3">
      <c r="AA9737" s="37">
        <v>9717</v>
      </c>
      <c r="AB9737" s="37">
        <v>1.7445399977492233</v>
      </c>
      <c r="AC9737" s="37">
        <v>2.8256631689795197</v>
      </c>
      <c r="AD9737" s="37">
        <v>3.0569735413907777</v>
      </c>
    </row>
    <row r="9738" spans="27:30" x14ac:dyDescent="0.3">
      <c r="AA9738" s="37">
        <v>9718</v>
      </c>
      <c r="AB9738" s="37">
        <v>1.8223276680306857</v>
      </c>
      <c r="AC9738" s="37">
        <v>2.9193919299781128</v>
      </c>
      <c r="AD9738" s="37">
        <v>3.3737092037254497</v>
      </c>
    </row>
    <row r="9739" spans="27:30" x14ac:dyDescent="0.3">
      <c r="AA9739" s="37">
        <v>9719</v>
      </c>
      <c r="AB9739" s="37">
        <v>1.8471219390969564</v>
      </c>
      <c r="AC9739" s="37">
        <v>2.8429550944324724</v>
      </c>
      <c r="AD9739" s="37">
        <v>3.5788692114648883</v>
      </c>
    </row>
    <row r="9740" spans="27:30" x14ac:dyDescent="0.3">
      <c r="AA9740" s="37">
        <v>9720</v>
      </c>
      <c r="AB9740" s="37">
        <v>1.7721124862075035</v>
      </c>
      <c r="AC9740" s="37">
        <v>2.9080293654658913</v>
      </c>
      <c r="AD9740" s="37">
        <v>3.3939776280719869</v>
      </c>
    </row>
    <row r="9741" spans="27:30" x14ac:dyDescent="0.3">
      <c r="AA9741" s="37">
        <v>9721</v>
      </c>
      <c r="AB9741" s="37">
        <v>1.844017328991735</v>
      </c>
      <c r="AC9741" s="37">
        <v>2.886620281939793</v>
      </c>
      <c r="AD9741" s="37">
        <v>3.3028229598092609</v>
      </c>
    </row>
    <row r="9742" spans="27:30" x14ac:dyDescent="0.3">
      <c r="AA9742" s="37">
        <v>9722</v>
      </c>
      <c r="AB9742" s="37">
        <v>1.7840732487683704</v>
      </c>
      <c r="AC9742" s="37">
        <v>2.8669633985743865</v>
      </c>
      <c r="AD9742" s="37">
        <v>3.3363498740774107</v>
      </c>
    </row>
    <row r="9743" spans="27:30" x14ac:dyDescent="0.3">
      <c r="AA9743" s="37">
        <v>9723</v>
      </c>
      <c r="AB9743" s="37">
        <v>1.7996142388635368</v>
      </c>
      <c r="AC9743" s="37">
        <v>2.9474277426932396</v>
      </c>
      <c r="AD9743" s="37">
        <v>3.2667798544291129</v>
      </c>
    </row>
    <row r="9744" spans="27:30" x14ac:dyDescent="0.3">
      <c r="AA9744" s="37">
        <v>9724</v>
      </c>
      <c r="AB9744" s="37">
        <v>1.7024315100010623</v>
      </c>
      <c r="AC9744" s="37">
        <v>3.0366735572143919</v>
      </c>
      <c r="AD9744" s="37">
        <v>3.3805247908779057</v>
      </c>
    </row>
    <row r="9745" spans="27:30" x14ac:dyDescent="0.3">
      <c r="AA9745" s="37">
        <v>9725</v>
      </c>
      <c r="AB9745" s="37">
        <v>1.7428170880871861</v>
      </c>
      <c r="AC9745" s="37">
        <v>3.0215568928843162</v>
      </c>
      <c r="AD9745" s="37">
        <v>3.1870767457511691</v>
      </c>
    </row>
    <row r="9746" spans="27:30" x14ac:dyDescent="0.3">
      <c r="AA9746" s="37">
        <v>9726</v>
      </c>
      <c r="AB9746" s="37">
        <v>1.8629658870985704</v>
      </c>
      <c r="AC9746" s="37">
        <v>2.7725540753418438</v>
      </c>
      <c r="AD9746" s="37">
        <v>3.2217714444707179</v>
      </c>
    </row>
    <row r="9747" spans="27:30" x14ac:dyDescent="0.3">
      <c r="AA9747" s="37">
        <v>9727</v>
      </c>
      <c r="AB9747" s="37">
        <v>1.8321146407284514</v>
      </c>
      <c r="AC9747" s="37">
        <v>2.6774683802277846</v>
      </c>
      <c r="AD9747" s="37">
        <v>3.3541123837899982</v>
      </c>
    </row>
    <row r="9748" spans="27:30" x14ac:dyDescent="0.3">
      <c r="AA9748" s="37">
        <v>9728</v>
      </c>
      <c r="AB9748" s="37">
        <v>1.8630053976904026</v>
      </c>
      <c r="AC9748" s="37">
        <v>3.0127729953162863</v>
      </c>
      <c r="AD9748" s="37">
        <v>3.1299325162641281</v>
      </c>
    </row>
    <row r="9749" spans="27:30" x14ac:dyDescent="0.3">
      <c r="AA9749" s="37">
        <v>9729</v>
      </c>
      <c r="AB9749" s="37">
        <v>1.7796733393924493</v>
      </c>
      <c r="AC9749" s="37">
        <v>2.8286418521810881</v>
      </c>
      <c r="AD9749" s="37">
        <v>3.4135282697320095</v>
      </c>
    </row>
    <row r="9750" spans="27:30" x14ac:dyDescent="0.3">
      <c r="AA9750" s="37">
        <v>9730</v>
      </c>
      <c r="AB9750" s="37">
        <v>1.8351436691588683</v>
      </c>
      <c r="AC9750" s="37">
        <v>2.8028984775355408</v>
      </c>
      <c r="AD9750" s="37">
        <v>3.5058366495847442</v>
      </c>
    </row>
    <row r="9751" spans="27:30" x14ac:dyDescent="0.3">
      <c r="AA9751" s="37">
        <v>9731</v>
      </c>
      <c r="AB9751" s="37">
        <v>1.6923008300929963</v>
      </c>
      <c r="AC9751" s="37">
        <v>2.8606997060076105</v>
      </c>
      <c r="AD9751" s="37">
        <v>3.2557544753840766</v>
      </c>
    </row>
    <row r="9752" spans="27:30" x14ac:dyDescent="0.3">
      <c r="AA9752" s="37">
        <v>9732</v>
      </c>
      <c r="AB9752" s="37">
        <v>1.7139482867202358</v>
      </c>
      <c r="AC9752" s="37">
        <v>3.0085212085502206</v>
      </c>
      <c r="AD9752" s="37">
        <v>3.4146612191630217</v>
      </c>
    </row>
    <row r="9753" spans="27:30" x14ac:dyDescent="0.3">
      <c r="AA9753" s="37">
        <v>9733</v>
      </c>
      <c r="AB9753" s="37">
        <v>1.9011693542627681</v>
      </c>
      <c r="AC9753" s="37">
        <v>2.6744402978809672</v>
      </c>
      <c r="AD9753" s="37">
        <v>3.1391507573233253</v>
      </c>
    </row>
    <row r="9754" spans="27:30" x14ac:dyDescent="0.3">
      <c r="AA9754" s="37">
        <v>9734</v>
      </c>
      <c r="AB9754" s="37">
        <v>1.8386049234294906</v>
      </c>
      <c r="AC9754" s="37">
        <v>2.7513034116329207</v>
      </c>
      <c r="AD9754" s="37">
        <v>3.4570588000378986</v>
      </c>
    </row>
    <row r="9755" spans="27:30" x14ac:dyDescent="0.3">
      <c r="AA9755" s="37">
        <v>9735</v>
      </c>
      <c r="AB9755" s="37">
        <v>1.7952436484021927</v>
      </c>
      <c r="AC9755" s="37">
        <v>2.8675017023404838</v>
      </c>
      <c r="AD9755" s="37">
        <v>3.2877548874903186</v>
      </c>
    </row>
    <row r="9756" spans="27:30" x14ac:dyDescent="0.3">
      <c r="AA9756" s="37">
        <v>9736</v>
      </c>
      <c r="AB9756" s="37">
        <v>1.8394243040148763</v>
      </c>
      <c r="AC9756" s="37">
        <v>2.8794172783241545</v>
      </c>
      <c r="AD9756" s="37">
        <v>3.463509970704779</v>
      </c>
    </row>
    <row r="9757" spans="27:30" x14ac:dyDescent="0.3">
      <c r="AA9757" s="37">
        <v>9737</v>
      </c>
      <c r="AB9757" s="37">
        <v>1.7582667217019596</v>
      </c>
      <c r="AC9757" s="37">
        <v>3.090742039969173</v>
      </c>
      <c r="AD9757" s="37">
        <v>3.5505308977699541</v>
      </c>
    </row>
    <row r="9758" spans="27:30" x14ac:dyDescent="0.3">
      <c r="AA9758" s="37">
        <v>9738</v>
      </c>
      <c r="AB9758" s="37">
        <v>1.7743137660045003</v>
      </c>
      <c r="AC9758" s="37">
        <v>2.9101108894312797</v>
      </c>
      <c r="AD9758" s="37">
        <v>3.4071279748961421</v>
      </c>
    </row>
    <row r="9759" spans="27:30" x14ac:dyDescent="0.3">
      <c r="AA9759" s="37">
        <v>9739</v>
      </c>
      <c r="AB9759" s="37">
        <v>1.6378856125270949</v>
      </c>
      <c r="AC9759" s="37">
        <v>2.8299766950505871</v>
      </c>
      <c r="AD9759" s="37">
        <v>3.2228477198528429</v>
      </c>
    </row>
    <row r="9760" spans="27:30" x14ac:dyDescent="0.3">
      <c r="AA9760" s="37">
        <v>9740</v>
      </c>
      <c r="AB9760" s="37">
        <v>1.7216621480286753</v>
      </c>
      <c r="AC9760" s="37">
        <v>2.8435242394854905</v>
      </c>
      <c r="AD9760" s="37">
        <v>3.1593556176879023</v>
      </c>
    </row>
    <row r="9761" spans="27:30" x14ac:dyDescent="0.3">
      <c r="AA9761" s="37">
        <v>9741</v>
      </c>
      <c r="AB9761" s="37">
        <v>1.9299545744989051</v>
      </c>
      <c r="AC9761" s="37">
        <v>2.9779198347417952</v>
      </c>
      <c r="AD9761" s="37">
        <v>3.4806352906523221</v>
      </c>
    </row>
    <row r="9762" spans="27:30" x14ac:dyDescent="0.3">
      <c r="AA9762" s="37">
        <v>9742</v>
      </c>
      <c r="AB9762" s="37">
        <v>1.6520412839962468</v>
      </c>
      <c r="AC9762" s="37">
        <v>2.633759147791404</v>
      </c>
      <c r="AD9762" s="37">
        <v>3.2515905514249339</v>
      </c>
    </row>
    <row r="9763" spans="27:30" x14ac:dyDescent="0.3">
      <c r="AA9763" s="37">
        <v>9743</v>
      </c>
      <c r="AB9763" s="37">
        <v>1.6685365732168058</v>
      </c>
      <c r="AC9763" s="37">
        <v>2.9622656963528793</v>
      </c>
      <c r="AD9763" s="37">
        <v>3.4462645390557873</v>
      </c>
    </row>
    <row r="9764" spans="27:30" x14ac:dyDescent="0.3">
      <c r="AA9764" s="37">
        <v>9744</v>
      </c>
      <c r="AB9764" s="37">
        <v>1.7626456439225553</v>
      </c>
      <c r="AC9764" s="37">
        <v>2.9619852914787481</v>
      </c>
      <c r="AD9764" s="37">
        <v>3.4851246672515264</v>
      </c>
    </row>
    <row r="9765" spans="27:30" x14ac:dyDescent="0.3">
      <c r="AA9765" s="37">
        <v>9745</v>
      </c>
      <c r="AB9765" s="37">
        <v>1.7868882298899442</v>
      </c>
      <c r="AC9765" s="37">
        <v>2.9124868137442164</v>
      </c>
      <c r="AD9765" s="37">
        <v>3.4971789532080373</v>
      </c>
    </row>
    <row r="9766" spans="27:30" x14ac:dyDescent="0.3">
      <c r="AA9766" s="37">
        <v>9746</v>
      </c>
      <c r="AB9766" s="37">
        <v>1.9510574601842789</v>
      </c>
      <c r="AC9766" s="37">
        <v>2.9429908892007535</v>
      </c>
      <c r="AD9766" s="37">
        <v>3.1154355483976213</v>
      </c>
    </row>
    <row r="9767" spans="27:30" x14ac:dyDescent="0.3">
      <c r="AA9767" s="37">
        <v>9747</v>
      </c>
      <c r="AB9767" s="37">
        <v>1.6831995811262304</v>
      </c>
      <c r="AC9767" s="37">
        <v>2.8415223128354086</v>
      </c>
      <c r="AD9767" s="37">
        <v>3.3751656792968765</v>
      </c>
    </row>
    <row r="9768" spans="27:30" x14ac:dyDescent="0.3">
      <c r="AA9768" s="37">
        <v>9748</v>
      </c>
      <c r="AB9768" s="37">
        <v>1.7431139106137008</v>
      </c>
      <c r="AC9768" s="37">
        <v>2.908550296860787</v>
      </c>
      <c r="AD9768" s="37">
        <v>3.227840292547957</v>
      </c>
    </row>
    <row r="9769" spans="27:30" x14ac:dyDescent="0.3">
      <c r="AA9769" s="37">
        <v>9749</v>
      </c>
      <c r="AB9769" s="37">
        <v>1.8189450220189163</v>
      </c>
      <c r="AC9769" s="37">
        <v>2.9817274427384071</v>
      </c>
      <c r="AD9769" s="37">
        <v>3.3303156786786756</v>
      </c>
    </row>
    <row r="9770" spans="27:30" x14ac:dyDescent="0.3">
      <c r="AA9770" s="37">
        <v>9750</v>
      </c>
      <c r="AB9770" s="37">
        <v>1.7647617170531356</v>
      </c>
      <c r="AC9770" s="37">
        <v>2.9524136892377775</v>
      </c>
      <c r="AD9770" s="37">
        <v>3.2666517609300794</v>
      </c>
    </row>
    <row r="9771" spans="27:30" x14ac:dyDescent="0.3">
      <c r="AA9771" s="37">
        <v>9751</v>
      </c>
      <c r="AB9771" s="37">
        <v>1.7549581393204867</v>
      </c>
      <c r="AC9771" s="37">
        <v>2.9153839690361893</v>
      </c>
      <c r="AD9771" s="37">
        <v>3.5345606514910952</v>
      </c>
    </row>
    <row r="9772" spans="27:30" x14ac:dyDescent="0.3">
      <c r="AA9772" s="37">
        <v>9752</v>
      </c>
      <c r="AB9772" s="37">
        <v>1.7997133276298778</v>
      </c>
      <c r="AC9772" s="37">
        <v>2.8087393351603356</v>
      </c>
      <c r="AD9772" s="37">
        <v>3.2515036639091792</v>
      </c>
    </row>
    <row r="9773" spans="27:30" x14ac:dyDescent="0.3">
      <c r="AA9773" s="37">
        <v>9753</v>
      </c>
      <c r="AB9773" s="37">
        <v>1.8022651387464634</v>
      </c>
      <c r="AC9773" s="37">
        <v>2.707144629034171</v>
      </c>
      <c r="AD9773" s="37">
        <v>3.4934469163036117</v>
      </c>
    </row>
    <row r="9774" spans="27:30" x14ac:dyDescent="0.3">
      <c r="AA9774" s="37">
        <v>9754</v>
      </c>
      <c r="AB9774" s="37">
        <v>1.7337786637644055</v>
      </c>
      <c r="AC9774" s="37">
        <v>2.8447310572271785</v>
      </c>
      <c r="AD9774" s="37">
        <v>3.2535117217404261</v>
      </c>
    </row>
    <row r="9775" spans="27:30" x14ac:dyDescent="0.3">
      <c r="AA9775" s="37">
        <v>9755</v>
      </c>
      <c r="AB9775" s="37">
        <v>1.9028520664170105</v>
      </c>
      <c r="AC9775" s="37">
        <v>2.8686302447820764</v>
      </c>
      <c r="AD9775" s="37">
        <v>3.2624506017572266</v>
      </c>
    </row>
    <row r="9776" spans="27:30" x14ac:dyDescent="0.3">
      <c r="AA9776" s="37">
        <v>9756</v>
      </c>
      <c r="AB9776" s="37">
        <v>1.7216821006066814</v>
      </c>
      <c r="AC9776" s="37">
        <v>2.7311178227171489</v>
      </c>
      <c r="AD9776" s="37">
        <v>3.2568255519917755</v>
      </c>
    </row>
    <row r="9777" spans="27:30" x14ac:dyDescent="0.3">
      <c r="AA9777" s="37">
        <v>9757</v>
      </c>
      <c r="AB9777" s="37">
        <v>1.7168066478272301</v>
      </c>
      <c r="AC9777" s="37">
        <v>2.9122463905351932</v>
      </c>
      <c r="AD9777" s="37">
        <v>3.3346581993323809</v>
      </c>
    </row>
    <row r="9778" spans="27:30" x14ac:dyDescent="0.3">
      <c r="AA9778" s="37">
        <v>9758</v>
      </c>
      <c r="AB9778" s="37">
        <v>1.791919558191837</v>
      </c>
      <c r="AC9778" s="37">
        <v>2.8274997253430358</v>
      </c>
      <c r="AD9778" s="37">
        <v>3.5626010854808694</v>
      </c>
    </row>
    <row r="9779" spans="27:30" x14ac:dyDescent="0.3">
      <c r="AA9779" s="37">
        <v>9759</v>
      </c>
      <c r="AB9779" s="37">
        <v>1.7472057400031549</v>
      </c>
      <c r="AC9779" s="37">
        <v>2.7955457808710285</v>
      </c>
      <c r="AD9779" s="37">
        <v>3.108319428104799</v>
      </c>
    </row>
    <row r="9780" spans="27:30" x14ac:dyDescent="0.3">
      <c r="AA9780" s="37">
        <v>9760</v>
      </c>
      <c r="AB9780" s="37">
        <v>1.678800782873209</v>
      </c>
      <c r="AC9780" s="37">
        <v>2.8237529623175557</v>
      </c>
      <c r="AD9780" s="37">
        <v>3.3737729220436115</v>
      </c>
    </row>
    <row r="9781" spans="27:30" x14ac:dyDescent="0.3">
      <c r="AA9781" s="37">
        <v>9761</v>
      </c>
      <c r="AB9781" s="37">
        <v>1.8016300685522266</v>
      </c>
      <c r="AC9781" s="37">
        <v>2.9642626118074795</v>
      </c>
      <c r="AD9781" s="37">
        <v>3.2398186967368567</v>
      </c>
    </row>
    <row r="9782" spans="27:30" x14ac:dyDescent="0.3">
      <c r="AA9782" s="37">
        <v>9762</v>
      </c>
      <c r="AB9782" s="37">
        <v>1.7962380710607533</v>
      </c>
      <c r="AC9782" s="37">
        <v>2.9146485878333221</v>
      </c>
      <c r="AD9782" s="37">
        <v>3.3491480334870936</v>
      </c>
    </row>
    <row r="9783" spans="27:30" x14ac:dyDescent="0.3">
      <c r="AA9783" s="37">
        <v>9763</v>
      </c>
      <c r="AB9783" s="37">
        <v>1.7790963033073968</v>
      </c>
      <c r="AC9783" s="37">
        <v>2.8574238857256642</v>
      </c>
      <c r="AD9783" s="37">
        <v>3.5384615710146865</v>
      </c>
    </row>
    <row r="9784" spans="27:30" x14ac:dyDescent="0.3">
      <c r="AA9784" s="37">
        <v>9764</v>
      </c>
      <c r="AB9784" s="37">
        <v>1.7938574978581234</v>
      </c>
      <c r="AC9784" s="37">
        <v>2.9264659619378093</v>
      </c>
      <c r="AD9784" s="37">
        <v>3.376390369771971</v>
      </c>
    </row>
    <row r="9785" spans="27:30" x14ac:dyDescent="0.3">
      <c r="AA9785" s="37">
        <v>9765</v>
      </c>
      <c r="AB9785" s="37">
        <v>1.7707310490448247</v>
      </c>
      <c r="AC9785" s="37">
        <v>2.8687923047539226</v>
      </c>
      <c r="AD9785" s="37">
        <v>3.176805088073182</v>
      </c>
    </row>
    <row r="9786" spans="27:30" x14ac:dyDescent="0.3">
      <c r="AA9786" s="37">
        <v>9766</v>
      </c>
      <c r="AB9786" s="37">
        <v>1.7239900138094706</v>
      </c>
      <c r="AC9786" s="37">
        <v>3.0829359679075021</v>
      </c>
      <c r="AD9786" s="37">
        <v>3.2959588233900088</v>
      </c>
    </row>
    <row r="9787" spans="27:30" x14ac:dyDescent="0.3">
      <c r="AA9787" s="37">
        <v>9767</v>
      </c>
      <c r="AB9787" s="37">
        <v>1.8463721003122735</v>
      </c>
      <c r="AC9787" s="37">
        <v>2.850682606948634</v>
      </c>
      <c r="AD9787" s="37">
        <v>3.2628744154067708</v>
      </c>
    </row>
    <row r="9788" spans="27:30" x14ac:dyDescent="0.3">
      <c r="AA9788" s="37">
        <v>9768</v>
      </c>
      <c r="AB9788" s="37">
        <v>1.7972354171497364</v>
      </c>
      <c r="AC9788" s="37">
        <v>2.8285337549224705</v>
      </c>
      <c r="AD9788" s="37">
        <v>3.3295184473142383</v>
      </c>
    </row>
    <row r="9789" spans="27:30" x14ac:dyDescent="0.3">
      <c r="AA9789" s="37">
        <v>9769</v>
      </c>
      <c r="AB9789" s="37">
        <v>1.8201323991991236</v>
      </c>
      <c r="AC9789" s="37">
        <v>2.7657575893818511</v>
      </c>
      <c r="AD9789" s="37">
        <v>3.4077903619683636</v>
      </c>
    </row>
    <row r="9790" spans="27:30" x14ac:dyDescent="0.3">
      <c r="AA9790" s="37">
        <v>9770</v>
      </c>
      <c r="AB9790" s="37">
        <v>1.7896010972704566</v>
      </c>
      <c r="AC9790" s="37">
        <v>2.7555147484454361</v>
      </c>
      <c r="AD9790" s="37">
        <v>3.1518533590490727</v>
      </c>
    </row>
    <row r="9791" spans="27:30" x14ac:dyDescent="0.3">
      <c r="AA9791" s="37">
        <v>9771</v>
      </c>
      <c r="AB9791" s="37">
        <v>1.7171096566603448</v>
      </c>
      <c r="AC9791" s="37">
        <v>2.8319755431449098</v>
      </c>
      <c r="AD9791" s="37">
        <v>3.3196979249173864</v>
      </c>
    </row>
    <row r="9792" spans="27:30" x14ac:dyDescent="0.3">
      <c r="AA9792" s="37">
        <v>9772</v>
      </c>
      <c r="AB9792" s="37">
        <v>1.8426944265642857</v>
      </c>
      <c r="AC9792" s="37">
        <v>2.8776530898391157</v>
      </c>
      <c r="AD9792" s="37">
        <v>3.2772465255479091</v>
      </c>
    </row>
    <row r="9793" spans="27:30" x14ac:dyDescent="0.3">
      <c r="AA9793" s="37">
        <v>9773</v>
      </c>
      <c r="AB9793" s="37">
        <v>1.9981317835316141</v>
      </c>
      <c r="AC9793" s="37">
        <v>2.7161443394550586</v>
      </c>
      <c r="AD9793" s="37">
        <v>3.2877602986937156</v>
      </c>
    </row>
    <row r="9794" spans="27:30" x14ac:dyDescent="0.3">
      <c r="AA9794" s="37">
        <v>9774</v>
      </c>
      <c r="AB9794" s="37">
        <v>1.7189267171851479</v>
      </c>
      <c r="AC9794" s="37">
        <v>2.9135690222057407</v>
      </c>
      <c r="AD9794" s="37">
        <v>3.5167408236178672</v>
      </c>
    </row>
    <row r="9795" spans="27:30" x14ac:dyDescent="0.3">
      <c r="AA9795" s="37">
        <v>9775</v>
      </c>
      <c r="AB9795" s="37">
        <v>1.7961873433128286</v>
      </c>
      <c r="AC9795" s="37">
        <v>2.8955009220783148</v>
      </c>
      <c r="AD9795" s="37">
        <v>3.3688744279783434</v>
      </c>
    </row>
    <row r="9796" spans="27:30" x14ac:dyDescent="0.3">
      <c r="AA9796" s="37">
        <v>9776</v>
      </c>
      <c r="AB9796" s="37">
        <v>1.8684146553699832</v>
      </c>
      <c r="AC9796" s="37">
        <v>2.9944716883919935</v>
      </c>
      <c r="AD9796" s="37">
        <v>3.206303805428067</v>
      </c>
    </row>
    <row r="9797" spans="27:30" x14ac:dyDescent="0.3">
      <c r="AA9797" s="37">
        <v>9777</v>
      </c>
      <c r="AB9797" s="37">
        <v>1.7456592685343371</v>
      </c>
      <c r="AC9797" s="37">
        <v>2.9943894583033592</v>
      </c>
      <c r="AD9797" s="37">
        <v>3.2018137644951992</v>
      </c>
    </row>
    <row r="9798" spans="27:30" x14ac:dyDescent="0.3">
      <c r="AA9798" s="37">
        <v>9778</v>
      </c>
      <c r="AB9798" s="37">
        <v>1.6554759560622114</v>
      </c>
      <c r="AC9798" s="37">
        <v>2.906842821162114</v>
      </c>
      <c r="AD9798" s="37">
        <v>3.483057602365073</v>
      </c>
    </row>
    <row r="9799" spans="27:30" x14ac:dyDescent="0.3">
      <c r="AA9799" s="37">
        <v>9779</v>
      </c>
      <c r="AB9799" s="37">
        <v>1.8683608740588389</v>
      </c>
      <c r="AC9799" s="37">
        <v>2.8517613017142618</v>
      </c>
      <c r="AD9799" s="37">
        <v>3.5567905042723367</v>
      </c>
    </row>
    <row r="9800" spans="27:30" x14ac:dyDescent="0.3">
      <c r="AA9800" s="37">
        <v>9780</v>
      </c>
      <c r="AB9800" s="37">
        <v>1.7689710423917306</v>
      </c>
      <c r="AC9800" s="37">
        <v>2.7325175545410829</v>
      </c>
      <c r="AD9800" s="37">
        <v>3.4124918189259028</v>
      </c>
    </row>
    <row r="9801" spans="27:30" x14ac:dyDescent="0.3">
      <c r="AA9801" s="37">
        <v>9781</v>
      </c>
      <c r="AB9801" s="37">
        <v>1.8315079857072061</v>
      </c>
      <c r="AC9801" s="37">
        <v>2.9395955263421634</v>
      </c>
      <c r="AD9801" s="37">
        <v>3.4326189705747225</v>
      </c>
    </row>
    <row r="9802" spans="27:30" x14ac:dyDescent="0.3">
      <c r="AA9802" s="37">
        <v>9782</v>
      </c>
      <c r="AB9802" s="37">
        <v>1.8646370092702618</v>
      </c>
      <c r="AC9802" s="37">
        <v>2.8747645858039554</v>
      </c>
      <c r="AD9802" s="37">
        <v>3.3999016573611143</v>
      </c>
    </row>
    <row r="9803" spans="27:30" x14ac:dyDescent="0.3">
      <c r="AA9803" s="37">
        <v>9783</v>
      </c>
      <c r="AB9803" s="37">
        <v>1.7171712748118109</v>
      </c>
      <c r="AC9803" s="37">
        <v>2.9110462301606148</v>
      </c>
      <c r="AD9803" s="37">
        <v>3.1245623271459602</v>
      </c>
    </row>
    <row r="9804" spans="27:30" x14ac:dyDescent="0.3">
      <c r="AA9804" s="37">
        <v>9784</v>
      </c>
      <c r="AB9804" s="37">
        <v>1.8592827169386978</v>
      </c>
      <c r="AC9804" s="37">
        <v>2.7290308311738012</v>
      </c>
      <c r="AD9804" s="37">
        <v>3.3216701358694527</v>
      </c>
    </row>
    <row r="9805" spans="27:30" x14ac:dyDescent="0.3">
      <c r="AA9805" s="37">
        <v>9785</v>
      </c>
      <c r="AB9805" s="37">
        <v>1.83624285398495</v>
      </c>
      <c r="AC9805" s="37">
        <v>2.7941629031899566</v>
      </c>
      <c r="AD9805" s="37">
        <v>3.3928121711792292</v>
      </c>
    </row>
    <row r="9806" spans="27:30" x14ac:dyDescent="0.3">
      <c r="AA9806" s="37">
        <v>9786</v>
      </c>
      <c r="AB9806" s="37">
        <v>1.6903387682879285</v>
      </c>
      <c r="AC9806" s="37">
        <v>2.8140052393263786</v>
      </c>
      <c r="AD9806" s="37">
        <v>3.4457346681666063</v>
      </c>
    </row>
    <row r="9807" spans="27:30" x14ac:dyDescent="0.3">
      <c r="AA9807" s="37">
        <v>9787</v>
      </c>
      <c r="AB9807" s="37">
        <v>1.8761622606804373</v>
      </c>
      <c r="AC9807" s="37">
        <v>2.902326820301024</v>
      </c>
      <c r="AD9807" s="37">
        <v>3.1973000594860816</v>
      </c>
    </row>
    <row r="9808" spans="27:30" x14ac:dyDescent="0.3">
      <c r="AA9808" s="37">
        <v>9788</v>
      </c>
      <c r="AB9808" s="37">
        <v>1.7247725243157153</v>
      </c>
      <c r="AC9808" s="37">
        <v>2.8680562419475506</v>
      </c>
      <c r="AD9808" s="37">
        <v>3.3683217960570331</v>
      </c>
    </row>
    <row r="9809" spans="27:30" x14ac:dyDescent="0.3">
      <c r="AA9809" s="37">
        <v>9789</v>
      </c>
      <c r="AB9809" s="37">
        <v>1.8021079741708788</v>
      </c>
      <c r="AC9809" s="37">
        <v>2.7861284630384482</v>
      </c>
      <c r="AD9809" s="37">
        <v>3.4914231307287937</v>
      </c>
    </row>
    <row r="9810" spans="27:30" x14ac:dyDescent="0.3">
      <c r="AA9810" s="37">
        <v>9790</v>
      </c>
      <c r="AB9810" s="37">
        <v>1.7797601903740834</v>
      </c>
      <c r="AC9810" s="37">
        <v>2.9397017879943448</v>
      </c>
      <c r="AD9810" s="37">
        <v>3.7175402424629351</v>
      </c>
    </row>
    <row r="9811" spans="27:30" x14ac:dyDescent="0.3">
      <c r="AA9811" s="37">
        <v>9791</v>
      </c>
      <c r="AB9811" s="37">
        <v>1.8206822860530245</v>
      </c>
      <c r="AC9811" s="37">
        <v>2.8007685256606702</v>
      </c>
      <c r="AD9811" s="37">
        <v>3.3233501539643533</v>
      </c>
    </row>
    <row r="9812" spans="27:30" x14ac:dyDescent="0.3">
      <c r="AA9812" s="37">
        <v>9792</v>
      </c>
      <c r="AB9812" s="37">
        <v>1.6932658333782868</v>
      </c>
      <c r="AC9812" s="37">
        <v>2.7929016772238069</v>
      </c>
      <c r="AD9812" s="37">
        <v>3.2182983651163357</v>
      </c>
    </row>
    <row r="9813" spans="27:30" x14ac:dyDescent="0.3">
      <c r="AA9813" s="37">
        <v>9793</v>
      </c>
      <c r="AB9813" s="37">
        <v>1.8203446887309389</v>
      </c>
      <c r="AC9813" s="37">
        <v>2.7401049772060277</v>
      </c>
      <c r="AD9813" s="37">
        <v>3.3038625319594872</v>
      </c>
    </row>
    <row r="9814" spans="27:30" x14ac:dyDescent="0.3">
      <c r="AA9814" s="37">
        <v>9794</v>
      </c>
      <c r="AB9814" s="37">
        <v>1.7749040114070465</v>
      </c>
      <c r="AC9814" s="37">
        <v>2.8949353924747498</v>
      </c>
      <c r="AD9814" s="37">
        <v>3.2361276326793229</v>
      </c>
    </row>
    <row r="9815" spans="27:30" x14ac:dyDescent="0.3">
      <c r="AA9815" s="37">
        <v>9795</v>
      </c>
      <c r="AB9815" s="37">
        <v>1.8011314938295879</v>
      </c>
      <c r="AC9815" s="37">
        <v>2.8819834976782115</v>
      </c>
      <c r="AD9815" s="37">
        <v>3.363285196799541</v>
      </c>
    </row>
    <row r="9816" spans="27:30" x14ac:dyDescent="0.3">
      <c r="AA9816" s="37">
        <v>9796</v>
      </c>
      <c r="AB9816" s="37">
        <v>1.8910823310629208</v>
      </c>
      <c r="AC9816" s="37">
        <v>3.1754562328373708</v>
      </c>
      <c r="AD9816" s="37">
        <v>3.1580168962506052</v>
      </c>
    </row>
    <row r="9817" spans="27:30" x14ac:dyDescent="0.3">
      <c r="AA9817" s="37">
        <v>9797</v>
      </c>
      <c r="AB9817" s="37">
        <v>1.8225068454190374</v>
      </c>
      <c r="AC9817" s="37">
        <v>2.7761042357114758</v>
      </c>
      <c r="AD9817" s="37">
        <v>3.3735457120835814</v>
      </c>
    </row>
    <row r="9818" spans="27:30" x14ac:dyDescent="0.3">
      <c r="AA9818" s="37">
        <v>9798</v>
      </c>
      <c r="AB9818" s="37">
        <v>1.7649147762484445</v>
      </c>
      <c r="AC9818" s="37">
        <v>2.8509022985610879</v>
      </c>
      <c r="AD9818" s="37">
        <v>3.338487830832237</v>
      </c>
    </row>
    <row r="9819" spans="27:30" x14ac:dyDescent="0.3">
      <c r="AA9819" s="37">
        <v>9799</v>
      </c>
      <c r="AB9819" s="37">
        <v>1.9061163939869594</v>
      </c>
      <c r="AC9819" s="37">
        <v>2.8209383582694878</v>
      </c>
      <c r="AD9819" s="37">
        <v>3.2322790294485597</v>
      </c>
    </row>
    <row r="9820" spans="27:30" x14ac:dyDescent="0.3">
      <c r="AA9820" s="37">
        <v>9800</v>
      </c>
      <c r="AB9820" s="37">
        <v>1.7805512715655849</v>
      </c>
      <c r="AC9820" s="37">
        <v>2.8065593024868019</v>
      </c>
      <c r="AD9820" s="37">
        <v>3.4963478163962751</v>
      </c>
    </row>
    <row r="9821" spans="27:30" x14ac:dyDescent="0.3">
      <c r="AA9821" s="37">
        <v>9801</v>
      </c>
      <c r="AB9821" s="37">
        <v>1.7455876551252854</v>
      </c>
      <c r="AC9821" s="37">
        <v>2.8032044309479374</v>
      </c>
      <c r="AD9821" s="37">
        <v>3.3571427746458395</v>
      </c>
    </row>
    <row r="9822" spans="27:30" x14ac:dyDescent="0.3">
      <c r="AA9822" s="37">
        <v>9802</v>
      </c>
      <c r="AB9822" s="37">
        <v>1.8285417610925978</v>
      </c>
      <c r="AC9822" s="37">
        <v>2.8050585087588695</v>
      </c>
      <c r="AD9822" s="37">
        <v>3.6026792916057446</v>
      </c>
    </row>
    <row r="9823" spans="27:30" x14ac:dyDescent="0.3">
      <c r="AA9823" s="37">
        <v>9803</v>
      </c>
      <c r="AB9823" s="37">
        <v>1.8556754974867584</v>
      </c>
      <c r="AC9823" s="37">
        <v>2.9002738703561395</v>
      </c>
      <c r="AD9823" s="37">
        <v>3.2299923597027127</v>
      </c>
    </row>
    <row r="9824" spans="27:30" x14ac:dyDescent="0.3">
      <c r="AA9824" s="37">
        <v>9804</v>
      </c>
      <c r="AB9824" s="37">
        <v>1.626910931511742</v>
      </c>
      <c r="AC9824" s="37">
        <v>3.0944706549524814</v>
      </c>
      <c r="AD9824" s="37">
        <v>3.3340360161353013</v>
      </c>
    </row>
    <row r="9825" spans="27:30" x14ac:dyDescent="0.3">
      <c r="AA9825" s="37">
        <v>9805</v>
      </c>
      <c r="AB9825" s="37">
        <v>1.7478536670694649</v>
      </c>
      <c r="AC9825" s="37">
        <v>2.9064579232805205</v>
      </c>
      <c r="AD9825" s="37">
        <v>3.5024815158696576</v>
      </c>
    </row>
    <row r="9826" spans="27:30" x14ac:dyDescent="0.3">
      <c r="AA9826" s="37">
        <v>9806</v>
      </c>
      <c r="AB9826" s="37">
        <v>1.8067684103522657</v>
      </c>
      <c r="AC9826" s="37">
        <v>3.1001682360576774</v>
      </c>
      <c r="AD9826" s="37">
        <v>3.3354409329716561</v>
      </c>
    </row>
    <row r="9827" spans="27:30" x14ac:dyDescent="0.3">
      <c r="AA9827" s="37">
        <v>9807</v>
      </c>
      <c r="AB9827" s="37">
        <v>1.7874422156390573</v>
      </c>
      <c r="AC9827" s="37">
        <v>2.7394965698234426</v>
      </c>
      <c r="AD9827" s="37">
        <v>3.5817544073367902</v>
      </c>
    </row>
    <row r="9828" spans="27:30" x14ac:dyDescent="0.3">
      <c r="AA9828" s="37">
        <v>9808</v>
      </c>
      <c r="AB9828" s="37">
        <v>1.7477652721981389</v>
      </c>
      <c r="AC9828" s="37">
        <v>2.8698332893268086</v>
      </c>
      <c r="AD9828" s="37">
        <v>3.5077776885069345</v>
      </c>
    </row>
    <row r="9829" spans="27:30" x14ac:dyDescent="0.3">
      <c r="AA9829" s="37">
        <v>9809</v>
      </c>
      <c r="AB9829" s="37">
        <v>1.8646999018515742</v>
      </c>
      <c r="AC9829" s="37">
        <v>2.8177688934021572</v>
      </c>
      <c r="AD9829" s="37">
        <v>3.3227627370132331</v>
      </c>
    </row>
    <row r="9830" spans="27:30" x14ac:dyDescent="0.3">
      <c r="AA9830" s="37">
        <v>9810</v>
      </c>
      <c r="AB9830" s="37">
        <v>1.6736943931421135</v>
      </c>
      <c r="AC9830" s="37">
        <v>2.7896704460812556</v>
      </c>
      <c r="AD9830" s="37">
        <v>3.5477074273306282</v>
      </c>
    </row>
    <row r="9831" spans="27:30" x14ac:dyDescent="0.3">
      <c r="AA9831" s="37">
        <v>9811</v>
      </c>
      <c r="AB9831" s="37">
        <v>1.8245506966870231</v>
      </c>
      <c r="AC9831" s="37">
        <v>2.9628129981561786</v>
      </c>
      <c r="AD9831" s="37">
        <v>3.1793015348087463</v>
      </c>
    </row>
    <row r="9832" spans="27:30" x14ac:dyDescent="0.3">
      <c r="AA9832" s="37">
        <v>9812</v>
      </c>
      <c r="AB9832" s="37">
        <v>1.7942073042917555</v>
      </c>
      <c r="AC9832" s="37">
        <v>2.8171571114627065</v>
      </c>
      <c r="AD9832" s="37">
        <v>3.2026719117054725</v>
      </c>
    </row>
    <row r="9833" spans="27:30" x14ac:dyDescent="0.3">
      <c r="AA9833" s="37">
        <v>9813</v>
      </c>
      <c r="AB9833" s="37">
        <v>1.872640089957005</v>
      </c>
      <c r="AC9833" s="37">
        <v>2.7880610107831099</v>
      </c>
      <c r="AD9833" s="37">
        <v>3.4513983118179437</v>
      </c>
    </row>
    <row r="9834" spans="27:30" x14ac:dyDescent="0.3">
      <c r="AA9834" s="37">
        <v>9814</v>
      </c>
      <c r="AB9834" s="37">
        <v>1.7546643140564484</v>
      </c>
      <c r="AC9834" s="37">
        <v>2.8567918760845226</v>
      </c>
      <c r="AD9834" s="37">
        <v>3.4182054201421073</v>
      </c>
    </row>
    <row r="9835" spans="27:30" x14ac:dyDescent="0.3">
      <c r="AA9835" s="37">
        <v>9815</v>
      </c>
      <c r="AB9835" s="37">
        <v>1.7684390005493871</v>
      </c>
      <c r="AC9835" s="37">
        <v>2.8919531085890267</v>
      </c>
      <c r="AD9835" s="37">
        <v>3.2103303359092727</v>
      </c>
    </row>
    <row r="9836" spans="27:30" x14ac:dyDescent="0.3">
      <c r="AA9836" s="37">
        <v>9816</v>
      </c>
      <c r="AB9836" s="37">
        <v>1.8886502998898085</v>
      </c>
      <c r="AC9836" s="37">
        <v>2.7679828641495945</v>
      </c>
      <c r="AD9836" s="37">
        <v>3.3413469647568963</v>
      </c>
    </row>
    <row r="9837" spans="27:30" x14ac:dyDescent="0.3">
      <c r="AA9837" s="37">
        <v>9817</v>
      </c>
      <c r="AB9837" s="37">
        <v>1.7175702866443945</v>
      </c>
      <c r="AC9837" s="37">
        <v>2.7482035273445953</v>
      </c>
      <c r="AD9837" s="37">
        <v>3.3027273838061926</v>
      </c>
    </row>
    <row r="9838" spans="27:30" x14ac:dyDescent="0.3">
      <c r="AA9838" s="37">
        <v>9818</v>
      </c>
      <c r="AB9838" s="37">
        <v>1.7921533639266214</v>
      </c>
      <c r="AC9838" s="37">
        <v>2.9259948642997835</v>
      </c>
      <c r="AD9838" s="37">
        <v>3.4005115764311258</v>
      </c>
    </row>
    <row r="9839" spans="27:30" x14ac:dyDescent="0.3">
      <c r="AA9839" s="37">
        <v>9819</v>
      </c>
      <c r="AB9839" s="37">
        <v>1.7654091088431705</v>
      </c>
      <c r="AC9839" s="37">
        <v>2.9573019692195373</v>
      </c>
      <c r="AD9839" s="37">
        <v>3.1371260892752817</v>
      </c>
    </row>
    <row r="9840" spans="27:30" x14ac:dyDescent="0.3">
      <c r="AA9840" s="37">
        <v>9820</v>
      </c>
      <c r="AB9840" s="37">
        <v>1.7306598524167502</v>
      </c>
      <c r="AC9840" s="37">
        <v>2.8502587630098088</v>
      </c>
      <c r="AD9840" s="37">
        <v>3.2400688559768054</v>
      </c>
    </row>
    <row r="9841" spans="27:30" x14ac:dyDescent="0.3">
      <c r="AA9841" s="37">
        <v>9821</v>
      </c>
      <c r="AB9841" s="37">
        <v>1.7060031928133963</v>
      </c>
      <c r="AC9841" s="37">
        <v>2.8213848187397317</v>
      </c>
      <c r="AD9841" s="37">
        <v>3.3144295043322849</v>
      </c>
    </row>
    <row r="9842" spans="27:30" x14ac:dyDescent="0.3">
      <c r="AA9842" s="37">
        <v>9822</v>
      </c>
      <c r="AB9842" s="37">
        <v>1.752396367058322</v>
      </c>
      <c r="AC9842" s="37">
        <v>2.7882554085755316</v>
      </c>
      <c r="AD9842" s="37">
        <v>3.3449462874710512</v>
      </c>
    </row>
    <row r="9843" spans="27:30" x14ac:dyDescent="0.3">
      <c r="AA9843" s="37">
        <v>9823</v>
      </c>
      <c r="AB9843" s="37">
        <v>1.832565054882443</v>
      </c>
      <c r="AC9843" s="37">
        <v>2.9270542214949096</v>
      </c>
      <c r="AD9843" s="37">
        <v>3.3796853636860837</v>
      </c>
    </row>
    <row r="9844" spans="27:30" x14ac:dyDescent="0.3">
      <c r="AA9844" s="37">
        <v>9824</v>
      </c>
      <c r="AB9844" s="37">
        <v>1.71828534534698</v>
      </c>
      <c r="AC9844" s="37">
        <v>2.8351483378694438</v>
      </c>
      <c r="AD9844" s="37">
        <v>3.4250688701491714</v>
      </c>
    </row>
    <row r="9845" spans="27:30" x14ac:dyDescent="0.3">
      <c r="AA9845" s="37">
        <v>9825</v>
      </c>
      <c r="AB9845" s="37">
        <v>1.7889639828983972</v>
      </c>
      <c r="AC9845" s="37">
        <v>2.8879716838313443</v>
      </c>
      <c r="AD9845" s="37">
        <v>3.4919084667264846</v>
      </c>
    </row>
    <row r="9846" spans="27:30" x14ac:dyDescent="0.3">
      <c r="AA9846" s="37">
        <v>9826</v>
      </c>
      <c r="AB9846" s="37">
        <v>1.814707107424725</v>
      </c>
      <c r="AC9846" s="37">
        <v>2.731193056932173</v>
      </c>
      <c r="AD9846" s="37">
        <v>3.279932009531155</v>
      </c>
    </row>
    <row r="9847" spans="27:30" x14ac:dyDescent="0.3">
      <c r="AA9847" s="37">
        <v>9827</v>
      </c>
      <c r="AB9847" s="37">
        <v>1.8312565970946655</v>
      </c>
      <c r="AC9847" s="37">
        <v>2.8535775095459126</v>
      </c>
      <c r="AD9847" s="37">
        <v>3.2204035434412117</v>
      </c>
    </row>
    <row r="9848" spans="27:30" x14ac:dyDescent="0.3">
      <c r="AA9848" s="37">
        <v>9828</v>
      </c>
      <c r="AB9848" s="37">
        <v>1.7395859628861348</v>
      </c>
      <c r="AC9848" s="37">
        <v>2.8408939547099052</v>
      </c>
      <c r="AD9848" s="37">
        <v>3.1821278271945541</v>
      </c>
    </row>
    <row r="9849" spans="27:30" x14ac:dyDescent="0.3">
      <c r="AA9849" s="37">
        <v>9829</v>
      </c>
      <c r="AB9849" s="37">
        <v>1.8423284169879366</v>
      </c>
      <c r="AC9849" s="37">
        <v>3.0504068386264156</v>
      </c>
      <c r="AD9849" s="37">
        <v>3.5314022178018272</v>
      </c>
    </row>
    <row r="9850" spans="27:30" x14ac:dyDescent="0.3">
      <c r="AA9850" s="37">
        <v>9830</v>
      </c>
      <c r="AB9850" s="37">
        <v>1.8154000765014955</v>
      </c>
      <c r="AC9850" s="37">
        <v>2.5992578545898706</v>
      </c>
      <c r="AD9850" s="37">
        <v>3.4289594794106701</v>
      </c>
    </row>
    <row r="9851" spans="27:30" x14ac:dyDescent="0.3">
      <c r="AA9851" s="37">
        <v>9831</v>
      </c>
      <c r="AB9851" s="37">
        <v>1.8235179712065639</v>
      </c>
      <c r="AC9851" s="37">
        <v>2.788613231314804</v>
      </c>
      <c r="AD9851" s="37">
        <v>3.2701064570164644</v>
      </c>
    </row>
    <row r="9852" spans="27:30" x14ac:dyDescent="0.3">
      <c r="AA9852" s="37">
        <v>9832</v>
      </c>
      <c r="AB9852" s="37">
        <v>1.8097047837346456</v>
      </c>
      <c r="AC9852" s="37">
        <v>2.8614717276677575</v>
      </c>
      <c r="AD9852" s="37">
        <v>3.3619039029096633</v>
      </c>
    </row>
    <row r="9853" spans="27:30" x14ac:dyDescent="0.3">
      <c r="AA9853" s="37">
        <v>9833</v>
      </c>
      <c r="AB9853" s="37">
        <v>1.8168578177807451</v>
      </c>
      <c r="AC9853" s="37">
        <v>2.7551042161310102</v>
      </c>
      <c r="AD9853" s="37">
        <v>3.2606701240502023</v>
      </c>
    </row>
    <row r="9854" spans="27:30" x14ac:dyDescent="0.3">
      <c r="AA9854" s="37">
        <v>9834</v>
      </c>
      <c r="AB9854" s="37">
        <v>1.7811502900400789</v>
      </c>
      <c r="AC9854" s="37">
        <v>2.6554079579547558</v>
      </c>
      <c r="AD9854" s="37">
        <v>3.2899734849071276</v>
      </c>
    </row>
    <row r="9855" spans="27:30" x14ac:dyDescent="0.3">
      <c r="AA9855" s="37">
        <v>9835</v>
      </c>
      <c r="AB9855" s="37">
        <v>1.7407836540273791</v>
      </c>
      <c r="AC9855" s="37">
        <v>2.9606713467475272</v>
      </c>
      <c r="AD9855" s="37">
        <v>3.4902151018645577</v>
      </c>
    </row>
    <row r="9856" spans="27:30" x14ac:dyDescent="0.3">
      <c r="AA9856" s="37">
        <v>9836</v>
      </c>
      <c r="AB9856" s="37">
        <v>1.7624824092686593</v>
      </c>
      <c r="AC9856" s="37">
        <v>2.6757410545818909</v>
      </c>
      <c r="AD9856" s="37">
        <v>3.3864004387227911</v>
      </c>
    </row>
    <row r="9857" spans="27:30" x14ac:dyDescent="0.3">
      <c r="AA9857" s="37">
        <v>9837</v>
      </c>
      <c r="AB9857" s="37">
        <v>1.7941175464453998</v>
      </c>
      <c r="AC9857" s="37">
        <v>2.8509626991411134</v>
      </c>
      <c r="AD9857" s="37">
        <v>3.190158505021893</v>
      </c>
    </row>
    <row r="9858" spans="27:30" x14ac:dyDescent="0.3">
      <c r="AA9858" s="37">
        <v>9838</v>
      </c>
      <c r="AB9858" s="37">
        <v>1.7817580122891032</v>
      </c>
      <c r="AC9858" s="37">
        <v>2.8450857411928507</v>
      </c>
      <c r="AD9858" s="37">
        <v>3.3936988552446157</v>
      </c>
    </row>
    <row r="9859" spans="27:30" x14ac:dyDescent="0.3">
      <c r="AA9859" s="37">
        <v>9839</v>
      </c>
      <c r="AB9859" s="37">
        <v>1.7827151006076964</v>
      </c>
      <c r="AC9859" s="37">
        <v>2.5665442317896701</v>
      </c>
      <c r="AD9859" s="37">
        <v>3.2800349368353601</v>
      </c>
    </row>
    <row r="9860" spans="27:30" x14ac:dyDescent="0.3">
      <c r="AA9860" s="37">
        <v>9840</v>
      </c>
      <c r="AB9860" s="37">
        <v>1.8128597128475539</v>
      </c>
      <c r="AC9860" s="37">
        <v>2.9526370629193064</v>
      </c>
      <c r="AD9860" s="37">
        <v>3.1359694330002728</v>
      </c>
    </row>
    <row r="9861" spans="27:30" x14ac:dyDescent="0.3">
      <c r="AA9861" s="37">
        <v>9841</v>
      </c>
      <c r="AB9861" s="37">
        <v>1.7943222847270375</v>
      </c>
      <c r="AC9861" s="37">
        <v>2.9378234495742075</v>
      </c>
      <c r="AD9861" s="37">
        <v>3.4447034905954355</v>
      </c>
    </row>
    <row r="9862" spans="27:30" x14ac:dyDescent="0.3">
      <c r="AA9862" s="37">
        <v>9842</v>
      </c>
      <c r="AB9862" s="37">
        <v>1.7012568134599426</v>
      </c>
      <c r="AC9862" s="37">
        <v>3.0369077990850908</v>
      </c>
      <c r="AD9862" s="37">
        <v>3.2975820307244192</v>
      </c>
    </row>
    <row r="9863" spans="27:30" x14ac:dyDescent="0.3">
      <c r="AA9863" s="37">
        <v>9843</v>
      </c>
      <c r="AB9863" s="37">
        <v>1.8990771634238572</v>
      </c>
      <c r="AC9863" s="37">
        <v>2.9463758130604898</v>
      </c>
      <c r="AD9863" s="37">
        <v>3.2343535922495943</v>
      </c>
    </row>
    <row r="9864" spans="27:30" x14ac:dyDescent="0.3">
      <c r="AA9864" s="37">
        <v>9844</v>
      </c>
      <c r="AB9864" s="37">
        <v>1.7723280255678435</v>
      </c>
      <c r="AC9864" s="37">
        <v>2.9605248241603417</v>
      </c>
      <c r="AD9864" s="37">
        <v>3.2278931531351556</v>
      </c>
    </row>
    <row r="9865" spans="27:30" x14ac:dyDescent="0.3">
      <c r="AA9865" s="37">
        <v>9845</v>
      </c>
      <c r="AB9865" s="37">
        <v>1.9513739129295218</v>
      </c>
      <c r="AC9865" s="37">
        <v>2.8333727903142032</v>
      </c>
      <c r="AD9865" s="37">
        <v>3.174499415838655</v>
      </c>
    </row>
    <row r="9866" spans="27:30" x14ac:dyDescent="0.3">
      <c r="AA9866" s="37">
        <v>9846</v>
      </c>
      <c r="AB9866" s="37">
        <v>1.7912011366034815</v>
      </c>
      <c r="AC9866" s="37">
        <v>2.8179037840005172</v>
      </c>
      <c r="AD9866" s="37">
        <v>3.3092885619037138</v>
      </c>
    </row>
    <row r="9867" spans="27:30" x14ac:dyDescent="0.3">
      <c r="AA9867" s="37">
        <v>9847</v>
      </c>
      <c r="AB9867" s="37">
        <v>1.8167121423215395</v>
      </c>
      <c r="AC9867" s="37">
        <v>2.8416298340560342</v>
      </c>
      <c r="AD9867" s="37">
        <v>3.2985462550595206</v>
      </c>
    </row>
    <row r="9868" spans="27:30" x14ac:dyDescent="0.3">
      <c r="AA9868" s="37">
        <v>9848</v>
      </c>
      <c r="AB9868" s="37">
        <v>1.8170581926699618</v>
      </c>
      <c r="AC9868" s="37">
        <v>2.7944416442351256</v>
      </c>
      <c r="AD9868" s="37">
        <v>3.4048410795690383</v>
      </c>
    </row>
    <row r="9869" spans="27:30" x14ac:dyDescent="0.3">
      <c r="AA9869" s="37">
        <v>9849</v>
      </c>
      <c r="AB9869" s="37">
        <v>1.820954269186283</v>
      </c>
      <c r="AC9869" s="37">
        <v>2.8583524798095148</v>
      </c>
      <c r="AD9869" s="37">
        <v>3.4359454951826987</v>
      </c>
    </row>
    <row r="9870" spans="27:30" x14ac:dyDescent="0.3">
      <c r="AA9870" s="37">
        <v>9850</v>
      </c>
      <c r="AB9870" s="37">
        <v>1.7685257619599304</v>
      </c>
      <c r="AC9870" s="37">
        <v>2.8618625566002787</v>
      </c>
      <c r="AD9870" s="37">
        <v>3.2381969177994958</v>
      </c>
    </row>
    <row r="9871" spans="27:30" x14ac:dyDescent="0.3">
      <c r="AA9871" s="37">
        <v>9851</v>
      </c>
      <c r="AB9871" s="37">
        <v>1.819028209985837</v>
      </c>
      <c r="AC9871" s="37">
        <v>2.7997167632353532</v>
      </c>
      <c r="AD9871" s="37">
        <v>3.4436352706666908</v>
      </c>
    </row>
    <row r="9872" spans="27:30" x14ac:dyDescent="0.3">
      <c r="AA9872" s="37">
        <v>9852</v>
      </c>
      <c r="AB9872" s="37">
        <v>1.8321886753568009</v>
      </c>
      <c r="AC9872" s="37">
        <v>2.8384333316571175</v>
      </c>
      <c r="AD9872" s="37">
        <v>3.324285686645458</v>
      </c>
    </row>
    <row r="9873" spans="27:30" x14ac:dyDescent="0.3">
      <c r="AA9873" s="37">
        <v>9853</v>
      </c>
      <c r="AB9873" s="37">
        <v>1.7770740859200167</v>
      </c>
      <c r="AC9873" s="37">
        <v>2.9302732229615254</v>
      </c>
      <c r="AD9873" s="37">
        <v>3.286137938751343</v>
      </c>
    </row>
    <row r="9874" spans="27:30" x14ac:dyDescent="0.3">
      <c r="AA9874" s="37">
        <v>9854</v>
      </c>
      <c r="AB9874" s="37">
        <v>1.8105637336334541</v>
      </c>
      <c r="AC9874" s="37">
        <v>3.0507026661919636</v>
      </c>
      <c r="AD9874" s="37">
        <v>3.5186586438650367</v>
      </c>
    </row>
    <row r="9875" spans="27:30" x14ac:dyDescent="0.3">
      <c r="AA9875" s="37">
        <v>9855</v>
      </c>
      <c r="AB9875" s="37">
        <v>1.771962582706156</v>
      </c>
      <c r="AC9875" s="37">
        <v>3.0156530071718906</v>
      </c>
      <c r="AD9875" s="37">
        <v>3.10913913022413</v>
      </c>
    </row>
    <row r="9876" spans="27:30" x14ac:dyDescent="0.3">
      <c r="AA9876" s="37">
        <v>9856</v>
      </c>
      <c r="AB9876" s="37">
        <v>1.6835568412803574</v>
      </c>
      <c r="AC9876" s="37">
        <v>2.9025633252288441</v>
      </c>
      <c r="AD9876" s="37">
        <v>3.4385929440567913</v>
      </c>
    </row>
    <row r="9877" spans="27:30" x14ac:dyDescent="0.3">
      <c r="AA9877" s="37">
        <v>9857</v>
      </c>
      <c r="AB9877" s="37">
        <v>1.6880815397961988</v>
      </c>
      <c r="AC9877" s="37">
        <v>2.842405918294268</v>
      </c>
      <c r="AD9877" s="37">
        <v>3.4092162924152505</v>
      </c>
    </row>
    <row r="9878" spans="27:30" x14ac:dyDescent="0.3">
      <c r="AA9878" s="37">
        <v>9858</v>
      </c>
      <c r="AB9878" s="37">
        <v>1.7528480260062969</v>
      </c>
      <c r="AC9878" s="37">
        <v>2.9237951680553786</v>
      </c>
      <c r="AD9878" s="37">
        <v>3.2534806816817237</v>
      </c>
    </row>
    <row r="9879" spans="27:30" x14ac:dyDescent="0.3">
      <c r="AA9879" s="37">
        <v>9859</v>
      </c>
      <c r="AB9879" s="37">
        <v>1.6919683669339729</v>
      </c>
      <c r="AC9879" s="37">
        <v>2.8286839331353049</v>
      </c>
      <c r="AD9879" s="37">
        <v>3.2155851416503034</v>
      </c>
    </row>
    <row r="9880" spans="27:30" x14ac:dyDescent="0.3">
      <c r="AA9880" s="37">
        <v>9860</v>
      </c>
      <c r="AB9880" s="37">
        <v>1.8046799191744867</v>
      </c>
      <c r="AC9880" s="37">
        <v>2.6750303106704205</v>
      </c>
      <c r="AD9880" s="37">
        <v>3.497509613741542</v>
      </c>
    </row>
    <row r="9881" spans="27:30" x14ac:dyDescent="0.3">
      <c r="AA9881" s="37">
        <v>9861</v>
      </c>
      <c r="AB9881" s="37">
        <v>1.7257527837815214</v>
      </c>
      <c r="AC9881" s="37">
        <v>3.0574633321445748</v>
      </c>
      <c r="AD9881" s="37">
        <v>3.4824759442103619</v>
      </c>
    </row>
    <row r="9882" spans="27:30" x14ac:dyDescent="0.3">
      <c r="AA9882" s="37">
        <v>9862</v>
      </c>
      <c r="AB9882" s="37">
        <v>1.7663044596252475</v>
      </c>
      <c r="AC9882" s="37">
        <v>2.7424408907690125</v>
      </c>
      <c r="AD9882" s="37">
        <v>3.4669656155784692</v>
      </c>
    </row>
    <row r="9883" spans="27:30" x14ac:dyDescent="0.3">
      <c r="AA9883" s="37">
        <v>9863</v>
      </c>
      <c r="AB9883" s="37">
        <v>1.7945441941336693</v>
      </c>
      <c r="AC9883" s="37">
        <v>2.7648780578854537</v>
      </c>
      <c r="AD9883" s="37">
        <v>3.2775222024148234</v>
      </c>
    </row>
    <row r="9884" spans="27:30" x14ac:dyDescent="0.3">
      <c r="AA9884" s="37">
        <v>9864</v>
      </c>
      <c r="AB9884" s="37">
        <v>1.8619407971484241</v>
      </c>
      <c r="AC9884" s="37">
        <v>2.9043968444695012</v>
      </c>
      <c r="AD9884" s="37">
        <v>3.3941914572982599</v>
      </c>
    </row>
    <row r="9885" spans="27:30" x14ac:dyDescent="0.3">
      <c r="AA9885" s="37">
        <v>9865</v>
      </c>
      <c r="AB9885" s="37">
        <v>1.8462745243922605</v>
      </c>
      <c r="AC9885" s="37">
        <v>2.7802101005288304</v>
      </c>
      <c r="AD9885" s="37">
        <v>3.3757752607246587</v>
      </c>
    </row>
    <row r="9886" spans="27:30" x14ac:dyDescent="0.3">
      <c r="AA9886" s="37">
        <v>9866</v>
      </c>
      <c r="AB9886" s="37">
        <v>1.6780089369516737</v>
      </c>
      <c r="AC9886" s="37">
        <v>2.8089474420963443</v>
      </c>
      <c r="AD9886" s="37">
        <v>3.2134571942409726</v>
      </c>
    </row>
    <row r="9887" spans="27:30" x14ac:dyDescent="0.3">
      <c r="AA9887" s="37">
        <v>9867</v>
      </c>
      <c r="AB9887" s="37">
        <v>1.6825873508097384</v>
      </c>
      <c r="AC9887" s="37">
        <v>2.8736764660664016</v>
      </c>
      <c r="AD9887" s="37">
        <v>3.398123117505734</v>
      </c>
    </row>
    <row r="9888" spans="27:30" x14ac:dyDescent="0.3">
      <c r="AA9888" s="37">
        <v>9868</v>
      </c>
      <c r="AB9888" s="37">
        <v>1.7992227272614769</v>
      </c>
      <c r="AC9888" s="37">
        <v>2.8132658221450315</v>
      </c>
      <c r="AD9888" s="37">
        <v>3.5769942893798845</v>
      </c>
    </row>
    <row r="9889" spans="27:30" x14ac:dyDescent="0.3">
      <c r="AA9889" s="37">
        <v>9869</v>
      </c>
      <c r="AB9889" s="37">
        <v>1.7673207969969014</v>
      </c>
      <c r="AC9889" s="37">
        <v>2.7212391269310459</v>
      </c>
      <c r="AD9889" s="37">
        <v>3.2519599597328437</v>
      </c>
    </row>
    <row r="9890" spans="27:30" x14ac:dyDescent="0.3">
      <c r="AA9890" s="37">
        <v>9870</v>
      </c>
      <c r="AB9890" s="37">
        <v>1.8150220308326552</v>
      </c>
      <c r="AC9890" s="37">
        <v>2.8114101802839415</v>
      </c>
      <c r="AD9890" s="37">
        <v>3.5316284364831128</v>
      </c>
    </row>
    <row r="9891" spans="27:30" x14ac:dyDescent="0.3">
      <c r="AA9891" s="37">
        <v>9871</v>
      </c>
      <c r="AB9891" s="37">
        <v>1.7940983364456471</v>
      </c>
      <c r="AC9891" s="37">
        <v>3.071864106151299</v>
      </c>
      <c r="AD9891" s="37">
        <v>3.4622310790605195</v>
      </c>
    </row>
    <row r="9892" spans="27:30" x14ac:dyDescent="0.3">
      <c r="AA9892" s="37">
        <v>9872</v>
      </c>
      <c r="AB9892" s="37">
        <v>1.7442680378013189</v>
      </c>
      <c r="AC9892" s="37">
        <v>2.81242933572869</v>
      </c>
      <c r="AD9892" s="37">
        <v>3.3656721998492638</v>
      </c>
    </row>
    <row r="9893" spans="27:30" x14ac:dyDescent="0.3">
      <c r="AA9893" s="37">
        <v>9873</v>
      </c>
      <c r="AB9893" s="37">
        <v>1.7245434063624534</v>
      </c>
      <c r="AC9893" s="37">
        <v>2.8225044876125573</v>
      </c>
      <c r="AD9893" s="37">
        <v>3.4451759097828356</v>
      </c>
    </row>
    <row r="9894" spans="27:30" x14ac:dyDescent="0.3">
      <c r="AA9894" s="37">
        <v>9874</v>
      </c>
      <c r="AB9894" s="37">
        <v>1.9274883966746799</v>
      </c>
      <c r="AC9894" s="37">
        <v>2.8221020512138759</v>
      </c>
      <c r="AD9894" s="37">
        <v>3.5447104043996847</v>
      </c>
    </row>
    <row r="9895" spans="27:30" x14ac:dyDescent="0.3">
      <c r="AA9895" s="37">
        <v>9875</v>
      </c>
      <c r="AB9895" s="37">
        <v>1.8796530306207788</v>
      </c>
      <c r="AC9895" s="37">
        <v>2.8512343326144021</v>
      </c>
      <c r="AD9895" s="37">
        <v>3.2053970197928208</v>
      </c>
    </row>
    <row r="9896" spans="27:30" x14ac:dyDescent="0.3">
      <c r="AA9896" s="37">
        <v>9876</v>
      </c>
      <c r="AB9896" s="37">
        <v>1.7500714364855943</v>
      </c>
      <c r="AC9896" s="37">
        <v>2.9797529147644135</v>
      </c>
      <c r="AD9896" s="37">
        <v>3.2779896998874349</v>
      </c>
    </row>
    <row r="9897" spans="27:30" x14ac:dyDescent="0.3">
      <c r="AA9897" s="37">
        <v>9877</v>
      </c>
      <c r="AB9897" s="37">
        <v>1.8187388663813215</v>
      </c>
      <c r="AC9897" s="37">
        <v>2.9971181627784889</v>
      </c>
      <c r="AD9897" s="37">
        <v>3.3784394771969746</v>
      </c>
    </row>
    <row r="9898" spans="27:30" x14ac:dyDescent="0.3">
      <c r="AA9898" s="37">
        <v>9878</v>
      </c>
      <c r="AB9898" s="37">
        <v>1.8684835388345513</v>
      </c>
      <c r="AC9898" s="37">
        <v>2.9672853572434219</v>
      </c>
      <c r="AD9898" s="37">
        <v>3.5227856132094248</v>
      </c>
    </row>
    <row r="9899" spans="27:30" x14ac:dyDescent="0.3">
      <c r="AA9899" s="37">
        <v>9879</v>
      </c>
      <c r="AB9899" s="37">
        <v>1.8891900985074919</v>
      </c>
      <c r="AC9899" s="37">
        <v>2.8649950439337157</v>
      </c>
      <c r="AD9899" s="37">
        <v>3.0480834750618149</v>
      </c>
    </row>
    <row r="9900" spans="27:30" x14ac:dyDescent="0.3">
      <c r="AA9900" s="37">
        <v>9880</v>
      </c>
      <c r="AB9900" s="37">
        <v>1.7204887846379284</v>
      </c>
      <c r="AC9900" s="37">
        <v>2.9448683765786994</v>
      </c>
      <c r="AD9900" s="37">
        <v>3.43472995140307</v>
      </c>
    </row>
    <row r="9901" spans="27:30" x14ac:dyDescent="0.3">
      <c r="AA9901" s="37">
        <v>9881</v>
      </c>
      <c r="AB9901" s="37">
        <v>1.9198437886289366</v>
      </c>
      <c r="AC9901" s="37">
        <v>2.9201366681680856</v>
      </c>
      <c r="AD9901" s="37">
        <v>3.37191130664272</v>
      </c>
    </row>
    <row r="9902" spans="27:30" x14ac:dyDescent="0.3">
      <c r="AA9902" s="37">
        <v>9882</v>
      </c>
      <c r="AB9902" s="37">
        <v>1.7558302883855208</v>
      </c>
      <c r="AC9902" s="37">
        <v>2.6840508418899445</v>
      </c>
      <c r="AD9902" s="37">
        <v>3.4081301510864468</v>
      </c>
    </row>
    <row r="9903" spans="27:30" x14ac:dyDescent="0.3">
      <c r="AA9903" s="37">
        <v>9883</v>
      </c>
      <c r="AB9903" s="37">
        <v>1.8355086733531762</v>
      </c>
      <c r="AC9903" s="37">
        <v>2.8481966960695742</v>
      </c>
      <c r="AD9903" s="37">
        <v>3.4633354028784846</v>
      </c>
    </row>
    <row r="9904" spans="27:30" x14ac:dyDescent="0.3">
      <c r="AA9904" s="37">
        <v>9884</v>
      </c>
      <c r="AB9904" s="37">
        <v>1.8229117748687866</v>
      </c>
      <c r="AC9904" s="37">
        <v>2.5971735595711092</v>
      </c>
      <c r="AD9904" s="37">
        <v>3.3892490295577264</v>
      </c>
    </row>
    <row r="9905" spans="27:30" x14ac:dyDescent="0.3">
      <c r="AA9905" s="37">
        <v>9885</v>
      </c>
      <c r="AB9905" s="37">
        <v>1.7626419144913168</v>
      </c>
      <c r="AC9905" s="37">
        <v>3.1221002263034947</v>
      </c>
      <c r="AD9905" s="37">
        <v>3.1999089878172673</v>
      </c>
    </row>
    <row r="9906" spans="27:30" x14ac:dyDescent="0.3">
      <c r="AA9906" s="37">
        <v>9886</v>
      </c>
      <c r="AB9906" s="37">
        <v>1.8076404911448871</v>
      </c>
      <c r="AC9906" s="37">
        <v>2.7283022031300104</v>
      </c>
      <c r="AD9906" s="37">
        <v>3.2027222955977606</v>
      </c>
    </row>
    <row r="9907" spans="27:30" x14ac:dyDescent="0.3">
      <c r="AA9907" s="37">
        <v>9887</v>
      </c>
      <c r="AB9907" s="37">
        <v>1.8425928312481179</v>
      </c>
      <c r="AC9907" s="37">
        <v>2.6835361916779661</v>
      </c>
      <c r="AD9907" s="37">
        <v>3.5343701597681183</v>
      </c>
    </row>
    <row r="9908" spans="27:30" x14ac:dyDescent="0.3">
      <c r="AA9908" s="37">
        <v>9888</v>
      </c>
      <c r="AB9908" s="37">
        <v>1.7711740300056222</v>
      </c>
      <c r="AC9908" s="37">
        <v>2.9931335128689196</v>
      </c>
      <c r="AD9908" s="37">
        <v>3.159758671390986</v>
      </c>
    </row>
    <row r="9909" spans="27:30" x14ac:dyDescent="0.3">
      <c r="AA9909" s="37">
        <v>9889</v>
      </c>
      <c r="AB9909" s="37">
        <v>1.78226654270436</v>
      </c>
      <c r="AC9909" s="37">
        <v>2.9687680997251134</v>
      </c>
      <c r="AD9909" s="37">
        <v>3.2260659113700818</v>
      </c>
    </row>
    <row r="9910" spans="27:30" x14ac:dyDescent="0.3">
      <c r="AA9910" s="37">
        <v>9890</v>
      </c>
      <c r="AB9910" s="37">
        <v>1.7870347073064714</v>
      </c>
      <c r="AC9910" s="37">
        <v>2.8770287634513032</v>
      </c>
      <c r="AD9910" s="37">
        <v>3.5295367136523494</v>
      </c>
    </row>
    <row r="9911" spans="27:30" x14ac:dyDescent="0.3">
      <c r="AA9911" s="37">
        <v>9891</v>
      </c>
      <c r="AB9911" s="37">
        <v>1.671681116340147</v>
      </c>
      <c r="AC9911" s="37">
        <v>2.8674834967159271</v>
      </c>
      <c r="AD9911" s="37">
        <v>3.2567299175264393</v>
      </c>
    </row>
    <row r="9912" spans="27:30" x14ac:dyDescent="0.3">
      <c r="AA9912" s="37">
        <v>9892</v>
      </c>
      <c r="AB9912" s="37">
        <v>1.7658654100208548</v>
      </c>
      <c r="AC9912" s="37">
        <v>3.1332177750943044</v>
      </c>
      <c r="AD9912" s="37">
        <v>3.2166179650114612</v>
      </c>
    </row>
    <row r="9913" spans="27:30" x14ac:dyDescent="0.3">
      <c r="AA9913" s="37">
        <v>9893</v>
      </c>
      <c r="AB9913" s="37">
        <v>1.8353644749405291</v>
      </c>
      <c r="AC9913" s="37">
        <v>2.7983878138525027</v>
      </c>
      <c r="AD9913" s="37">
        <v>3.4775969149272346</v>
      </c>
    </row>
    <row r="9914" spans="27:30" x14ac:dyDescent="0.3">
      <c r="AA9914" s="37">
        <v>9894</v>
      </c>
      <c r="AB9914" s="37">
        <v>1.8806272091612326</v>
      </c>
      <c r="AC9914" s="37">
        <v>2.6426586220370565</v>
      </c>
      <c r="AD9914" s="37">
        <v>3.4833853674347242</v>
      </c>
    </row>
    <row r="9915" spans="27:30" x14ac:dyDescent="0.3">
      <c r="AA9915" s="37">
        <v>9895</v>
      </c>
      <c r="AB9915" s="37">
        <v>1.8477567613192818</v>
      </c>
      <c r="AC9915" s="37">
        <v>2.9817157637971303</v>
      </c>
      <c r="AD9915" s="37">
        <v>3.5353617719324713</v>
      </c>
    </row>
    <row r="9916" spans="27:30" x14ac:dyDescent="0.3">
      <c r="AA9916" s="37">
        <v>9896</v>
      </c>
      <c r="AB9916" s="37">
        <v>1.6988897115834176</v>
      </c>
      <c r="AC9916" s="37">
        <v>2.9821840865176434</v>
      </c>
      <c r="AD9916" s="37">
        <v>3.2990796647035423</v>
      </c>
    </row>
    <row r="9917" spans="27:30" x14ac:dyDescent="0.3">
      <c r="AA9917" s="37">
        <v>9897</v>
      </c>
      <c r="AB9917" s="37">
        <v>1.7537960141568041</v>
      </c>
      <c r="AC9917" s="37">
        <v>2.8630196080704997</v>
      </c>
      <c r="AD9917" s="37">
        <v>3.3692176734611112</v>
      </c>
    </row>
    <row r="9918" spans="27:30" x14ac:dyDescent="0.3">
      <c r="AA9918" s="37">
        <v>9898</v>
      </c>
      <c r="AB9918" s="37">
        <v>1.8265542193493167</v>
      </c>
      <c r="AC9918" s="37">
        <v>2.7913777911588906</v>
      </c>
      <c r="AD9918" s="37">
        <v>3.3945970599961504</v>
      </c>
    </row>
    <row r="9919" spans="27:30" x14ac:dyDescent="0.3">
      <c r="AA9919" s="37">
        <v>9899</v>
      </c>
      <c r="AB9919" s="37">
        <v>1.8289849739555606</v>
      </c>
      <c r="AC9919" s="37">
        <v>2.9198116321107332</v>
      </c>
      <c r="AD9919" s="37">
        <v>3.3920871442962892</v>
      </c>
    </row>
    <row r="9920" spans="27:30" x14ac:dyDescent="0.3">
      <c r="AA9920" s="37">
        <v>9900</v>
      </c>
      <c r="AB9920" s="37">
        <v>1.767445699363086</v>
      </c>
      <c r="AC9920" s="37">
        <v>2.8688822749629805</v>
      </c>
      <c r="AD9920" s="37">
        <v>3.2750906154765986</v>
      </c>
    </row>
    <row r="9921" spans="27:30" x14ac:dyDescent="0.3">
      <c r="AA9921" s="37">
        <v>9901</v>
      </c>
      <c r="AB9921" s="37">
        <v>1.8260672762225896</v>
      </c>
      <c r="AC9921" s="37">
        <v>2.9164531390904123</v>
      </c>
      <c r="AD9921" s="37">
        <v>3.3746864632319746</v>
      </c>
    </row>
    <row r="9922" spans="27:30" x14ac:dyDescent="0.3">
      <c r="AA9922" s="37">
        <v>9902</v>
      </c>
      <c r="AB9922" s="37">
        <v>1.7870287938643787</v>
      </c>
      <c r="AC9922" s="37">
        <v>2.854651513846393</v>
      </c>
      <c r="AD9922" s="37">
        <v>3.4339420868509833</v>
      </c>
    </row>
    <row r="9923" spans="27:30" x14ac:dyDescent="0.3">
      <c r="AA9923" s="37">
        <v>9903</v>
      </c>
      <c r="AB9923" s="37">
        <v>1.7516316573724529</v>
      </c>
      <c r="AC9923" s="37">
        <v>2.8485739090546032</v>
      </c>
      <c r="AD9923" s="37">
        <v>3.2220502208409565</v>
      </c>
    </row>
    <row r="9924" spans="27:30" x14ac:dyDescent="0.3">
      <c r="AA9924" s="37">
        <v>9904</v>
      </c>
      <c r="AB9924" s="37">
        <v>1.8357015931535046</v>
      </c>
      <c r="AC9924" s="37">
        <v>2.6603885222300629</v>
      </c>
      <c r="AD9924" s="37">
        <v>3.2825301194572054</v>
      </c>
    </row>
    <row r="9925" spans="27:30" x14ac:dyDescent="0.3">
      <c r="AA9925" s="37">
        <v>9905</v>
      </c>
      <c r="AB9925" s="37">
        <v>1.7524324384037802</v>
      </c>
      <c r="AC9925" s="37">
        <v>2.949637117745489</v>
      </c>
      <c r="AD9925" s="37">
        <v>3.3140056328418108</v>
      </c>
    </row>
    <row r="9926" spans="27:30" x14ac:dyDescent="0.3">
      <c r="AA9926" s="37">
        <v>9906</v>
      </c>
      <c r="AB9926" s="37">
        <v>1.7773849853525765</v>
      </c>
      <c r="AC9926" s="37">
        <v>2.7572831178184485</v>
      </c>
      <c r="AD9926" s="37">
        <v>3.4381008658154091</v>
      </c>
    </row>
    <row r="9927" spans="27:30" x14ac:dyDescent="0.3">
      <c r="AA9927" s="37">
        <v>9907</v>
      </c>
      <c r="AB9927" s="37">
        <v>1.832407113809903</v>
      </c>
      <c r="AC9927" s="37">
        <v>2.9507931864906913</v>
      </c>
      <c r="AD9927" s="37">
        <v>3.2893356258371531</v>
      </c>
    </row>
    <row r="9928" spans="27:30" x14ac:dyDescent="0.3">
      <c r="AA9928" s="37">
        <v>9908</v>
      </c>
      <c r="AB9928" s="37">
        <v>1.7387731702382176</v>
      </c>
      <c r="AC9928" s="37">
        <v>2.9593807511377439</v>
      </c>
      <c r="AD9928" s="37">
        <v>3.1850008062758715</v>
      </c>
    </row>
    <row r="9929" spans="27:30" x14ac:dyDescent="0.3">
      <c r="AA9929" s="37">
        <v>9909</v>
      </c>
      <c r="AB9929" s="37">
        <v>1.8538019958990588</v>
      </c>
      <c r="AC9929" s="37">
        <v>2.9182271612329647</v>
      </c>
      <c r="AD9929" s="37">
        <v>3.1582561145026689</v>
      </c>
    </row>
    <row r="9930" spans="27:30" x14ac:dyDescent="0.3">
      <c r="AA9930" s="37">
        <v>9910</v>
      </c>
      <c r="AB9930" s="37">
        <v>1.8736593606799035</v>
      </c>
      <c r="AC9930" s="37">
        <v>2.8570930363457605</v>
      </c>
      <c r="AD9930" s="37">
        <v>3.1232007714856378</v>
      </c>
    </row>
    <row r="9931" spans="27:30" x14ac:dyDescent="0.3">
      <c r="AA9931" s="37">
        <v>9911</v>
      </c>
      <c r="AB9931" s="37">
        <v>1.8372741306964369</v>
      </c>
      <c r="AC9931" s="37">
        <v>2.7209389540209239</v>
      </c>
      <c r="AD9931" s="37">
        <v>3.241767119283268</v>
      </c>
    </row>
    <row r="9932" spans="27:30" x14ac:dyDescent="0.3">
      <c r="AA9932" s="37">
        <v>9912</v>
      </c>
      <c r="AB9932" s="37">
        <v>1.9074150005079402</v>
      </c>
      <c r="AC9932" s="37">
        <v>2.7376180526426768</v>
      </c>
      <c r="AD9932" s="37">
        <v>3.420983619489729</v>
      </c>
    </row>
    <row r="9933" spans="27:30" x14ac:dyDescent="0.3">
      <c r="AA9933" s="37">
        <v>9913</v>
      </c>
      <c r="AB9933" s="37">
        <v>1.8282782464375951</v>
      </c>
      <c r="AC9933" s="37">
        <v>2.7017899176590361</v>
      </c>
      <c r="AD9933" s="37">
        <v>3.333072101601076</v>
      </c>
    </row>
    <row r="9934" spans="27:30" x14ac:dyDescent="0.3">
      <c r="AA9934" s="37">
        <v>9914</v>
      </c>
      <c r="AB9934" s="37">
        <v>1.7355961468784404</v>
      </c>
      <c r="AC9934" s="37">
        <v>2.6897257357987101</v>
      </c>
      <c r="AD9934" s="37">
        <v>3.2124672595798902</v>
      </c>
    </row>
    <row r="9935" spans="27:30" x14ac:dyDescent="0.3">
      <c r="AA9935" s="37">
        <v>9915</v>
      </c>
      <c r="AB9935" s="37">
        <v>1.8335398817669746</v>
      </c>
      <c r="AC9935" s="37">
        <v>2.6925181570793311</v>
      </c>
      <c r="AD9935" s="37">
        <v>3.2200004133057485</v>
      </c>
    </row>
    <row r="9936" spans="27:30" x14ac:dyDescent="0.3">
      <c r="AA9936" s="37">
        <v>9916</v>
      </c>
      <c r="AB9936" s="37">
        <v>1.8394358496143253</v>
      </c>
      <c r="AC9936" s="37">
        <v>2.8904144476393623</v>
      </c>
      <c r="AD9936" s="37">
        <v>3.5657148659682774</v>
      </c>
    </row>
    <row r="9937" spans="27:30" x14ac:dyDescent="0.3">
      <c r="AA9937" s="37">
        <v>9917</v>
      </c>
      <c r="AB9937" s="37">
        <v>1.7463235322967186</v>
      </c>
      <c r="AC9937" s="37">
        <v>3.036855292076944</v>
      </c>
      <c r="AD9937" s="37">
        <v>3.4276483081715554</v>
      </c>
    </row>
    <row r="9938" spans="27:30" x14ac:dyDescent="0.3">
      <c r="AA9938" s="37">
        <v>9918</v>
      </c>
      <c r="AB9938" s="37">
        <v>1.8188450404352223</v>
      </c>
      <c r="AC9938" s="37">
        <v>2.7223968941314842</v>
      </c>
      <c r="AD9938" s="37">
        <v>3.4098215974379005</v>
      </c>
    </row>
    <row r="9939" spans="27:30" x14ac:dyDescent="0.3">
      <c r="AA9939" s="37">
        <v>9919</v>
      </c>
      <c r="AB9939" s="37">
        <v>1.882507255788493</v>
      </c>
      <c r="AC9939" s="37">
        <v>2.9710003761712791</v>
      </c>
      <c r="AD9939" s="37">
        <v>3.4234984472011574</v>
      </c>
    </row>
    <row r="9940" spans="27:30" x14ac:dyDescent="0.3">
      <c r="AA9940" s="37">
        <v>9920</v>
      </c>
      <c r="AB9940" s="37">
        <v>1.7583324876277586</v>
      </c>
      <c r="AC9940" s="37">
        <v>2.8434186477955214</v>
      </c>
      <c r="AD9940" s="37">
        <v>3.3905561152937054</v>
      </c>
    </row>
    <row r="9941" spans="27:30" x14ac:dyDescent="0.3">
      <c r="AA9941" s="37">
        <v>9921</v>
      </c>
      <c r="AB9941" s="37">
        <v>1.718242898831629</v>
      </c>
      <c r="AC9941" s="37">
        <v>2.8932402430266206</v>
      </c>
      <c r="AD9941" s="37">
        <v>3.5091522012683538</v>
      </c>
    </row>
    <row r="9942" spans="27:30" x14ac:dyDescent="0.3">
      <c r="AA9942" s="37">
        <v>9922</v>
      </c>
      <c r="AB9942" s="37">
        <v>1.8797362959675799</v>
      </c>
      <c r="AC9942" s="37">
        <v>2.8480405994898308</v>
      </c>
      <c r="AD9942" s="37">
        <v>3.3827177455740185</v>
      </c>
    </row>
    <row r="9943" spans="27:30" x14ac:dyDescent="0.3">
      <c r="AA9943" s="37">
        <v>9923</v>
      </c>
      <c r="AB9943" s="37">
        <v>1.7801865653935209</v>
      </c>
      <c r="AC9943" s="37">
        <v>2.7495083708927206</v>
      </c>
      <c r="AD9943" s="37">
        <v>3.31419999060049</v>
      </c>
    </row>
    <row r="9944" spans="27:30" x14ac:dyDescent="0.3">
      <c r="AA9944" s="37">
        <v>9924</v>
      </c>
      <c r="AB9944" s="37">
        <v>1.75568550722237</v>
      </c>
      <c r="AC9944" s="37">
        <v>2.788459989656678</v>
      </c>
      <c r="AD9944" s="37">
        <v>3.3975443118189337</v>
      </c>
    </row>
    <row r="9945" spans="27:30" x14ac:dyDescent="0.3">
      <c r="AA9945" s="37">
        <v>9925</v>
      </c>
      <c r="AB9945" s="37">
        <v>1.7362889383746947</v>
      </c>
      <c r="AC9945" s="37">
        <v>2.8533480764304344</v>
      </c>
      <c r="AD9945" s="37">
        <v>3.4385832219697345</v>
      </c>
    </row>
    <row r="9946" spans="27:30" x14ac:dyDescent="0.3">
      <c r="AA9946" s="37">
        <v>9926</v>
      </c>
      <c r="AB9946" s="37">
        <v>1.7940917985841522</v>
      </c>
      <c r="AC9946" s="37">
        <v>2.9713003283448711</v>
      </c>
      <c r="AD9946" s="37">
        <v>3.2258745867969458</v>
      </c>
    </row>
    <row r="9947" spans="27:30" x14ac:dyDescent="0.3">
      <c r="AA9947" s="37">
        <v>9927</v>
      </c>
      <c r="AB9947" s="37">
        <v>1.7626007335462825</v>
      </c>
      <c r="AC9947" s="37">
        <v>2.8547758743683374</v>
      </c>
      <c r="AD9947" s="37">
        <v>3.3939927563409782</v>
      </c>
    </row>
    <row r="9948" spans="27:30" x14ac:dyDescent="0.3">
      <c r="AA9948" s="37">
        <v>9928</v>
      </c>
      <c r="AB9948" s="37">
        <v>1.7453395701075269</v>
      </c>
      <c r="AC9948" s="37">
        <v>2.8883702246989724</v>
      </c>
      <c r="AD9948" s="37">
        <v>3.4945215961542706</v>
      </c>
    </row>
    <row r="9949" spans="27:30" x14ac:dyDescent="0.3">
      <c r="AA9949" s="37">
        <v>9929</v>
      </c>
      <c r="AB9949" s="37">
        <v>1.6930003379472613</v>
      </c>
      <c r="AC9949" s="37">
        <v>2.9471357105455884</v>
      </c>
      <c r="AD9949" s="37">
        <v>3.2709459183056335</v>
      </c>
    </row>
    <row r="9950" spans="27:30" x14ac:dyDescent="0.3">
      <c r="AA9950" s="37">
        <v>9930</v>
      </c>
      <c r="AB9950" s="37">
        <v>1.7422565249061603</v>
      </c>
      <c r="AC9950" s="37">
        <v>3.0500174344795532</v>
      </c>
      <c r="AD9950" s="37">
        <v>3.3543918852030732</v>
      </c>
    </row>
    <row r="9951" spans="27:30" x14ac:dyDescent="0.3">
      <c r="AA9951" s="37">
        <v>9931</v>
      </c>
      <c r="AB9951" s="37">
        <v>1.8189838069877204</v>
      </c>
      <c r="AC9951" s="37">
        <v>2.8112422692448229</v>
      </c>
      <c r="AD9951" s="37">
        <v>3.4455901214289786</v>
      </c>
    </row>
    <row r="9952" spans="27:30" x14ac:dyDescent="0.3">
      <c r="AA9952" s="37">
        <v>9932</v>
      </c>
      <c r="AB9952" s="37">
        <v>1.8740697287317727</v>
      </c>
      <c r="AC9952" s="37">
        <v>3.1079437432263743</v>
      </c>
      <c r="AD9952" s="37">
        <v>3.4041829412402933</v>
      </c>
    </row>
    <row r="9953" spans="27:30" x14ac:dyDescent="0.3">
      <c r="AA9953" s="37">
        <v>9933</v>
      </c>
      <c r="AB9953" s="37">
        <v>1.8951783287711896</v>
      </c>
      <c r="AC9953" s="37">
        <v>2.7190191489120958</v>
      </c>
      <c r="AD9953" s="37">
        <v>3.256431669746537</v>
      </c>
    </row>
    <row r="9954" spans="27:30" x14ac:dyDescent="0.3">
      <c r="AA9954" s="37">
        <v>9934</v>
      </c>
      <c r="AB9954" s="37">
        <v>1.6950797713809205</v>
      </c>
      <c r="AC9954" s="37">
        <v>2.9026763541874261</v>
      </c>
      <c r="AD9954" s="37">
        <v>3.111775563562631</v>
      </c>
    </row>
    <row r="9955" spans="27:30" x14ac:dyDescent="0.3">
      <c r="AA9955" s="37">
        <v>9935</v>
      </c>
      <c r="AB9955" s="37">
        <v>1.6855149041801978</v>
      </c>
      <c r="AC9955" s="37">
        <v>3.0922638061692269</v>
      </c>
      <c r="AD9955" s="37">
        <v>3.285716009666698</v>
      </c>
    </row>
    <row r="9956" spans="27:30" x14ac:dyDescent="0.3">
      <c r="AA9956" s="37">
        <v>9936</v>
      </c>
      <c r="AB9956" s="37">
        <v>1.7606010037354429</v>
      </c>
      <c r="AC9956" s="37">
        <v>2.7943603738705205</v>
      </c>
      <c r="AD9956" s="37">
        <v>3.3888903078481034</v>
      </c>
    </row>
    <row r="9957" spans="27:30" x14ac:dyDescent="0.3">
      <c r="AA9957" s="37">
        <v>9937</v>
      </c>
      <c r="AB9957" s="37">
        <v>1.8475431804054945</v>
      </c>
      <c r="AC9957" s="37">
        <v>2.7987924011322476</v>
      </c>
      <c r="AD9957" s="37">
        <v>3.3246657059406655</v>
      </c>
    </row>
    <row r="9958" spans="27:30" x14ac:dyDescent="0.3">
      <c r="AA9958" s="37">
        <v>9938</v>
      </c>
      <c r="AB9958" s="37">
        <v>1.8150312875848014</v>
      </c>
      <c r="AC9958" s="37">
        <v>2.8221706088688165</v>
      </c>
      <c r="AD9958" s="37">
        <v>3.4397516966825505</v>
      </c>
    </row>
    <row r="9959" spans="27:30" x14ac:dyDescent="0.3">
      <c r="AA9959" s="37">
        <v>9939</v>
      </c>
      <c r="AB9959" s="37">
        <v>1.7635619065527988</v>
      </c>
      <c r="AC9959" s="37">
        <v>2.7676761938217793</v>
      </c>
      <c r="AD9959" s="37">
        <v>3.4753448787579719</v>
      </c>
    </row>
    <row r="9960" spans="27:30" x14ac:dyDescent="0.3">
      <c r="AA9960" s="37">
        <v>9940</v>
      </c>
      <c r="AB9960" s="37">
        <v>1.9111490988973685</v>
      </c>
      <c r="AC9960" s="37">
        <v>2.8594475512765403</v>
      </c>
      <c r="AD9960" s="37">
        <v>3.2002611619878882</v>
      </c>
    </row>
    <row r="9961" spans="27:30" x14ac:dyDescent="0.3">
      <c r="AA9961" s="37">
        <v>9941</v>
      </c>
      <c r="AB9961" s="37">
        <v>1.7556763379338101</v>
      </c>
      <c r="AC9961" s="37">
        <v>2.8031749253456129</v>
      </c>
      <c r="AD9961" s="37">
        <v>3.3320412350983317</v>
      </c>
    </row>
    <row r="9962" spans="27:30" x14ac:dyDescent="0.3">
      <c r="AA9962" s="37">
        <v>9942</v>
      </c>
      <c r="AB9962" s="37">
        <v>1.7976536089749633</v>
      </c>
      <c r="AC9962" s="37">
        <v>2.824930868936177</v>
      </c>
      <c r="AD9962" s="37">
        <v>3.3962263528166408</v>
      </c>
    </row>
    <row r="9963" spans="27:30" x14ac:dyDescent="0.3">
      <c r="AA9963" s="37">
        <v>9943</v>
      </c>
      <c r="AB9963" s="37">
        <v>1.8465673035546906</v>
      </c>
      <c r="AC9963" s="37">
        <v>2.8274670130873045</v>
      </c>
      <c r="AD9963" s="37">
        <v>3.4900441081569289</v>
      </c>
    </row>
    <row r="9964" spans="27:30" x14ac:dyDescent="0.3">
      <c r="AA9964" s="37">
        <v>9944</v>
      </c>
      <c r="AB9964" s="37">
        <v>1.7561859951880585</v>
      </c>
      <c r="AC9964" s="37">
        <v>2.7750846185266371</v>
      </c>
      <c r="AD9964" s="37">
        <v>3.4278857560483358</v>
      </c>
    </row>
    <row r="9965" spans="27:30" x14ac:dyDescent="0.3">
      <c r="AA9965" s="37">
        <v>9945</v>
      </c>
      <c r="AB9965" s="37">
        <v>1.6941023663105579</v>
      </c>
      <c r="AC9965" s="37">
        <v>2.7861488420843177</v>
      </c>
      <c r="AD9965" s="37">
        <v>3.2021805933703202</v>
      </c>
    </row>
    <row r="9966" spans="27:30" x14ac:dyDescent="0.3">
      <c r="AA9966" s="37">
        <v>9946</v>
      </c>
      <c r="AB9966" s="37">
        <v>1.7028035876849859</v>
      </c>
      <c r="AC9966" s="37">
        <v>2.6867129545760773</v>
      </c>
      <c r="AD9966" s="37">
        <v>3.2078502971837555</v>
      </c>
    </row>
    <row r="9967" spans="27:30" x14ac:dyDescent="0.3">
      <c r="AA9967" s="37">
        <v>9947</v>
      </c>
      <c r="AB9967" s="37">
        <v>1.8099891756664681</v>
      </c>
      <c r="AC9967" s="37">
        <v>2.7115244802413199</v>
      </c>
      <c r="AD9967" s="37">
        <v>3.2799568504673724</v>
      </c>
    </row>
    <row r="9968" spans="27:30" x14ac:dyDescent="0.3">
      <c r="AA9968" s="37">
        <v>9948</v>
      </c>
      <c r="AB9968" s="37">
        <v>1.6659136505261447</v>
      </c>
      <c r="AC9968" s="37">
        <v>2.7294254012838168</v>
      </c>
      <c r="AD9968" s="37">
        <v>3.3425353218990503</v>
      </c>
    </row>
    <row r="9969" spans="27:30" x14ac:dyDescent="0.3">
      <c r="AA9969" s="37">
        <v>9949</v>
      </c>
      <c r="AB9969" s="37">
        <v>1.814977891862434</v>
      </c>
      <c r="AC9969" s="37">
        <v>2.9239793652157329</v>
      </c>
      <c r="AD9969" s="37">
        <v>3.4606613636982106</v>
      </c>
    </row>
    <row r="9970" spans="27:30" x14ac:dyDescent="0.3">
      <c r="AA9970" s="37">
        <v>9950</v>
      </c>
      <c r="AB9970" s="37">
        <v>1.6997626551046443</v>
      </c>
      <c r="AC9970" s="37">
        <v>3.0083391901788392</v>
      </c>
      <c r="AD9970" s="37">
        <v>3.6539889532034913</v>
      </c>
    </row>
    <row r="9971" spans="27:30" x14ac:dyDescent="0.3">
      <c r="AA9971" s="37">
        <v>9951</v>
      </c>
      <c r="AB9971" s="37">
        <v>1.7454044323853526</v>
      </c>
      <c r="AC9971" s="37">
        <v>2.8228107985933844</v>
      </c>
      <c r="AD9971" s="37">
        <v>3.2874197925078898</v>
      </c>
    </row>
    <row r="9972" spans="27:30" x14ac:dyDescent="0.3">
      <c r="AA9972" s="37">
        <v>9952</v>
      </c>
      <c r="AB9972" s="37">
        <v>1.7229217791176727</v>
      </c>
      <c r="AC9972" s="37">
        <v>2.9582442775974096</v>
      </c>
      <c r="AD9972" s="37">
        <v>3.3409179540462293</v>
      </c>
    </row>
    <row r="9973" spans="27:30" x14ac:dyDescent="0.3">
      <c r="AA9973" s="37">
        <v>9953</v>
      </c>
      <c r="AB9973" s="37">
        <v>1.7527730397570296</v>
      </c>
      <c r="AC9973" s="37">
        <v>2.636412397456918</v>
      </c>
      <c r="AD9973" s="37">
        <v>3.1795037544520874</v>
      </c>
    </row>
    <row r="9974" spans="27:30" x14ac:dyDescent="0.3">
      <c r="AA9974" s="37">
        <v>9954</v>
      </c>
      <c r="AB9974" s="37">
        <v>1.8056374925219858</v>
      </c>
      <c r="AC9974" s="37">
        <v>2.7994571637805077</v>
      </c>
      <c r="AD9974" s="37">
        <v>3.3049446239165015</v>
      </c>
    </row>
    <row r="9975" spans="27:30" x14ac:dyDescent="0.3">
      <c r="AA9975" s="37">
        <v>9955</v>
      </c>
      <c r="AB9975" s="37">
        <v>1.8572440764960929</v>
      </c>
      <c r="AC9975" s="37">
        <v>2.7771384290314733</v>
      </c>
      <c r="AD9975" s="37">
        <v>3.5772446998204264</v>
      </c>
    </row>
    <row r="9976" spans="27:30" x14ac:dyDescent="0.3">
      <c r="AA9976" s="37">
        <v>9956</v>
      </c>
      <c r="AB9976" s="37">
        <v>1.8029346835755353</v>
      </c>
      <c r="AC9976" s="37">
        <v>2.8273957860772989</v>
      </c>
      <c r="AD9976" s="37">
        <v>3.3126247013114192</v>
      </c>
    </row>
    <row r="9977" spans="27:30" x14ac:dyDescent="0.3">
      <c r="AA9977" s="37">
        <v>9957</v>
      </c>
      <c r="AB9977" s="37">
        <v>1.7563898235802311</v>
      </c>
      <c r="AC9977" s="37">
        <v>2.7687644062209666</v>
      </c>
      <c r="AD9977" s="37">
        <v>3.2573996748109928</v>
      </c>
    </row>
    <row r="9978" spans="27:30" x14ac:dyDescent="0.3">
      <c r="AA9978" s="37">
        <v>9958</v>
      </c>
      <c r="AB9978" s="37">
        <v>1.7652519583651483</v>
      </c>
      <c r="AC9978" s="37">
        <v>2.9054899745915757</v>
      </c>
      <c r="AD9978" s="37">
        <v>3.4670847225100272</v>
      </c>
    </row>
    <row r="9979" spans="27:30" x14ac:dyDescent="0.3">
      <c r="AA9979" s="37">
        <v>9959</v>
      </c>
      <c r="AB9979" s="37">
        <v>1.7834416341433694</v>
      </c>
      <c r="AC9979" s="37">
        <v>2.753512312793839</v>
      </c>
      <c r="AD9979" s="37">
        <v>3.2840920315231203</v>
      </c>
    </row>
    <row r="9980" spans="27:30" x14ac:dyDescent="0.3">
      <c r="AA9980" s="37">
        <v>9960</v>
      </c>
      <c r="AB9980" s="37">
        <v>1.7991233197796122</v>
      </c>
      <c r="AC9980" s="37">
        <v>2.7892978045366292</v>
      </c>
      <c r="AD9980" s="37">
        <v>3.3637607242059104</v>
      </c>
    </row>
    <row r="9981" spans="27:30" x14ac:dyDescent="0.3">
      <c r="AA9981" s="37">
        <v>9961</v>
      </c>
      <c r="AB9981" s="37">
        <v>1.8042424923972471</v>
      </c>
      <c r="AC9981" s="37">
        <v>2.8440901822644258</v>
      </c>
      <c r="AD9981" s="37">
        <v>3.3611059009206508</v>
      </c>
    </row>
    <row r="9982" spans="27:30" x14ac:dyDescent="0.3">
      <c r="AA9982" s="37">
        <v>9962</v>
      </c>
      <c r="AB9982" s="37">
        <v>1.7358622520556604</v>
      </c>
      <c r="AC9982" s="37">
        <v>2.8592680972499949</v>
      </c>
      <c r="AD9982" s="37">
        <v>3.1776980240207271</v>
      </c>
    </row>
    <row r="9983" spans="27:30" x14ac:dyDescent="0.3">
      <c r="AA9983" s="37">
        <v>9963</v>
      </c>
      <c r="AB9983" s="37">
        <v>1.7570136149967852</v>
      </c>
      <c r="AC9983" s="37">
        <v>2.8557307609856295</v>
      </c>
      <c r="AD9983" s="37">
        <v>3.2236588153023944</v>
      </c>
    </row>
    <row r="9984" spans="27:30" x14ac:dyDescent="0.3">
      <c r="AA9984" s="37">
        <v>9964</v>
      </c>
      <c r="AB9984" s="37">
        <v>1.7420956126043976</v>
      </c>
      <c r="AC9984" s="37">
        <v>2.8650504542118975</v>
      </c>
      <c r="AD9984" s="37">
        <v>3.1671561030171493</v>
      </c>
    </row>
    <row r="9985" spans="27:30" x14ac:dyDescent="0.3">
      <c r="AA9985" s="37">
        <v>9965</v>
      </c>
      <c r="AB9985" s="37">
        <v>1.8268291255242652</v>
      </c>
      <c r="AC9985" s="37">
        <v>2.9137987365231863</v>
      </c>
      <c r="AD9985" s="37">
        <v>3.3150814936256876</v>
      </c>
    </row>
    <row r="9986" spans="27:30" x14ac:dyDescent="0.3">
      <c r="AA9986" s="37">
        <v>9966</v>
      </c>
      <c r="AB9986" s="37">
        <v>1.8160477647904412</v>
      </c>
      <c r="AC9986" s="37">
        <v>2.8601326671266496</v>
      </c>
      <c r="AD9986" s="37">
        <v>3.3899395003403008</v>
      </c>
    </row>
    <row r="9987" spans="27:30" x14ac:dyDescent="0.3">
      <c r="AA9987" s="37">
        <v>9967</v>
      </c>
      <c r="AB9987" s="37">
        <v>1.7837939330686119</v>
      </c>
      <c r="AC9987" s="37">
        <v>2.9429403255006825</v>
      </c>
      <c r="AD9987" s="37">
        <v>3.2515254482476936</v>
      </c>
    </row>
    <row r="9988" spans="27:30" x14ac:dyDescent="0.3">
      <c r="AA9988" s="37">
        <v>9968</v>
      </c>
      <c r="AB9988" s="37">
        <v>1.7536258828815332</v>
      </c>
      <c r="AC9988" s="37">
        <v>2.844088040891684</v>
      </c>
      <c r="AD9988" s="37">
        <v>3.2105210867259983</v>
      </c>
    </row>
    <row r="9989" spans="27:30" x14ac:dyDescent="0.3">
      <c r="AA9989" s="37">
        <v>9969</v>
      </c>
      <c r="AB9989" s="37">
        <v>1.7880207623819362</v>
      </c>
      <c r="AC9989" s="37">
        <v>2.8439701361775218</v>
      </c>
      <c r="AD9989" s="37">
        <v>3.1436391496457485</v>
      </c>
    </row>
    <row r="9990" spans="27:30" x14ac:dyDescent="0.3">
      <c r="AA9990" s="37">
        <v>9970</v>
      </c>
      <c r="AB9990" s="37">
        <v>1.7051498763018107</v>
      </c>
      <c r="AC9990" s="37">
        <v>2.7616759046319799</v>
      </c>
      <c r="AD9990" s="37">
        <v>3.4210634814527299</v>
      </c>
    </row>
    <row r="9991" spans="27:30" x14ac:dyDescent="0.3">
      <c r="AA9991" s="37">
        <v>9971</v>
      </c>
      <c r="AB9991" s="37">
        <v>1.7374418525522504</v>
      </c>
      <c r="AC9991" s="37">
        <v>2.697271027730161</v>
      </c>
      <c r="AD9991" s="37">
        <v>3.2219514296974117</v>
      </c>
    </row>
    <row r="9992" spans="27:30" x14ac:dyDescent="0.3">
      <c r="AA9992" s="37">
        <v>9972</v>
      </c>
      <c r="AB9992" s="37">
        <v>1.8169097388700464</v>
      </c>
      <c r="AC9992" s="37">
        <v>2.904162340741109</v>
      </c>
      <c r="AD9992" s="37">
        <v>3.2107741505605891</v>
      </c>
    </row>
    <row r="9993" spans="27:30" x14ac:dyDescent="0.3">
      <c r="AA9993" s="37">
        <v>9973</v>
      </c>
      <c r="AB9993" s="37">
        <v>1.8275495664875065</v>
      </c>
      <c r="AC9993" s="37">
        <v>2.8770190946006067</v>
      </c>
      <c r="AD9993" s="37">
        <v>3.4802323770226096</v>
      </c>
    </row>
    <row r="9994" spans="27:30" x14ac:dyDescent="0.3">
      <c r="AA9994" s="37">
        <v>9974</v>
      </c>
      <c r="AB9994" s="37">
        <v>1.6979202380484408</v>
      </c>
      <c r="AC9994" s="37">
        <v>2.9250156695331082</v>
      </c>
      <c r="AD9994" s="37">
        <v>3.1143204897403503</v>
      </c>
    </row>
    <row r="9995" spans="27:30" x14ac:dyDescent="0.3">
      <c r="AA9995" s="37">
        <v>9975</v>
      </c>
      <c r="AB9995" s="37">
        <v>1.8678016876048471</v>
      </c>
      <c r="AC9995" s="37">
        <v>2.9556839046248538</v>
      </c>
      <c r="AD9995" s="37">
        <v>3.3968610534319823</v>
      </c>
    </row>
    <row r="9996" spans="27:30" x14ac:dyDescent="0.3">
      <c r="AA9996" s="37">
        <v>9976</v>
      </c>
      <c r="AB9996" s="37">
        <v>1.9829898313240073</v>
      </c>
      <c r="AC9996" s="37">
        <v>2.66286558981807</v>
      </c>
      <c r="AD9996" s="37">
        <v>3.3519132079256782</v>
      </c>
    </row>
    <row r="9997" spans="27:30" x14ac:dyDescent="0.3">
      <c r="AA9997" s="37">
        <v>9977</v>
      </c>
      <c r="AB9997" s="37">
        <v>1.7623768503115456</v>
      </c>
      <c r="AC9997" s="37">
        <v>2.8837237518523291</v>
      </c>
      <c r="AD9997" s="37">
        <v>3.3961153420546131</v>
      </c>
    </row>
    <row r="9998" spans="27:30" x14ac:dyDescent="0.3">
      <c r="AA9998" s="37">
        <v>9978</v>
      </c>
      <c r="AB9998" s="37">
        <v>1.8421344484340034</v>
      </c>
      <c r="AC9998" s="37">
        <v>2.8330888574814388</v>
      </c>
      <c r="AD9998" s="37">
        <v>3.2621371357109479</v>
      </c>
    </row>
    <row r="9999" spans="27:30" x14ac:dyDescent="0.3">
      <c r="AA9999" s="37">
        <v>9979</v>
      </c>
      <c r="AB9999" s="37">
        <v>1.8314878714177159</v>
      </c>
      <c r="AC9999" s="37">
        <v>2.8354199316862672</v>
      </c>
      <c r="AD9999" s="37">
        <v>3.1091227289218231</v>
      </c>
    </row>
    <row r="10000" spans="27:30" x14ac:dyDescent="0.3">
      <c r="AA10000" s="37">
        <v>9980</v>
      </c>
      <c r="AB10000" s="37">
        <v>1.7820355682697964</v>
      </c>
      <c r="AC10000" s="37">
        <v>3.0390264199543222</v>
      </c>
      <c r="AD10000" s="37">
        <v>3.183009677923978</v>
      </c>
    </row>
    <row r="10001" spans="27:30" x14ac:dyDescent="0.3">
      <c r="AA10001" s="37">
        <v>9981</v>
      </c>
      <c r="AB10001" s="37">
        <v>1.7635602330892715</v>
      </c>
      <c r="AC10001" s="37">
        <v>2.9933622316155302</v>
      </c>
      <c r="AD10001" s="37">
        <v>3.4455794059883678</v>
      </c>
    </row>
    <row r="10002" spans="27:30" x14ac:dyDescent="0.3">
      <c r="AA10002" s="37">
        <v>9982</v>
      </c>
      <c r="AB10002" s="37">
        <v>1.8132175323863411</v>
      </c>
      <c r="AC10002" s="37">
        <v>2.8251384384238962</v>
      </c>
      <c r="AD10002" s="37">
        <v>3.4512754929454315</v>
      </c>
    </row>
    <row r="10003" spans="27:30" x14ac:dyDescent="0.3">
      <c r="AA10003" s="37">
        <v>9983</v>
      </c>
      <c r="AB10003" s="37">
        <v>1.7817273126237443</v>
      </c>
      <c r="AC10003" s="37">
        <v>2.8691579337750808</v>
      </c>
      <c r="AD10003" s="37">
        <v>3.3567942699589857</v>
      </c>
    </row>
    <row r="10004" spans="27:30" x14ac:dyDescent="0.3">
      <c r="AA10004" s="37">
        <v>9984</v>
      </c>
      <c r="AB10004" s="37">
        <v>1.7464400009715331</v>
      </c>
      <c r="AC10004" s="37">
        <v>2.9329893442061397</v>
      </c>
      <c r="AD10004" s="37">
        <v>3.3997070672831056</v>
      </c>
    </row>
    <row r="10005" spans="27:30" x14ac:dyDescent="0.3">
      <c r="AA10005" s="37">
        <v>9985</v>
      </c>
      <c r="AB10005" s="37">
        <v>1.8552641894420026</v>
      </c>
      <c r="AC10005" s="37">
        <v>2.9171030879355766</v>
      </c>
      <c r="AD10005" s="37">
        <v>3.3071454058608909</v>
      </c>
    </row>
    <row r="10006" spans="27:30" x14ac:dyDescent="0.3">
      <c r="AA10006" s="37">
        <v>9986</v>
      </c>
      <c r="AB10006" s="37">
        <v>1.8392507119458159</v>
      </c>
      <c r="AC10006" s="37">
        <v>2.9194900813168623</v>
      </c>
      <c r="AD10006" s="37">
        <v>3.4237950831478821</v>
      </c>
    </row>
    <row r="10007" spans="27:30" x14ac:dyDescent="0.3">
      <c r="AA10007" s="37">
        <v>9987</v>
      </c>
      <c r="AB10007" s="37">
        <v>1.8793383675037438</v>
      </c>
      <c r="AC10007" s="37">
        <v>2.8081468336960138</v>
      </c>
      <c r="AD10007" s="37">
        <v>3.3485977989077789</v>
      </c>
    </row>
    <row r="10008" spans="27:30" x14ac:dyDescent="0.3">
      <c r="AA10008" s="37">
        <v>9988</v>
      </c>
      <c r="AB10008" s="37">
        <v>1.7924645139869644</v>
      </c>
      <c r="AC10008" s="37">
        <v>2.7496802594749621</v>
      </c>
      <c r="AD10008" s="37">
        <v>3.5859965148047048</v>
      </c>
    </row>
    <row r="10009" spans="27:30" x14ac:dyDescent="0.3">
      <c r="AA10009" s="37">
        <v>9989</v>
      </c>
      <c r="AB10009" s="37">
        <v>1.9023837453525245</v>
      </c>
      <c r="AC10009" s="37">
        <v>2.9378666318781672</v>
      </c>
      <c r="AD10009" s="37">
        <v>3.4242626488545533</v>
      </c>
    </row>
    <row r="10010" spans="27:30" x14ac:dyDescent="0.3">
      <c r="AA10010" s="37">
        <v>9990</v>
      </c>
      <c r="AB10010" s="37">
        <v>1.8560240648835171</v>
      </c>
      <c r="AC10010" s="37">
        <v>2.9226466953915677</v>
      </c>
      <c r="AD10010" s="37">
        <v>3.431068898222057</v>
      </c>
    </row>
    <row r="10011" spans="27:30" x14ac:dyDescent="0.3">
      <c r="AA10011" s="37">
        <v>9991</v>
      </c>
      <c r="AB10011" s="37">
        <v>1.6629056880386071</v>
      </c>
      <c r="AC10011" s="37">
        <v>3.0261326040236622</v>
      </c>
      <c r="AD10011" s="37">
        <v>3.4688483258887195</v>
      </c>
    </row>
    <row r="10012" spans="27:30" x14ac:dyDescent="0.3">
      <c r="AA10012" s="37">
        <v>9992</v>
      </c>
      <c r="AB10012" s="37">
        <v>1.8078360103245503</v>
      </c>
      <c r="AC10012" s="37">
        <v>2.8581433876772264</v>
      </c>
      <c r="AD10012" s="37">
        <v>3.120098455196922</v>
      </c>
    </row>
    <row r="10013" spans="27:30" x14ac:dyDescent="0.3">
      <c r="AA10013" s="37">
        <v>9993</v>
      </c>
      <c r="AB10013" s="37">
        <v>1.8632731985615427</v>
      </c>
      <c r="AC10013" s="37">
        <v>3.0248348345101785</v>
      </c>
      <c r="AD10013" s="37">
        <v>3.0741561141936549</v>
      </c>
    </row>
    <row r="10014" spans="27:30" x14ac:dyDescent="0.3">
      <c r="AA10014" s="37">
        <v>9994</v>
      </c>
      <c r="AB10014" s="37">
        <v>1.8028361077228623</v>
      </c>
      <c r="AC10014" s="37">
        <v>2.7776483334689521</v>
      </c>
      <c r="AD10014" s="37">
        <v>3.3501916245148147</v>
      </c>
    </row>
    <row r="10015" spans="27:30" x14ac:dyDescent="0.3">
      <c r="AA10015" s="37">
        <v>9995</v>
      </c>
      <c r="AB10015" s="37">
        <v>1.77460950395484</v>
      </c>
      <c r="AC10015" s="37">
        <v>2.735714208145652</v>
      </c>
      <c r="AD10015" s="37">
        <v>3.0871707769360226</v>
      </c>
    </row>
    <row r="10016" spans="27:30" x14ac:dyDescent="0.3">
      <c r="AA10016" s="37">
        <v>9996</v>
      </c>
      <c r="AB10016" s="37">
        <v>1.8521161775987394</v>
      </c>
      <c r="AC10016" s="37">
        <v>2.7145432785459178</v>
      </c>
      <c r="AD10016" s="37">
        <v>3.2581567306500481</v>
      </c>
    </row>
    <row r="10017" spans="27:30" x14ac:dyDescent="0.3">
      <c r="AA10017" s="37">
        <v>9997</v>
      </c>
      <c r="AB10017" s="37">
        <v>1.6815627699444278</v>
      </c>
      <c r="AC10017" s="37">
        <v>2.8244657218062752</v>
      </c>
      <c r="AD10017" s="37">
        <v>3.3149546686293108</v>
      </c>
    </row>
    <row r="10018" spans="27:30" x14ac:dyDescent="0.3">
      <c r="AA10018" s="37">
        <v>9998</v>
      </c>
      <c r="AB10018" s="37">
        <v>1.7909170183321534</v>
      </c>
      <c r="AC10018" s="37">
        <v>2.9858917150107076</v>
      </c>
      <c r="AD10018" s="37">
        <v>3.4934143582225778</v>
      </c>
    </row>
    <row r="10019" spans="27:30" x14ac:dyDescent="0.3">
      <c r="AA10019" s="37">
        <v>9999</v>
      </c>
      <c r="AB10019" s="37">
        <v>1.8308296931880128</v>
      </c>
      <c r="AC10019" s="37">
        <v>2.9209250502425483</v>
      </c>
      <c r="AD10019" s="37">
        <v>3.2115270093185795</v>
      </c>
    </row>
    <row r="10020" spans="27:30" x14ac:dyDescent="0.3">
      <c r="AA10020" s="37">
        <v>10000</v>
      </c>
      <c r="AB10020" s="37">
        <v>1.7827182325999629</v>
      </c>
      <c r="AC10020" s="37">
        <v>2.8203275774247114</v>
      </c>
      <c r="AD10020" s="37">
        <v>3.4245073429565678</v>
      </c>
    </row>
  </sheetData>
  <mergeCells count="3">
    <mergeCell ref="O55:Y55"/>
    <mergeCell ref="O91:Y91"/>
    <mergeCell ref="AF20:AG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AP</vt:lpstr>
      <vt:lpstr>VAR SM</vt:lpstr>
      <vt:lpstr>PL_Bimbo</vt:lpstr>
      <vt:lpstr>PL_GMex</vt:lpstr>
      <vt:lpstr>PL_Tot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GARCIA</dc:creator>
  <cp:lastModifiedBy>Iker Sánchez</cp:lastModifiedBy>
  <dcterms:created xsi:type="dcterms:W3CDTF">2016-07-23T04:38:10Z</dcterms:created>
  <dcterms:modified xsi:type="dcterms:W3CDTF">2024-04-04T07:17:55Z</dcterms:modified>
</cp:coreProperties>
</file>